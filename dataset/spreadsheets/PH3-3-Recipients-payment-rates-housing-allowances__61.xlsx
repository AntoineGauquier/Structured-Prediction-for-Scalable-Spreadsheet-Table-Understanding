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main.oecd.org\IISDeploy\IIS10\DMZ\webfs.oecd.org-els-com\COMMON\Affordable_Housing_Database\"/>
    </mc:Choice>
  </mc:AlternateContent>
  <xr:revisionPtr revIDLastSave="0" documentId="13_ncr:1_{F3815DB9-4E8C-4E86-A07A-FBC67FC094B0}" xr6:coauthVersionLast="47" xr6:coauthVersionMax="47" xr10:uidLastSave="{00000000-0000-0000-0000-000000000000}"/>
  <bookViews>
    <workbookView xWindow="-120" yWindow="-120" windowWidth="29040" windowHeight="15720" tabRatio="735" xr2:uid="{00000000-000D-0000-FFFF-FFFF00000000}"/>
  </bookViews>
  <sheets>
    <sheet name="PH3.3.1" sheetId="1" r:id="rId1"/>
    <sheet name="PH3.3.2" sheetId="20" r:id="rId2"/>
    <sheet name="PH3.3.3" sheetId="25" r:id="rId3"/>
    <sheet name="PH3.3.4" sheetId="26" r:id="rId4"/>
    <sheet name="PH3.3.A1" sheetId="5" r:id="rId5"/>
    <sheet name="PH3.3.A2" sheetId="6" r:id="rId6"/>
    <sheet name="PH3.3.A3" sheetId="27" r:id="rId7"/>
    <sheet name="PH3.3.A4" sheetId="28" r:id="rId8"/>
  </sheets>
  <definedNames>
    <definedName name="_xlnm.Print_Area" localSheetId="0">'PH3.3.1'!$A$1:$O$41</definedName>
    <definedName name="_xlnm.Print_Area" localSheetId="1">'PH3.3.2'!$A$1:$R$27</definedName>
    <definedName name="_xlnm.Print_Area" localSheetId="2">'PH3.3.3'!$A$1:$N$40</definedName>
    <definedName name="_xlnm.Print_Area" localSheetId="3">'PH3.3.4'!$A$1:$N$43</definedName>
    <definedName name="_xlnm.Print_Area" localSheetId="4">'PH3.3.A1'!$A$1:$K$212</definedName>
    <definedName name="_xlnm.Print_Area" localSheetId="5">'PH3.3.A2'!$A$1:$H$119</definedName>
    <definedName name="_xlnm.Print_Area" localSheetId="7">'PH3.3.A4'!$A$1:$E$172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 i="1" l="1"/>
  <c r="M16" i="1"/>
  <c r="M15" i="1"/>
  <c r="N15" i="1"/>
</calcChain>
</file>

<file path=xl/sharedStrings.xml><?xml version="1.0" encoding="utf-8"?>
<sst xmlns="http://schemas.openxmlformats.org/spreadsheetml/2006/main" count="1770" uniqueCount="135">
  <si>
    <t>Austria</t>
  </si>
  <si>
    <t>Belgium</t>
  </si>
  <si>
    <t>Bulgaria</t>
  </si>
  <si>
    <t>Denmark</t>
  </si>
  <si>
    <t>Estonia</t>
  </si>
  <si>
    <t>Finland</t>
  </si>
  <si>
    <t>France</t>
  </si>
  <si>
    <t>Greece</t>
  </si>
  <si>
    <t>Hungary</t>
  </si>
  <si>
    <t>Iceland</t>
  </si>
  <si>
    <t>Ireland</t>
  </si>
  <si>
    <t>Italy</t>
  </si>
  <si>
    <t>Latvia</t>
  </si>
  <si>
    <t>Lithuania</t>
  </si>
  <si>
    <t>Luxembourg</t>
  </si>
  <si>
    <t>Malta</t>
  </si>
  <si>
    <t>Netherlands</t>
  </si>
  <si>
    <t>Norway</t>
  </si>
  <si>
    <t>Poland</t>
  </si>
  <si>
    <t>Portugal</t>
  </si>
  <si>
    <t>Romania</t>
  </si>
  <si>
    <t>Slovak Republic</t>
  </si>
  <si>
    <t>Slovenia</t>
  </si>
  <si>
    <t>Spain</t>
  </si>
  <si>
    <t>Sweden</t>
  </si>
  <si>
    <t>Switzerland</t>
  </si>
  <si>
    <t>United Kingdom</t>
  </si>
  <si>
    <t/>
  </si>
  <si>
    <t>Croatia</t>
  </si>
  <si>
    <t>3rd quintile</t>
  </si>
  <si>
    <t>Own outright</t>
  </si>
  <si>
    <t>Owner with mortgage</t>
  </si>
  <si>
    <t>Rent (private)</t>
  </si>
  <si>
    <t>Other, unknown</t>
  </si>
  <si>
    <t>Notes:</t>
  </si>
  <si>
    <t>Share of households receiving housing allowance, by quintiles of the disposable income distribution, in percent</t>
  </si>
  <si>
    <t>Tenure shares of households receiving housing allowance, in percent</t>
  </si>
  <si>
    <t>Australia</t>
  </si>
  <si>
    <t>Canada</t>
  </si>
  <si>
    <t>Germany</t>
  </si>
  <si>
    <t>Japan</t>
  </si>
  <si>
    <t>New Zealand</t>
  </si>
  <si>
    <t>United States</t>
  </si>
  <si>
    <t>Average rent allowance as share of gross wage at 10th percentile</t>
  </si>
  <si>
    <t>Average rent allowance as share of gross wage at 50th percentile</t>
  </si>
  <si>
    <t>2. Only shows central government housing allowance. Where no national scheme exists, a representative region was chosen, refer to country specific information for more details: http://www.oecd.org/els/soc/benefits-and-wages-country-specific-information.htm.</t>
  </si>
  <si>
    <t>3. Half-time earnings at the 10th percentile of the wage distribution and full-time earnings at double the value. No transitional benefits for entering the labour market are considered; social assistance but no unemployment benefits are considered.</t>
  </si>
  <si>
    <t>4. The family types considered is a lone parent with two children aged 4 and 6.</t>
  </si>
  <si>
    <t>* Country pays rent allowance but withdraws none of the rent allowance when the lone parent doubles working hours and earnings.</t>
  </si>
  <si>
    <t>3. Full-time earnings are either at the 10th or the 50th percentile of the full-time wage distribution. No transitional benefits for entering the labour market are considered; social assistance but no unemployment benefits are considered.</t>
  </si>
  <si>
    <t>One earner couple with two children</t>
  </si>
  <si>
    <t>One earner couple</t>
  </si>
  <si>
    <t>Single</t>
  </si>
  <si>
    <t>Lone parent of two children</t>
  </si>
  <si>
    <t xml:space="preserve"> Decomposition of the marginal effective tax rate for an increase from half-time to full-time work at the 10th percentile of the wage distribution, by family type, in percent</t>
  </si>
  <si>
    <t>4. The family types considered is a single parent with two children aged 4 and 6.</t>
  </si>
  <si>
    <t>2. Only shows central government rent allowance. Where no national scheme exists, a representative region was chosen, refer to country specific information for more details: http://www.oecd.org/els/soc/benefits-and-wages-country-specific-information.htm.</t>
  </si>
  <si>
    <t>One earner couple, 10th percentile</t>
  </si>
  <si>
    <t>One earner couple, 50th percentile</t>
  </si>
  <si>
    <t>One earner couple with two children, 10th percentile</t>
  </si>
  <si>
    <t>One earner couple with two children, 50th percentile</t>
  </si>
  <si>
    <t>Single, 10th percentile</t>
  </si>
  <si>
    <t>Single, 50th percentile</t>
  </si>
  <si>
    <t>Lone parent with two children, 10th percentile</t>
  </si>
  <si>
    <t>Lone parent with two children, 50th percentile</t>
  </si>
  <si>
    <t>Other components of marginal tax rate</t>
  </si>
  <si>
    <t>Rent allowance component of marginal effective tax rate</t>
  </si>
  <si>
    <t>2nd quintile</t>
  </si>
  <si>
    <t>4th quintile</t>
  </si>
  <si>
    <t>1. Rent allowance calculated based on assumed rent of 20% of average wage.</t>
  </si>
  <si>
    <t>4. The four family types considered are (1) single person, (2) single parent with two children aged 4 and 6, (3) one-earner couple and (4) one-earner couple with two children aged 4 and 6. Earnings are either at the 10th- or the 50th-percentile of the full-time wage distribution.</t>
  </si>
  <si>
    <t>4. The four family types considered are (1) single person, (2) lone parent with two children aged 4 and 6, (3) one-earner couple and (4) one-earner couple with two children aged 4 and 6. Earnings are either at the 10th- or the 50th-percentile of the full-time wage distribution.</t>
  </si>
  <si>
    <t>Disclaimer: http://oe.cd/disclaimer</t>
  </si>
  <si>
    <t>EU</t>
  </si>
  <si>
    <t>OECD</t>
  </si>
  <si>
    <t>Israel</t>
  </si>
  <si>
    <t>Korea</t>
  </si>
  <si>
    <t>PH3.3.1. Share of households receiving a housing allowance</t>
  </si>
  <si>
    <t>PH3.3.A1.  Share of households receiving a housing allowance, by year</t>
  </si>
  <si>
    <t>1. No information available for Australia, Canada, Chile, Colombia, Costa Rica, Japan, Korea, Mexico, New Zealand, Türkiye and the United States due to data limitations. Only estimates for 100 or more data points are shown.</t>
  </si>
  <si>
    <t>4. In the United Kingdom, net income is not adjusted for local council taxes and housing benefits due to data limitations.</t>
  </si>
  <si>
    <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</si>
  <si>
    <t>Bottom quintile (↘)</t>
  </si>
  <si>
    <t>..</t>
  </si>
  <si>
    <t>Bottom quintile</t>
  </si>
  <si>
    <t>Top quintile</t>
  </si>
  <si>
    <t>.. Not available.</t>
  </si>
  <si>
    <t xml:space="preserve">5. In the Slovak Republic, a housing allowance (Príspevok na bývanie) does exist. However, it is received by a very limited number of people and linked to strict eligibility conditions. </t>
  </si>
  <si>
    <t>Czechia</t>
  </si>
  <si>
    <t>bottom quintile</t>
  </si>
  <si>
    <t>top quintile</t>
  </si>
  <si>
    <t xml:space="preserve">Marginal effective tax rate </t>
  </si>
  <si>
    <t>PH3.3.4. Marginal effective tax rates and the impact of rent allowance withdrawal</t>
  </si>
  <si>
    <t>Rent (subsidised)</t>
  </si>
  <si>
    <t>Türkiye</t>
  </si>
  <si>
    <t xml:space="preserve">PH3.3.2. Tenure structure of low-income households receiving housing allowance, selected countries </t>
  </si>
  <si>
    <t>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</si>
  <si>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Average of rent allowance for four different family types earning at the 10th- or the 50th-percentile of the wage distribution, in percent</t>
  </si>
  <si>
    <t>Cyprus</t>
  </si>
  <si>
    <r>
      <rPr>
        <i/>
        <sz val="9"/>
        <color theme="1"/>
        <rFont val="Arial Narrow"/>
        <family val="2"/>
      </rPr>
      <t>Source:</t>
    </r>
    <r>
      <rPr>
        <sz val="9"/>
        <color theme="1"/>
        <rFont val="Arial Narrow"/>
        <family val="2"/>
      </rPr>
      <t xml:space="preserve"> OECD calculations based on the European Survey on Income and Living Conditions; Understanding Society - The UK Household Longitudinal Study</t>
    </r>
  </si>
  <si>
    <t>Please cite this as: OECD (2025), OECD Affordable Housing Database - indicator PH3.3. Recipients and payment rates of housing allowances, https://oe.cd/ahd.</t>
  </si>
  <si>
    <r>
      <t xml:space="preserve">Sources:  </t>
    </r>
    <r>
      <rPr>
        <sz val="9"/>
        <color theme="1"/>
        <rFont val="Arial Narrow"/>
        <family val="2"/>
      </rPr>
      <t xml:space="preserve">OECD calculations based on the European Survey on Income and Living Conditions (EU-SILC 2024), except for  Switzerland (2023) and Iceland (2020); Understanding Society - The UK Household Longitudinal Study (2022); </t>
    </r>
  </si>
  <si>
    <t>Tenure shares of low-income households receiving housing allowance, in percent, 2024 or last year available</t>
  </si>
  <si>
    <t>Czech Republic</t>
  </si>
  <si>
    <t>1. No information available for Australia, Canada, Chile, Colombia, Costa Rica, Japan, Korea, Mexico, New Zealand, Türkiye and the United States due to data limitations. Only estimates for 100 or more data points are shown. Data for Hungary are not shown, as the data is in the process of being revised.</t>
  </si>
  <si>
    <t>PH3.3.3. Rent allowance as a share of household earnings, 2024</t>
  </si>
  <si>
    <r>
      <t xml:space="preserve">Data for PH3.3.3. </t>
    </r>
    <r>
      <rPr>
        <b/>
        <sz val="11"/>
        <rFont val="Arial Narrow"/>
        <family val="2"/>
      </rPr>
      <t>Rent allowance as a share of household earnings, 2024</t>
    </r>
  </si>
  <si>
    <t xml:space="preserve">United Kingdom </t>
  </si>
  <si>
    <t xml:space="preserve">1. No information available for Australia, Canada, Chile, Colombia, Costa Rica, Japan, Korea, Mexico, New Zealand, Türkiye and the United States due to data limitations. Only estimates for 100 or more data points are shown. Data for Hungary from 2019 to 2024 are not shown, as the data is in the process of being revised. </t>
  </si>
  <si>
    <t>PH3.3.A2. Tenure structure of households receiving a housing allowance, by income quintile, 2024 or latest year available</t>
  </si>
  <si>
    <t xml:space="preserve">Belgium </t>
  </si>
  <si>
    <t>Rent (subsidized)</t>
  </si>
  <si>
    <t>PH3.3.A4. Marginal effective tax rates and the impact of rent allowance withdrawal, 2024</t>
  </si>
  <si>
    <t>Average of rent allowance for four different family types earning at the 10th- or the 50th-percentile of the wage distrbution, in percent</t>
  </si>
  <si>
    <t>EU27</t>
  </si>
  <si>
    <t>Decomposition of the marginal effective tax rate for an increase from half-time to full-time work at the 10th percentile of the wage distribution for a lone-parent, in percent, 2024</t>
  </si>
  <si>
    <t>| Break .. Not available.</t>
  </si>
  <si>
    <t>3. Quintiles are based on the equivalised disposable income distribution. Low-income households are households in the bottom quintile of the net income distribution.</t>
  </si>
  <si>
    <t>5. In the United Kingdom, net income is not adjusted for local council taxes and housing benefits due to data limitations.</t>
  </si>
  <si>
    <t>6. In Sweden, part of the non-subsidised rent is owned by municipal housing companies and thus is not private.</t>
  </si>
  <si>
    <t>6. Data collection for household surveys faced additional limitations during the COVID-19 pandemic, which may affect the quality of data for 2020 and 2021. This included challenges to conducting face-to-face interviews, as well as difficulties to interpret certain questions in the context of the pandemic (e.g. questions relating to the primary place of residence among young people who had returned to live with their parents during the pandemic). With regards to EU-SILC, there were also cross-country differences in how the reference period was defined, as some countries interpreted the reference period as “before the crisis – as usual” while others considered the impacts of the pandemic (Eurostat, 2020).</t>
  </si>
  <si>
    <t xml:space="preserve">2. Only shows central government housing allowance. Where no national scheme exists, a representative region was chosen, refer to country specific information for more details: https://www.oecd.org/en/topics/sub-issues/income-support-redistribution-and-work-incentives/how-do-countries-calculate-tax-liabilities-and-social-benefit-entitlements.html </t>
  </si>
  <si>
    <r>
      <rPr>
        <i/>
        <sz val="8"/>
        <color theme="1"/>
        <rFont val="Arial Narrow"/>
        <family val="2"/>
      </rPr>
      <t>Source:</t>
    </r>
    <r>
      <rPr>
        <sz val="8"/>
        <color theme="1"/>
        <rFont val="Arial Narrow"/>
        <family val="2"/>
      </rPr>
      <t xml:space="preserve"> OECD tax-benefit model, TaxBEN version 2.7.1, https://www.oecd.org/en/topics/sub-issues/income-support-redistribution-and-work-incentives/how-do-countries-calculate-tax-liabilities-and-social-benefit-entitlements.html</t>
    </r>
  </si>
  <si>
    <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</si>
  <si>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Share of households receiving housing allowance, bottom and third quintiles of the income distribution, in percent, 2024 or last year available</t>
  </si>
  <si>
    <r>
      <t>6. In the Slovak Republic, a housing allowance (</t>
    </r>
    <r>
      <rPr>
        <i/>
        <sz val="9"/>
        <color theme="1"/>
        <rFont val="Arial Narrow"/>
        <family val="2"/>
      </rPr>
      <t>Príspevok na bývanie</t>
    </r>
    <r>
      <rPr>
        <sz val="9"/>
        <color theme="1"/>
        <rFont val="Arial Narrow"/>
        <family val="2"/>
      </rPr>
      <t xml:space="preserve">) does exist. However, it is received by a very limited number of people and linked to strict eligibility conditions. </t>
    </r>
  </si>
  <si>
    <r>
      <t xml:space="preserve">Source: </t>
    </r>
    <r>
      <rPr>
        <sz val="9"/>
        <color theme="1"/>
        <rFont val="Arial Narrow"/>
        <family val="2"/>
      </rPr>
      <t xml:space="preserve">OECD calculations based on the European Survey on Income and Living Conditions (EU-SILC 2024), except for Iceland (2018) and Portugal (2022); Understanding Society - The UK Household Longitudinal Study (2022); </t>
    </r>
  </si>
  <si>
    <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</si>
  <si>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Decomposition of the marginal effective tax rate for an increase from half-time to full-time work at the 10th percentile of the wage distribution for a lone-parent, in percent</t>
  </si>
  <si>
    <r>
      <rPr>
        <sz val="11"/>
        <rFont val="Arial"/>
        <family val="2"/>
      </rPr>
      <t>Data for PH3.3.4.</t>
    </r>
    <r>
      <rPr>
        <b/>
        <sz val="11"/>
        <rFont val="Arial"/>
        <family val="2"/>
      </rPr>
      <t xml:space="preserve"> Marginal effective tax rates and the impact of rent allowance withdrawal, 2024</t>
    </r>
  </si>
  <si>
    <t xml:space="preserve">Cyprus </t>
  </si>
  <si>
    <t xml:space="preserve">Israel </t>
  </si>
  <si>
    <t>2. Housing allowances should cover energy-related costs (e.g., rent, gas, electricity, heating, water and other utility bills). However, countries differ in whether and how these costs are included. Refer to the Data and comparability section of the companion PDF file for further discussion.</t>
  </si>
  <si>
    <t xml:space="preserve">4. Data for Switzerland refer to 2023; data for the United Kingdom refer to 2022; data for Iceland refer to 2020. </t>
  </si>
  <si>
    <t xml:space="preserve">4. Data for the United Kingdom and Portugal refer to 2022; data for Iceland refer to 2018.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</si>
</sst>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00000000%"/>
  </numFmts>
  <fonts count="29" x14ac:knownFonts="1">
    <font>
      <sz val="10"/>
      <color theme="1"/>
      <name val="Arial"/>
      <family val="2"/>
    </font>
    <font>
      <sz val="11"/>
      <color theme="1"/>
      <name val="Calibri"/>
      <family val="2"/>
      <scheme val="minor"/>
    </font>
    <font>
      <sz val="10"/>
      <color theme="1"/>
      <name val="Arial"/>
      <family val="2"/>
    </font>
    <font>
      <sz val="9"/>
      <color rgb="FF000000"/>
      <name val="Arial Narrow"/>
      <family val="2"/>
    </font>
    <font>
      <sz val="9"/>
      <color theme="1"/>
      <name val="Arial Narrow"/>
      <family val="2"/>
    </font>
    <font>
      <sz val="11"/>
      <color rgb="FF000000"/>
      <name val="Arial Narrow"/>
      <family val="2"/>
    </font>
    <font>
      <sz val="8"/>
      <color theme="1"/>
      <name val="Arial Narrow"/>
      <family val="2"/>
    </font>
    <font>
      <i/>
      <sz val="9"/>
      <color theme="1"/>
      <name val="Arial Narrow"/>
      <family val="2"/>
    </font>
    <font>
      <i/>
      <sz val="9"/>
      <color rgb="FF000000"/>
      <name val="Arial Narrow"/>
      <family val="2"/>
    </font>
    <font>
      <sz val="9"/>
      <color rgb="FF00B050"/>
      <name val="Arial Narrow"/>
      <family val="2"/>
    </font>
    <font>
      <sz val="11"/>
      <color theme="1"/>
      <name val="Arial Narrow"/>
      <family val="2"/>
    </font>
    <font>
      <b/>
      <sz val="11"/>
      <color rgb="FF000000"/>
      <name val="Arial Narrow"/>
      <family val="2"/>
    </font>
    <font>
      <sz val="11"/>
      <color theme="1"/>
      <name val="Arial"/>
      <family val="2"/>
    </font>
    <font>
      <sz val="9"/>
      <name val="Arial Narrow"/>
      <family val="2"/>
    </font>
    <font>
      <b/>
      <sz val="11"/>
      <name val="Arial Narrow"/>
      <family val="2"/>
    </font>
    <font>
      <sz val="11"/>
      <name val="Arial Narrow"/>
      <family val="2"/>
    </font>
    <font>
      <sz val="10"/>
      <name val="Arial"/>
      <family val="2"/>
    </font>
    <font>
      <sz val="8"/>
      <name val="Arial Narrow"/>
      <family val="2"/>
    </font>
    <font>
      <sz val="11"/>
      <name val="Arial"/>
      <family val="2"/>
    </font>
    <font>
      <b/>
      <sz val="9"/>
      <name val="Arial Narrow"/>
      <family val="2"/>
    </font>
    <font>
      <u/>
      <sz val="10"/>
      <color theme="10"/>
      <name val="Arial"/>
      <family val="2"/>
    </font>
    <font>
      <u/>
      <sz val="9"/>
      <color theme="10"/>
      <name val="Arial Narrow"/>
      <family val="2"/>
    </font>
    <font>
      <i/>
      <sz val="8"/>
      <color theme="1"/>
      <name val="Arial Narrow"/>
      <family val="2"/>
    </font>
    <font>
      <sz val="7.5"/>
      <color theme="1"/>
      <name val="Arial Narrow"/>
      <family val="2"/>
    </font>
    <font>
      <b/>
      <sz val="9"/>
      <color theme="1"/>
      <name val="Arial Narrow"/>
      <family val="2"/>
    </font>
    <font>
      <i/>
      <sz val="8"/>
      <color rgb="FF000000"/>
      <name val="Arial Narrow"/>
      <family val="2"/>
    </font>
    <font>
      <sz val="8"/>
      <color rgb="FF000000"/>
      <name val="Arial Narrow"/>
      <family val="2"/>
    </font>
    <font>
      <b/>
      <sz val="11"/>
      <name val="Arial"/>
      <family val="2"/>
    </font>
    <font>
      <u/>
      <sz val="8"/>
      <color theme="10"/>
      <name val="Arial Narrow"/>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1">
    <border>
      <left/>
      <right/>
      <top/>
      <bottom/>
      <diagonal/>
    </border>
    <border>
      <left/>
      <right/>
      <top/>
      <bottom style="medium">
        <color theme="4"/>
      </bottom>
      <diagonal/>
    </border>
    <border>
      <left/>
      <right/>
      <top/>
      <bottom style="thin">
        <color auto="1"/>
      </bottom>
      <diagonal/>
    </border>
    <border>
      <left/>
      <right/>
      <top style="thin">
        <color indexed="64"/>
      </top>
      <bottom/>
      <diagonal/>
    </border>
    <border>
      <left/>
      <right/>
      <top/>
      <bottom style="medium">
        <color indexed="64"/>
      </bottom>
      <diagonal/>
    </border>
    <border>
      <left style="thin">
        <color indexed="64"/>
      </left>
      <right/>
      <top/>
      <bottom style="thin">
        <color auto="1"/>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auto="1"/>
      </bottom>
      <diagonal/>
    </border>
  </borders>
  <cellStyleXfs count="5">
    <xf numFmtId="0" fontId="0" fillId="0" borderId="0"/>
    <xf numFmtId="9" fontId="2"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222">
    <xf numFmtId="0" fontId="0" fillId="0" borderId="0" xfId="0"/>
    <xf numFmtId="0" fontId="3" fillId="2" borderId="0" xfId="0" applyFont="1" applyFill="1"/>
    <xf numFmtId="0" fontId="4" fillId="2" borderId="0" xfId="0" applyFont="1" applyFill="1"/>
    <xf numFmtId="10" fontId="4" fillId="2" borderId="0" xfId="1" applyNumberFormat="1" applyFont="1" applyFill="1" applyAlignment="1">
      <alignment horizontal="center" vertical="center"/>
    </xf>
    <xf numFmtId="10" fontId="4" fillId="2" borderId="0" xfId="0" applyNumberFormat="1" applyFont="1" applyFill="1"/>
    <xf numFmtId="0" fontId="4" fillId="2" borderId="0" xfId="0" applyFont="1" applyFill="1" applyAlignment="1">
      <alignment horizontal="center"/>
    </xf>
    <xf numFmtId="0" fontId="7" fillId="2" borderId="0" xfId="0" applyFont="1" applyFill="1"/>
    <xf numFmtId="0" fontId="8" fillId="2" borderId="0" xfId="0" applyFont="1" applyFill="1"/>
    <xf numFmtId="0" fontId="5" fillId="2" borderId="0" xfId="0" applyFont="1" applyFill="1" applyAlignment="1">
      <alignment vertical="center" wrapText="1" readingOrder="1"/>
    </xf>
    <xf numFmtId="0" fontId="3" fillId="2" borderId="0" xfId="0" applyFont="1" applyFill="1" applyAlignment="1">
      <alignment vertical="center" wrapText="1"/>
    </xf>
    <xf numFmtId="0" fontId="9" fillId="2" borderId="0" xfId="0" applyFont="1" applyFill="1"/>
    <xf numFmtId="0" fontId="9" fillId="2" borderId="0" xfId="0" applyFont="1" applyFill="1" applyAlignment="1">
      <alignment horizontal="center"/>
    </xf>
    <xf numFmtId="0" fontId="0" fillId="0" borderId="0" xfId="0" applyAlignment="1">
      <alignment wrapText="1"/>
    </xf>
    <xf numFmtId="0" fontId="4" fillId="3" borderId="0" xfId="0" applyFont="1" applyFill="1"/>
    <xf numFmtId="164" fontId="4" fillId="2" borderId="0" xfId="1" applyNumberFormat="1" applyFont="1" applyFill="1" applyAlignment="1">
      <alignment horizontal="center"/>
    </xf>
    <xf numFmtId="0" fontId="13" fillId="2" borderId="0" xfId="0" applyFont="1" applyFill="1"/>
    <xf numFmtId="0" fontId="13" fillId="3" borderId="0" xfId="0" applyFont="1" applyFill="1"/>
    <xf numFmtId="10" fontId="13" fillId="2" borderId="0" xfId="1" applyNumberFormat="1" applyFont="1" applyFill="1" applyAlignment="1">
      <alignment horizontal="center" vertical="center"/>
    </xf>
    <xf numFmtId="164" fontId="13" fillId="2" borderId="0" xfId="0" applyNumberFormat="1" applyFont="1" applyFill="1" applyAlignment="1">
      <alignment horizontal="center"/>
    </xf>
    <xf numFmtId="164" fontId="13" fillId="2" borderId="0" xfId="1" applyNumberFormat="1" applyFont="1" applyFill="1" applyAlignment="1">
      <alignment horizontal="center" vertical="center"/>
    </xf>
    <xf numFmtId="164" fontId="13" fillId="3" borderId="0" xfId="0" applyNumberFormat="1" applyFont="1" applyFill="1" applyAlignment="1">
      <alignment horizontal="center"/>
    </xf>
    <xf numFmtId="164" fontId="13" fillId="3" borderId="0" xfId="1" applyNumberFormat="1" applyFont="1" applyFill="1" applyAlignment="1">
      <alignment horizontal="center" vertical="center"/>
    </xf>
    <xf numFmtId="0" fontId="19" fillId="2" borderId="0" xfId="0" applyFont="1" applyFill="1"/>
    <xf numFmtId="0" fontId="13" fillId="2" borderId="0" xfId="0" applyFont="1" applyFill="1" applyAlignment="1">
      <alignment horizontal="center"/>
    </xf>
    <xf numFmtId="10" fontId="13" fillId="2" borderId="0" xfId="1" applyNumberFormat="1" applyFont="1" applyFill="1" applyAlignment="1">
      <alignment horizontal="left" vertical="center"/>
    </xf>
    <xf numFmtId="0" fontId="21" fillId="2" borderId="0" xfId="2" applyFont="1" applyFill="1"/>
    <xf numFmtId="10" fontId="13" fillId="3" borderId="0" xfId="1" applyNumberFormat="1" applyFont="1" applyFill="1" applyAlignment="1">
      <alignment horizontal="left" vertical="center"/>
    </xf>
    <xf numFmtId="10" fontId="13" fillId="3" borderId="0" xfId="1" applyNumberFormat="1" applyFont="1" applyFill="1" applyAlignment="1">
      <alignment horizontal="center" vertical="center"/>
    </xf>
    <xf numFmtId="164" fontId="13" fillId="3" borderId="2" xfId="1" applyNumberFormat="1" applyFont="1" applyFill="1" applyBorder="1" applyAlignment="1">
      <alignment horizontal="center" vertical="center"/>
    </xf>
    <xf numFmtId="10" fontId="13" fillId="2" borderId="0" xfId="0" applyNumberFormat="1" applyFont="1" applyFill="1" applyAlignment="1">
      <alignment horizontal="center"/>
    </xf>
    <xf numFmtId="0" fontId="19" fillId="2" borderId="0" xfId="0" applyFont="1" applyFill="1" applyAlignment="1">
      <alignment horizontal="center"/>
    </xf>
    <xf numFmtId="0" fontId="4" fillId="2" borderId="0" xfId="0" applyFont="1" applyFill="1" applyAlignment="1">
      <alignment vertical="top" wrapText="1"/>
    </xf>
    <xf numFmtId="0" fontId="13" fillId="3" borderId="3" xfId="0" applyFont="1" applyFill="1" applyBorder="1"/>
    <xf numFmtId="0" fontId="13" fillId="3" borderId="2" xfId="0" applyFont="1" applyFill="1" applyBorder="1"/>
    <xf numFmtId="164" fontId="13" fillId="3" borderId="2" xfId="0" applyNumberFormat="1" applyFont="1" applyFill="1" applyBorder="1" applyAlignment="1">
      <alignment horizontal="center"/>
    </xf>
    <xf numFmtId="164" fontId="13" fillId="3" borderId="3" xfId="0" applyNumberFormat="1" applyFont="1" applyFill="1" applyBorder="1" applyAlignment="1">
      <alignment horizontal="center"/>
    </xf>
    <xf numFmtId="0" fontId="13" fillId="2" borderId="2" xfId="0" applyFont="1" applyFill="1" applyBorder="1"/>
    <xf numFmtId="164" fontId="13" fillId="3" borderId="3" xfId="1" applyNumberFormat="1" applyFont="1" applyFill="1" applyBorder="1" applyAlignment="1">
      <alignment horizontal="center"/>
    </xf>
    <xf numFmtId="0" fontId="13" fillId="2" borderId="0" xfId="0" applyFont="1" applyFill="1" applyBorder="1"/>
    <xf numFmtId="164" fontId="13" fillId="2" borderId="0" xfId="1" applyNumberFormat="1" applyFont="1" applyFill="1" applyBorder="1" applyAlignment="1">
      <alignment horizontal="center" vertical="center"/>
    </xf>
    <xf numFmtId="164" fontId="13" fillId="2" borderId="0" xfId="0" applyNumberFormat="1" applyFont="1" applyFill="1" applyBorder="1" applyAlignment="1">
      <alignment horizontal="center"/>
    </xf>
    <xf numFmtId="10" fontId="13" fillId="3" borderId="0" xfId="1" applyNumberFormat="1" applyFont="1" applyFill="1" applyBorder="1"/>
    <xf numFmtId="164" fontId="13" fillId="3" borderId="0" xfId="1" applyNumberFormat="1" applyFont="1" applyFill="1" applyBorder="1" applyAlignment="1">
      <alignment horizontal="center" vertical="center"/>
    </xf>
    <xf numFmtId="164" fontId="13" fillId="3" borderId="0" xfId="0" applyNumberFormat="1" applyFont="1" applyFill="1" applyBorder="1" applyAlignment="1">
      <alignment horizontal="center"/>
    </xf>
    <xf numFmtId="164" fontId="13" fillId="2" borderId="2" xfId="1" applyNumberFormat="1" applyFont="1" applyFill="1" applyBorder="1" applyAlignment="1">
      <alignment horizontal="center" vertical="center"/>
    </xf>
    <xf numFmtId="164" fontId="13" fillId="2" borderId="2" xfId="0" applyNumberFormat="1" applyFont="1" applyFill="1" applyBorder="1" applyAlignment="1">
      <alignment horizontal="center"/>
    </xf>
    <xf numFmtId="0" fontId="13" fillId="2" borderId="4" xfId="0" applyFont="1" applyFill="1" applyBorder="1" applyAlignment="1">
      <alignment horizontal="center"/>
    </xf>
    <xf numFmtId="10" fontId="13" fillId="3" borderId="0" xfId="1" applyNumberFormat="1" applyFont="1" applyFill="1" applyAlignment="1">
      <alignment horizontal="left" vertical="center" indent="1"/>
    </xf>
    <xf numFmtId="10" fontId="13" fillId="2" borderId="0" xfId="1" applyNumberFormat="1" applyFont="1" applyFill="1" applyAlignment="1">
      <alignment horizontal="left" vertical="center" indent="1"/>
    </xf>
    <xf numFmtId="0" fontId="4" fillId="0" borderId="0" xfId="0" applyFont="1"/>
    <xf numFmtId="0" fontId="8" fillId="2" borderId="0" xfId="0" applyFont="1" applyFill="1" applyAlignment="1"/>
    <xf numFmtId="10" fontId="13" fillId="2" borderId="4" xfId="1" applyNumberFormat="1" applyFont="1" applyFill="1" applyBorder="1" applyAlignment="1">
      <alignment horizontal="left" vertical="center" indent="1"/>
    </xf>
    <xf numFmtId="10" fontId="13" fillId="3" borderId="0" xfId="1" applyNumberFormat="1" applyFont="1" applyFill="1" applyBorder="1" applyAlignment="1">
      <alignment horizontal="left" vertical="center" indent="1"/>
    </xf>
    <xf numFmtId="10" fontId="13" fillId="2" borderId="2" xfId="1" applyNumberFormat="1" applyFont="1" applyFill="1" applyBorder="1" applyAlignment="1">
      <alignment horizontal="left" vertical="center" indent="1"/>
    </xf>
    <xf numFmtId="0" fontId="3" fillId="2" borderId="0" xfId="0" applyFont="1" applyFill="1" applyAlignment="1">
      <alignment horizontal="center"/>
    </xf>
    <xf numFmtId="164" fontId="13" fillId="2" borderId="4" xfId="1" applyNumberFormat="1" applyFont="1" applyFill="1" applyBorder="1" applyAlignment="1">
      <alignment horizontal="center" vertical="center"/>
    </xf>
    <xf numFmtId="164" fontId="13" fillId="2" borderId="4" xfId="0" applyNumberFormat="1" applyFont="1" applyFill="1" applyBorder="1" applyAlignment="1">
      <alignment horizontal="center"/>
    </xf>
    <xf numFmtId="0" fontId="19" fillId="2" borderId="4" xfId="0" applyFont="1" applyFill="1" applyBorder="1" applyAlignment="1">
      <alignment horizontal="center"/>
    </xf>
    <xf numFmtId="0" fontId="13" fillId="2" borderId="0" xfId="0" applyFont="1" applyFill="1" applyAlignment="1">
      <alignment horizontal="left"/>
    </xf>
    <xf numFmtId="1" fontId="13" fillId="2" borderId="0" xfId="0" applyNumberFormat="1" applyFont="1" applyFill="1" applyAlignment="1">
      <alignment horizontal="left"/>
    </xf>
    <xf numFmtId="0" fontId="4" fillId="2" borderId="0" xfId="0" applyFont="1" applyFill="1" applyAlignment="1">
      <alignment vertical="top"/>
    </xf>
    <xf numFmtId="164" fontId="4" fillId="2" borderId="0" xfId="1" applyNumberFormat="1" applyFont="1" applyFill="1"/>
    <xf numFmtId="164" fontId="13" fillId="2" borderId="0" xfId="1" applyNumberFormat="1" applyFont="1" applyFill="1" applyAlignment="1">
      <alignment horizontal="center"/>
    </xf>
    <xf numFmtId="10" fontId="4" fillId="2" borderId="0" xfId="1" applyNumberFormat="1" applyFont="1" applyFill="1"/>
    <xf numFmtId="0" fontId="4" fillId="2" borderId="0" xfId="0" applyFont="1" applyFill="1" applyAlignment="1">
      <alignment horizontal="left"/>
    </xf>
    <xf numFmtId="0" fontId="6" fillId="2" borderId="0" xfId="0" applyFont="1" applyFill="1" applyAlignment="1">
      <alignment vertical="top" wrapText="1"/>
    </xf>
    <xf numFmtId="164" fontId="13" fillId="2" borderId="0" xfId="0" applyNumberFormat="1" applyFont="1" applyFill="1"/>
    <xf numFmtId="164" fontId="9" fillId="2" borderId="0" xfId="0" applyNumberFormat="1" applyFont="1" applyFill="1"/>
    <xf numFmtId="10" fontId="13" fillId="3" borderId="2" xfId="1" applyNumberFormat="1" applyFont="1" applyFill="1" applyBorder="1"/>
    <xf numFmtId="0" fontId="4" fillId="2" borderId="0" xfId="0" applyFont="1" applyFill="1" applyAlignment="1">
      <alignment horizontal="center" vertical="top" wrapText="1"/>
    </xf>
    <xf numFmtId="0" fontId="4" fillId="2" borderId="0" xfId="0" applyFont="1" applyFill="1" applyAlignment="1">
      <alignment vertical="center"/>
    </xf>
    <xf numFmtId="0" fontId="4" fillId="2" borderId="0" xfId="0" applyFont="1" applyFill="1" applyAlignment="1">
      <alignment horizontal="left" vertical="top" wrapText="1"/>
    </xf>
    <xf numFmtId="0" fontId="4" fillId="2" borderId="0" xfId="0" applyFont="1" applyFill="1" applyAlignment="1">
      <alignment horizontal="left" vertical="center" wrapText="1"/>
    </xf>
    <xf numFmtId="0" fontId="13" fillId="2" borderId="0" xfId="0" applyFont="1" applyFill="1" applyAlignment="1">
      <alignment horizontal="left"/>
    </xf>
    <xf numFmtId="0" fontId="4" fillId="2" borderId="0" xfId="0" applyFont="1" applyFill="1" applyAlignment="1">
      <alignment horizontal="center" vertical="top" wrapText="1"/>
    </xf>
    <xf numFmtId="0" fontId="4" fillId="2" borderId="0" xfId="0" applyFont="1" applyFill="1" applyAlignment="1">
      <alignment horizontal="left" vertical="top" wrapText="1"/>
    </xf>
    <xf numFmtId="0" fontId="4" fillId="2" borderId="0" xfId="0" applyFont="1" applyFill="1" applyAlignment="1">
      <alignment horizontal="left" vertical="center" wrapText="1"/>
    </xf>
    <xf numFmtId="0" fontId="4" fillId="2" borderId="0" xfId="0" applyFont="1" applyFill="1" applyAlignment="1">
      <alignment horizontal="left" wrapText="1"/>
    </xf>
    <xf numFmtId="0" fontId="13" fillId="2" borderId="0" xfId="0" applyFont="1" applyFill="1" applyAlignment="1">
      <alignment horizontal="left"/>
    </xf>
    <xf numFmtId="0" fontId="4" fillId="2" borderId="0" xfId="0" applyFont="1" applyFill="1" applyAlignment="1">
      <alignment wrapText="1"/>
    </xf>
    <xf numFmtId="0" fontId="13" fillId="3" borderId="0" xfId="0" applyFont="1" applyFill="1" applyBorder="1"/>
    <xf numFmtId="0" fontId="19" fillId="3" borderId="0" xfId="0" applyFont="1" applyFill="1" applyBorder="1"/>
    <xf numFmtId="164" fontId="19" fillId="3" borderId="0" xfId="0" applyNumberFormat="1" applyFont="1" applyFill="1" applyBorder="1" applyAlignment="1">
      <alignment horizontal="center"/>
    </xf>
    <xf numFmtId="164" fontId="19" fillId="2" borderId="0" xfId="0" applyNumberFormat="1" applyFont="1" applyFill="1" applyAlignment="1">
      <alignment horizontal="center"/>
    </xf>
    <xf numFmtId="164" fontId="13" fillId="3" borderId="3" xfId="1" applyNumberFormat="1" applyFont="1" applyFill="1" applyBorder="1" applyAlignment="1">
      <alignment horizontal="center" vertical="center"/>
    </xf>
    <xf numFmtId="164" fontId="13" fillId="2" borderId="3" xfId="1" applyNumberFormat="1" applyFont="1" applyFill="1" applyBorder="1" applyAlignment="1">
      <alignment horizontal="center" vertical="center"/>
    </xf>
    <xf numFmtId="0" fontId="4" fillId="0" borderId="3" xfId="0" applyFont="1" applyBorder="1"/>
    <xf numFmtId="0" fontId="9" fillId="2" borderId="3" xfId="0" applyFont="1" applyFill="1" applyBorder="1"/>
    <xf numFmtId="9" fontId="4" fillId="2" borderId="0" xfId="1" applyFont="1" applyFill="1"/>
    <xf numFmtId="0" fontId="19" fillId="3" borderId="0" xfId="0" applyFont="1" applyFill="1"/>
    <xf numFmtId="164" fontId="19" fillId="3" borderId="0" xfId="1" applyNumberFormat="1" applyFont="1" applyFill="1" applyAlignment="1">
      <alignment horizontal="center" vertical="center"/>
    </xf>
    <xf numFmtId="164" fontId="19" fillId="2" borderId="0" xfId="1" applyNumberFormat="1" applyFont="1" applyFill="1" applyAlignment="1">
      <alignment horizontal="center" vertical="center"/>
    </xf>
    <xf numFmtId="164" fontId="4" fillId="2" borderId="0" xfId="0" applyNumberFormat="1" applyFont="1" applyFill="1"/>
    <xf numFmtId="164" fontId="4" fillId="3" borderId="0" xfId="1" applyNumberFormat="1" applyFont="1" applyFill="1" applyAlignment="1">
      <alignment horizontal="center"/>
    </xf>
    <xf numFmtId="0" fontId="24" fillId="3" borderId="0" xfId="0" applyFont="1" applyFill="1"/>
    <xf numFmtId="164" fontId="24" fillId="3" borderId="0" xfId="1" applyNumberFormat="1" applyFont="1" applyFill="1" applyAlignment="1">
      <alignment horizontal="center"/>
    </xf>
    <xf numFmtId="165" fontId="4" fillId="2" borderId="0" xfId="0" applyNumberFormat="1" applyFont="1" applyFill="1"/>
    <xf numFmtId="0" fontId="4" fillId="2" borderId="0" xfId="0" applyFont="1" applyFill="1" applyAlignment="1">
      <alignment horizontal="left" vertical="top" wrapText="1"/>
    </xf>
    <xf numFmtId="0" fontId="6" fillId="2" borderId="0" xfId="0" applyFont="1" applyFill="1" applyAlignment="1">
      <alignment horizontal="left" vertical="top" wrapText="1"/>
    </xf>
    <xf numFmtId="0" fontId="4" fillId="2" borderId="0" xfId="0" applyFont="1" applyFill="1" applyAlignment="1">
      <alignment horizontal="left" vertical="top" wrapText="1"/>
    </xf>
    <xf numFmtId="0" fontId="4" fillId="2" borderId="0" xfId="0" applyFont="1" applyFill="1" applyAlignment="1">
      <alignment horizontal="left" vertical="center" wrapText="1"/>
    </xf>
    <xf numFmtId="0" fontId="4" fillId="2" borderId="0" xfId="0" applyFont="1" applyFill="1" applyAlignment="1">
      <alignment horizontal="left" wrapText="1"/>
    </xf>
    <xf numFmtId="0" fontId="6" fillId="2" borderId="0" xfId="0" applyFont="1" applyFill="1" applyAlignment="1">
      <alignment horizontal="left" vertical="top" wrapText="1"/>
    </xf>
    <xf numFmtId="0" fontId="13" fillId="2" borderId="0" xfId="0" applyFont="1" applyFill="1" applyAlignment="1">
      <alignment horizontal="left"/>
    </xf>
    <xf numFmtId="2" fontId="13" fillId="2" borderId="0" xfId="0" applyNumberFormat="1" applyFont="1" applyFill="1"/>
    <xf numFmtId="10" fontId="4" fillId="3" borderId="0" xfId="1" applyNumberFormat="1" applyFont="1" applyFill="1" applyAlignment="1">
      <alignment horizontal="center" vertical="center"/>
    </xf>
    <xf numFmtId="164" fontId="4" fillId="2" borderId="0" xfId="1" applyNumberFormat="1" applyFont="1" applyFill="1" applyAlignment="1">
      <alignment horizontal="center" vertical="center"/>
    </xf>
    <xf numFmtId="164" fontId="4" fillId="2" borderId="6" xfId="1" applyNumberFormat="1" applyFont="1" applyFill="1" applyBorder="1" applyAlignment="1">
      <alignment horizontal="center" vertical="center"/>
    </xf>
    <xf numFmtId="164" fontId="4" fillId="3" borderId="0" xfId="1" applyNumberFormat="1" applyFont="1" applyFill="1" applyAlignment="1">
      <alignment horizontal="center" vertical="center"/>
    </xf>
    <xf numFmtId="164" fontId="4" fillId="3" borderId="6" xfId="1" applyNumberFormat="1" applyFont="1" applyFill="1" applyBorder="1" applyAlignment="1">
      <alignment horizontal="center" vertical="center"/>
    </xf>
    <xf numFmtId="164" fontId="4" fillId="2" borderId="2" xfId="1" applyNumberFormat="1" applyFont="1" applyFill="1" applyBorder="1" applyAlignment="1">
      <alignment horizontal="center" vertical="center"/>
    </xf>
    <xf numFmtId="164" fontId="4" fillId="2" borderId="5" xfId="1" applyNumberFormat="1" applyFont="1" applyFill="1" applyBorder="1" applyAlignment="1">
      <alignment horizontal="center" vertical="center"/>
    </xf>
    <xf numFmtId="164" fontId="4" fillId="3" borderId="0" xfId="1" applyNumberFormat="1" applyFont="1" applyFill="1" applyBorder="1" applyAlignment="1">
      <alignment horizontal="center" vertical="center"/>
    </xf>
    <xf numFmtId="164" fontId="4" fillId="2" borderId="0" xfId="0" applyNumberFormat="1" applyFont="1" applyFill="1" applyAlignment="1">
      <alignment horizontal="center"/>
    </xf>
    <xf numFmtId="164" fontId="4" fillId="3" borderId="0" xfId="0" applyNumberFormat="1" applyFont="1" applyFill="1" applyAlignment="1">
      <alignment horizontal="center"/>
    </xf>
    <xf numFmtId="164" fontId="4" fillId="2" borderId="2" xfId="0" applyNumberFormat="1" applyFont="1" applyFill="1" applyBorder="1" applyAlignment="1">
      <alignment horizontal="center"/>
    </xf>
    <xf numFmtId="164" fontId="4" fillId="2" borderId="4" xfId="0" applyNumberFormat="1" applyFont="1" applyFill="1" applyBorder="1" applyAlignment="1">
      <alignment horizontal="center"/>
    </xf>
    <xf numFmtId="0" fontId="23" fillId="2" borderId="0" xfId="0" applyFont="1" applyFill="1"/>
    <xf numFmtId="0" fontId="23" fillId="2" borderId="0" xfId="0" applyFont="1" applyFill="1" applyAlignment="1">
      <alignment vertical="center"/>
    </xf>
    <xf numFmtId="0" fontId="23" fillId="2" borderId="0" xfId="0" applyFont="1" applyFill="1" applyAlignment="1">
      <alignment vertical="top" wrapText="1"/>
    </xf>
    <xf numFmtId="10" fontId="13" fillId="3" borderId="3" xfId="1" applyNumberFormat="1" applyFont="1" applyFill="1" applyBorder="1" applyAlignment="1">
      <alignment horizontal="left" vertical="center"/>
    </xf>
    <xf numFmtId="10" fontId="13" fillId="2" borderId="3" xfId="1" applyNumberFormat="1" applyFont="1" applyFill="1" applyBorder="1" applyAlignment="1">
      <alignment horizontal="left" vertical="center"/>
    </xf>
    <xf numFmtId="10" fontId="4" fillId="2" borderId="6" xfId="1" applyNumberFormat="1" applyFont="1" applyFill="1" applyBorder="1"/>
    <xf numFmtId="10" fontId="4" fillId="2" borderId="0" xfId="1" applyNumberFormat="1" applyFont="1" applyFill="1" applyBorder="1"/>
    <xf numFmtId="10" fontId="4" fillId="2" borderId="8" xfId="1" applyNumberFormat="1" applyFont="1" applyFill="1" applyBorder="1"/>
    <xf numFmtId="0" fontId="6" fillId="2" borderId="0" xfId="0" applyFont="1" applyFill="1"/>
    <xf numFmtId="0" fontId="3" fillId="0" borderId="0" xfId="0" applyFont="1" applyBorder="1" applyAlignment="1">
      <alignment horizontal="center" vertical="center" wrapText="1"/>
    </xf>
    <xf numFmtId="0" fontId="4" fillId="2" borderId="0" xfId="0" applyFont="1" applyFill="1" applyBorder="1"/>
    <xf numFmtId="0" fontId="4" fillId="2" borderId="2" xfId="0" applyFont="1" applyFill="1" applyBorder="1"/>
    <xf numFmtId="0" fontId="4" fillId="0" borderId="0" xfId="0" applyFont="1" applyBorder="1"/>
    <xf numFmtId="0" fontId="4" fillId="2" borderId="0" xfId="0" applyFont="1" applyFill="1" applyAlignment="1">
      <alignment horizontal="left" indent="1"/>
    </xf>
    <xf numFmtId="10" fontId="4" fillId="2" borderId="7" xfId="1" applyNumberFormat="1" applyFont="1" applyFill="1" applyBorder="1"/>
    <xf numFmtId="0" fontId="6" fillId="2" borderId="0" xfId="0" applyFont="1" applyFill="1" applyAlignment="1">
      <alignment vertical="center" wrapText="1"/>
    </xf>
    <xf numFmtId="0" fontId="25" fillId="2" borderId="0" xfId="0" applyFont="1" applyFill="1"/>
    <xf numFmtId="0" fontId="26" fillId="2" borderId="0" xfId="0" applyFont="1" applyFill="1"/>
    <xf numFmtId="10" fontId="6" fillId="2" borderId="0" xfId="1" applyNumberFormat="1" applyFont="1" applyFill="1"/>
    <xf numFmtId="0" fontId="6" fillId="2" borderId="0" xfId="0" applyFont="1" applyFill="1" applyAlignment="1">
      <alignment horizontal="center"/>
    </xf>
    <xf numFmtId="0" fontId="4" fillId="2" borderId="0" xfId="0" applyFont="1" applyFill="1" applyAlignment="1">
      <alignment horizontal="left" vertical="top" wrapText="1"/>
    </xf>
    <xf numFmtId="0" fontId="4" fillId="2" borderId="0" xfId="0" applyFont="1" applyFill="1" applyAlignment="1">
      <alignment horizontal="left" vertical="center" wrapText="1"/>
    </xf>
    <xf numFmtId="0" fontId="4" fillId="2" borderId="0" xfId="0" applyFont="1" applyFill="1" applyAlignment="1">
      <alignment horizontal="left" wrapText="1"/>
    </xf>
    <xf numFmtId="0" fontId="13" fillId="2" borderId="0" xfId="0" applyFont="1" applyFill="1" applyAlignment="1">
      <alignment horizontal="left"/>
    </xf>
    <xf numFmtId="0" fontId="17" fillId="2" borderId="0" xfId="0" applyFont="1" applyFill="1" applyAlignment="1">
      <alignment horizontal="left" vertical="center"/>
    </xf>
    <xf numFmtId="0" fontId="6" fillId="2" borderId="0" xfId="0" applyFont="1" applyFill="1" applyAlignment="1">
      <alignment horizontal="left" vertical="top" wrapText="1"/>
    </xf>
    <xf numFmtId="0" fontId="17" fillId="2" borderId="0" xfId="0" applyFont="1" applyFill="1" applyAlignment="1">
      <alignment horizontal="left" vertical="top" wrapText="1"/>
    </xf>
    <xf numFmtId="0" fontId="23" fillId="2" borderId="0" xfId="0" applyFont="1" applyFill="1" applyAlignment="1">
      <alignment horizontal="left" vertical="top" wrapText="1"/>
    </xf>
    <xf numFmtId="0" fontId="23" fillId="2" borderId="0" xfId="0" applyFont="1" applyFill="1" applyAlignment="1">
      <alignment horizontal="left" vertical="center" wrapText="1"/>
    </xf>
    <xf numFmtId="0" fontId="23" fillId="2" borderId="0" xfId="0" applyFont="1" applyFill="1" applyAlignment="1">
      <alignment vertical="center" wrapText="1"/>
    </xf>
    <xf numFmtId="0" fontId="11" fillId="2" borderId="0" xfId="0" applyFont="1" applyFill="1" applyAlignment="1">
      <alignment vertical="center" readingOrder="1"/>
    </xf>
    <xf numFmtId="0" fontId="3" fillId="2" borderId="0" xfId="0" applyFont="1" applyFill="1" applyAlignment="1">
      <alignment vertical="center"/>
    </xf>
    <xf numFmtId="0" fontId="4" fillId="2" borderId="0" xfId="0" applyFont="1" applyFill="1" applyBorder="1" applyAlignment="1">
      <alignment vertical="center" wrapText="1"/>
    </xf>
    <xf numFmtId="0" fontId="14" fillId="2" borderId="0" xfId="0" applyFont="1" applyFill="1" applyAlignment="1">
      <alignment horizontal="left" vertical="center" readingOrder="1"/>
    </xf>
    <xf numFmtId="0" fontId="15" fillId="2" borderId="0" xfId="0" applyFont="1" applyFill="1" applyAlignment="1">
      <alignment horizontal="left" vertical="center" readingOrder="1"/>
    </xf>
    <xf numFmtId="0" fontId="13" fillId="2" borderId="0" xfId="0" applyFont="1" applyFill="1" applyAlignment="1">
      <alignment horizontal="left" vertical="center"/>
    </xf>
    <xf numFmtId="0" fontId="17" fillId="2" borderId="0" xfId="0" applyFont="1" applyFill="1" applyAlignment="1">
      <alignment vertical="top" wrapText="1"/>
    </xf>
    <xf numFmtId="0" fontId="13" fillId="2" borderId="0" xfId="0" applyFont="1" applyFill="1" applyAlignment="1">
      <alignment horizontal="left" vertical="center" wrapText="1"/>
    </xf>
    <xf numFmtId="0" fontId="4" fillId="2" borderId="0" xfId="0" applyFont="1" applyFill="1" applyAlignment="1">
      <alignment horizontal="left" vertical="top"/>
    </xf>
    <xf numFmtId="0" fontId="28" fillId="2" borderId="0" xfId="2" applyFont="1" applyFill="1"/>
    <xf numFmtId="0" fontId="19" fillId="2" borderId="0" xfId="0" applyFont="1" applyFill="1" applyAlignment="1">
      <alignment vertical="top" readingOrder="1"/>
    </xf>
    <xf numFmtId="0" fontId="6" fillId="2" borderId="0" xfId="0" applyFont="1" applyFill="1" applyAlignment="1">
      <alignment horizontal="left" vertical="top"/>
    </xf>
    <xf numFmtId="0" fontId="4" fillId="3" borderId="2" xfId="0" applyFont="1" applyFill="1" applyBorder="1"/>
    <xf numFmtId="164" fontId="4" fillId="3" borderId="2" xfId="1" applyNumberFormat="1" applyFont="1" applyFill="1" applyBorder="1" applyAlignment="1">
      <alignment horizontal="center"/>
    </xf>
    <xf numFmtId="10" fontId="4" fillId="3" borderId="0" xfId="1" applyNumberFormat="1" applyFont="1" applyFill="1"/>
    <xf numFmtId="10" fontId="4" fillId="3" borderId="6" xfId="1" applyNumberFormat="1" applyFont="1" applyFill="1" applyBorder="1"/>
    <xf numFmtId="10" fontId="4" fillId="3" borderId="8" xfId="1" applyNumberFormat="1" applyFont="1" applyFill="1" applyBorder="1"/>
    <xf numFmtId="10" fontId="4" fillId="3" borderId="0" xfId="1" applyNumberFormat="1" applyFont="1" applyFill="1" applyBorder="1"/>
    <xf numFmtId="10" fontId="4" fillId="3" borderId="2" xfId="1" applyNumberFormat="1" applyFont="1" applyFill="1" applyBorder="1"/>
    <xf numFmtId="10" fontId="4" fillId="3" borderId="5" xfId="1" applyNumberFormat="1" applyFont="1" applyFill="1" applyBorder="1"/>
    <xf numFmtId="10" fontId="4" fillId="3" borderId="9" xfId="1" applyNumberFormat="1" applyFont="1" applyFill="1" applyBorder="1"/>
    <xf numFmtId="0" fontId="4" fillId="3" borderId="0" xfId="0" applyFont="1" applyFill="1" applyAlignment="1">
      <alignment horizontal="left"/>
    </xf>
    <xf numFmtId="10" fontId="4" fillId="3" borderId="0" xfId="1" applyNumberFormat="1" applyFont="1" applyFill="1" applyAlignment="1">
      <alignment horizontal="center"/>
    </xf>
    <xf numFmtId="10" fontId="4" fillId="3" borderId="7" xfId="1" applyNumberFormat="1" applyFont="1" applyFill="1" applyBorder="1" applyAlignment="1">
      <alignment horizontal="center"/>
    </xf>
    <xf numFmtId="10" fontId="4" fillId="3" borderId="6" xfId="1" applyNumberFormat="1" applyFont="1" applyFill="1" applyBorder="1" applyAlignment="1">
      <alignment horizontal="center"/>
    </xf>
    <xf numFmtId="0" fontId="4" fillId="3" borderId="0" xfId="0" applyFont="1" applyFill="1" applyAlignment="1">
      <alignment horizontal="left" indent="1"/>
    </xf>
    <xf numFmtId="10" fontId="4" fillId="3" borderId="7" xfId="1" applyNumberFormat="1" applyFont="1" applyFill="1" applyBorder="1"/>
    <xf numFmtId="0" fontId="4" fillId="2" borderId="2" xfId="0" applyFont="1" applyFill="1" applyBorder="1" applyAlignment="1">
      <alignment horizontal="left" indent="1"/>
    </xf>
    <xf numFmtId="10" fontId="4" fillId="2" borderId="2" xfId="1" applyNumberFormat="1" applyFont="1" applyFill="1" applyBorder="1"/>
    <xf numFmtId="10" fontId="4" fillId="2" borderId="10" xfId="1" applyNumberFormat="1" applyFont="1" applyFill="1" applyBorder="1"/>
    <xf numFmtId="10" fontId="4" fillId="2" borderId="5" xfId="1" applyNumberFormat="1" applyFont="1" applyFill="1" applyBorder="1"/>
    <xf numFmtId="0" fontId="10" fillId="2" borderId="0" xfId="0" applyFont="1" applyFill="1" applyBorder="1" applyAlignment="1">
      <alignment horizontal="center" vertical="center" wrapText="1"/>
    </xf>
    <xf numFmtId="0" fontId="12" fillId="0" borderId="0" xfId="0" applyFont="1" applyBorder="1" applyAlignment="1">
      <alignment horizontal="center" vertical="center" wrapText="1"/>
    </xf>
    <xf numFmtId="0" fontId="4" fillId="2" borderId="0" xfId="0" applyFont="1" applyFill="1" applyBorder="1" applyAlignment="1">
      <alignment horizontal="center" vertical="center" wrapText="1"/>
    </xf>
    <xf numFmtId="0" fontId="0" fillId="0" borderId="0" xfId="0" applyBorder="1" applyAlignment="1">
      <alignment horizontal="center" vertical="center" wrapText="1"/>
    </xf>
    <xf numFmtId="0" fontId="4" fillId="2" borderId="0" xfId="0" applyFont="1" applyFill="1" applyAlignment="1">
      <alignment horizontal="left" vertical="top" wrapText="1"/>
    </xf>
    <xf numFmtId="0" fontId="7" fillId="2" borderId="0" xfId="0" applyFont="1" applyFill="1" applyAlignment="1">
      <alignment horizontal="left" vertical="center" wrapText="1"/>
    </xf>
    <xf numFmtId="0" fontId="4" fillId="2" borderId="0" xfId="0" applyFont="1" applyFill="1" applyAlignment="1">
      <alignment horizontal="left" vertical="center" wrapText="1"/>
    </xf>
    <xf numFmtId="0" fontId="4" fillId="2" borderId="0" xfId="0" applyFont="1" applyFill="1" applyAlignment="1">
      <alignment horizontal="left" wrapText="1"/>
    </xf>
    <xf numFmtId="0" fontId="19" fillId="2" borderId="0" xfId="0" applyFont="1" applyFill="1" applyBorder="1" applyAlignment="1">
      <alignment horizontal="center" wrapText="1"/>
    </xf>
    <xf numFmtId="0" fontId="19" fillId="2" borderId="2" xfId="0" applyFont="1" applyFill="1" applyBorder="1" applyAlignment="1">
      <alignment horizontal="center" wrapText="1"/>
    </xf>
    <xf numFmtId="0" fontId="13" fillId="2" borderId="0" xfId="0" applyFont="1" applyFill="1" applyAlignment="1">
      <alignment horizontal="left"/>
    </xf>
    <xf numFmtId="0" fontId="19" fillId="2" borderId="0" xfId="0" applyFont="1" applyFill="1" applyAlignment="1">
      <alignment horizontal="center" wrapText="1"/>
    </xf>
    <xf numFmtId="10" fontId="4" fillId="2" borderId="0" xfId="1" applyNumberFormat="1" applyFont="1" applyFill="1" applyAlignment="1">
      <alignment horizontal="center" vertical="center" wrapText="1"/>
    </xf>
    <xf numFmtId="0" fontId="4" fillId="2" borderId="0" xfId="0" applyFont="1" applyFill="1" applyAlignment="1">
      <alignment horizontal="center" vertical="center" wrapText="1"/>
    </xf>
    <xf numFmtId="0" fontId="15" fillId="0" borderId="0" xfId="0" applyFont="1" applyAlignment="1">
      <alignment horizontal="center" vertical="center" wrapText="1"/>
    </xf>
    <xf numFmtId="0" fontId="13" fillId="2" borderId="0" xfId="0" applyFont="1" applyFill="1" applyAlignment="1">
      <alignment horizontal="center" vertical="center" wrapText="1"/>
    </xf>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6" fillId="2" borderId="0" xfId="0" applyFont="1" applyFill="1" applyAlignment="1">
      <alignment horizontal="left" vertical="top" wrapText="1"/>
    </xf>
    <xf numFmtId="0" fontId="17" fillId="2" borderId="0" xfId="0" applyFont="1" applyFill="1" applyAlignment="1">
      <alignment horizontal="left" vertical="center"/>
    </xf>
    <xf numFmtId="0" fontId="17" fillId="2" borderId="0" xfId="0" applyFont="1" applyFill="1" applyAlignment="1">
      <alignment horizontal="left" vertical="top" wrapText="1"/>
    </xf>
    <xf numFmtId="0" fontId="6" fillId="2" borderId="0" xfId="0" applyFont="1" applyFill="1" applyAlignment="1">
      <alignment horizontal="left" vertical="center" wrapText="1"/>
    </xf>
    <xf numFmtId="164" fontId="4" fillId="2" borderId="0" xfId="0" applyNumberFormat="1" applyFont="1" applyFill="1" applyAlignment="1">
      <alignment horizontal="center" vertical="center" wrapText="1"/>
    </xf>
    <xf numFmtId="164" fontId="4" fillId="2" borderId="0" xfId="1" applyNumberFormat="1" applyFont="1" applyFill="1" applyAlignment="1">
      <alignment horizontal="center" vertical="center" wrapText="1"/>
    </xf>
    <xf numFmtId="0" fontId="13" fillId="2" borderId="0" xfId="0" applyFont="1" applyFill="1" applyAlignment="1">
      <alignment horizontal="left" vertical="center" wrapText="1"/>
    </xf>
    <xf numFmtId="0" fontId="4" fillId="2" borderId="1" xfId="0" applyFont="1" applyFill="1" applyBorder="1" applyAlignment="1">
      <alignment horizontal="center" vertical="center" wrapText="1"/>
    </xf>
    <xf numFmtId="0" fontId="27" fillId="0" borderId="0" xfId="0" applyFont="1" applyAlignment="1">
      <alignment horizontal="center" vertical="center" wrapText="1"/>
    </xf>
    <xf numFmtId="0" fontId="23" fillId="2" borderId="0" xfId="0" applyFont="1" applyFill="1" applyAlignment="1">
      <alignment horizontal="left" vertical="center" wrapText="1"/>
    </xf>
    <xf numFmtId="0" fontId="23" fillId="2" borderId="0" xfId="0" applyFont="1" applyFill="1" applyAlignment="1">
      <alignment vertical="center" wrapText="1"/>
    </xf>
    <xf numFmtId="0" fontId="13" fillId="2" borderId="0" xfId="0" applyFont="1" applyFill="1" applyAlignment="1">
      <alignment horizontal="left" vertical="top" wrapText="1" readingOrder="1"/>
    </xf>
    <xf numFmtId="0" fontId="4" fillId="2" borderId="0" xfId="0" applyFont="1" applyFill="1" applyBorder="1" applyAlignment="1">
      <alignment horizontal="center" vertical="top" wrapText="1"/>
    </xf>
    <xf numFmtId="0" fontId="4" fillId="2" borderId="2" xfId="0" applyFont="1" applyFill="1" applyBorder="1" applyAlignment="1">
      <alignment horizontal="center" vertical="top" wrapText="1"/>
    </xf>
    <xf numFmtId="0" fontId="4" fillId="2" borderId="6" xfId="0" applyFont="1" applyFill="1" applyBorder="1" applyAlignment="1">
      <alignment horizontal="center" vertical="top" wrapText="1"/>
    </xf>
    <xf numFmtId="0" fontId="4" fillId="2" borderId="5" xfId="0" applyFont="1" applyFill="1" applyBorder="1" applyAlignment="1">
      <alignment horizontal="center" vertical="top" wrapText="1"/>
    </xf>
    <xf numFmtId="0" fontId="4" fillId="2" borderId="8" xfId="0" applyFont="1" applyFill="1" applyBorder="1" applyAlignment="1">
      <alignment horizontal="center" vertical="top" wrapText="1"/>
    </xf>
    <xf numFmtId="0" fontId="4" fillId="2" borderId="9" xfId="0" applyFont="1" applyFill="1" applyBorder="1" applyAlignment="1">
      <alignment horizontal="center" vertical="top" wrapText="1"/>
    </xf>
    <xf numFmtId="0" fontId="19" fillId="2" borderId="0" xfId="0" applyFont="1" applyFill="1" applyAlignment="1">
      <alignment horizontal="left" vertical="top" wrapText="1" readingOrder="1"/>
    </xf>
    <xf numFmtId="0" fontId="3" fillId="2" borderId="0" xfId="0" applyFont="1" applyFill="1" applyAlignment="1">
      <alignment horizontal="left" vertical="top" wrapText="1"/>
    </xf>
    <xf numFmtId="0" fontId="24" fillId="2" borderId="0" xfId="0" applyFont="1" applyFill="1" applyBorder="1" applyAlignment="1">
      <alignment horizontal="center" vertical="top" wrapText="1"/>
    </xf>
    <xf numFmtId="0" fontId="24" fillId="2" borderId="2" xfId="0" applyFont="1" applyFill="1" applyBorder="1" applyAlignment="1">
      <alignment horizontal="center" vertical="top" wrapText="1"/>
    </xf>
    <xf numFmtId="0" fontId="24" fillId="2" borderId="7" xfId="0" applyFont="1" applyFill="1" applyBorder="1" applyAlignment="1">
      <alignment horizontal="center" vertical="top" wrapText="1"/>
    </xf>
    <xf numFmtId="0" fontId="24" fillId="2" borderId="10" xfId="0" applyFont="1" applyFill="1" applyBorder="1" applyAlignment="1">
      <alignment horizontal="center" vertical="top" wrapText="1"/>
    </xf>
    <xf numFmtId="0" fontId="24" fillId="2" borderId="6" xfId="0" applyFont="1" applyFill="1" applyBorder="1" applyAlignment="1">
      <alignment horizontal="center" vertical="top" wrapText="1"/>
    </xf>
    <xf numFmtId="0" fontId="24" fillId="2" borderId="5" xfId="0" applyFont="1" applyFill="1" applyBorder="1" applyAlignment="1">
      <alignment horizontal="center" vertical="top" wrapText="1"/>
    </xf>
  </cellXfs>
  <cellStyles count="5">
    <cellStyle name="Hyperlink" xfId="2" builtinId="8"/>
    <cellStyle name="Normal" xfId="0" builtinId="0"/>
    <cellStyle name="Normal 2" xfId="4" xr:uid="{224E03FF-E2B9-444B-BF9C-785BA66C98E1}"/>
    <cellStyle name="Normal 3" xfId="3" xr:uid="{36F14851-582F-4814-BA30-3A7475B251EE}"/>
    <cellStyle name="Percent" xfId="1" builtinId="5"/>
  </cellStyles>
  <dxfs count="0"/>
  <tableStyles count="0" defaultTableStyle="TableStyleMedium2" defaultPivotStyle="PivotStyleLight16"/>
  <colors>
    <mruColors>
      <color rgb="FFD72B00"/>
      <color rgb="FFF8F8F8"/>
      <color rgb="FF7FA8D9"/>
      <color rgb="FFFF9071"/>
      <color rgb="FF002F6C"/>
      <color rgb="FFEAEAEA"/>
      <color rgb="FF1FDE5A"/>
      <color rgb="FF1F6E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3285764016894772"/>
          <c:w val="0.98906927548920154"/>
          <c:h val="0.85718195830922828"/>
        </c:manualLayout>
      </c:layout>
      <c:lineChart>
        <c:grouping val="standard"/>
        <c:varyColors val="0"/>
        <c:ser>
          <c:idx val="0"/>
          <c:order val="0"/>
          <c:tx>
            <c:strRef>
              <c:f>'PH3.3.1'!$M$4</c:f>
              <c:strCache>
                <c:ptCount val="1"/>
                <c:pt idx="0">
                  <c:v>Bottom quintile (↘)</c:v>
                </c:pt>
              </c:strCache>
            </c:strRef>
          </c:tx>
          <c:spPr>
            <a:ln w="19050" cap="rnd" cmpd="sng" algn="ctr">
              <a:noFill/>
              <a:prstDash val="solid"/>
              <a:round/>
            </a:ln>
            <a:effectLst/>
          </c:spPr>
          <c:marker>
            <c:symbol val="diamond"/>
            <c:size val="6"/>
            <c:spPr>
              <a:solidFill>
                <a:srgbClr val="002F6C"/>
              </a:solidFill>
              <a:ln w="12700">
                <a:solidFill>
                  <a:srgbClr val="002F6C"/>
                </a:solidFill>
                <a:prstDash val="solid"/>
              </a:ln>
              <a:effectLst/>
            </c:spPr>
          </c:marker>
          <c:dPt>
            <c:idx val="10"/>
            <c:marker>
              <c:spPr>
                <a:solidFill>
                  <a:srgbClr val="D72B00"/>
                </a:solidFill>
                <a:ln w="12700">
                  <a:solidFill>
                    <a:srgbClr val="D72B00"/>
                  </a:solidFill>
                  <a:prstDash val="solid"/>
                </a:ln>
                <a:effectLst/>
              </c:spPr>
            </c:marker>
            <c:bubble3D val="0"/>
            <c:extLst>
              <c:ext xmlns:c16="http://schemas.microsoft.com/office/drawing/2014/chart" uri="{C3380CC4-5D6E-409C-BE32-E72D297353CC}">
                <c16:uniqueId val="{00000001-A202-42F7-A363-E5E975E0D463}"/>
              </c:ext>
            </c:extLst>
          </c:dPt>
          <c:dPt>
            <c:idx val="11"/>
            <c:marker>
              <c:spPr>
                <a:solidFill>
                  <a:srgbClr val="D72B00"/>
                </a:solidFill>
                <a:ln w="12700">
                  <a:solidFill>
                    <a:srgbClr val="D72B00"/>
                  </a:solidFill>
                  <a:prstDash val="solid"/>
                </a:ln>
                <a:effectLst/>
              </c:spPr>
            </c:marker>
            <c:bubble3D val="0"/>
            <c:extLst>
              <c:ext xmlns:c16="http://schemas.microsoft.com/office/drawing/2014/chart" uri="{C3380CC4-5D6E-409C-BE32-E72D297353CC}">
                <c16:uniqueId val="{00000000-A202-42F7-A363-E5E975E0D463}"/>
              </c:ext>
            </c:extLst>
          </c:dPt>
          <c:cat>
            <c:strRef>
              <c:f>'PH3.3.1'!$L$5:$L$36</c:f>
              <c:strCache>
                <c:ptCount val="32"/>
                <c:pt idx="0">
                  <c:v>Austria</c:v>
                </c:pt>
                <c:pt idx="1">
                  <c:v>Sweden</c:v>
                </c:pt>
                <c:pt idx="2">
                  <c:v>Ireland</c:v>
                </c:pt>
                <c:pt idx="3">
                  <c:v>Netherlands</c:v>
                </c:pt>
                <c:pt idx="4">
                  <c:v>Finland</c:v>
                </c:pt>
                <c:pt idx="5">
                  <c:v>France</c:v>
                </c:pt>
                <c:pt idx="6">
                  <c:v>Romania</c:v>
                </c:pt>
                <c:pt idx="7">
                  <c:v>Bulgaria</c:v>
                </c:pt>
                <c:pt idx="8">
                  <c:v>Denmark</c:v>
                </c:pt>
                <c:pt idx="9">
                  <c:v>Germany</c:v>
                </c:pt>
                <c:pt idx="10">
                  <c:v>EU</c:v>
                </c:pt>
                <c:pt idx="11">
                  <c:v>OECD</c:v>
                </c:pt>
                <c:pt idx="12">
                  <c:v>Iceland</c:v>
                </c:pt>
                <c:pt idx="13">
                  <c:v>Lithuania</c:v>
                </c:pt>
                <c:pt idx="14">
                  <c:v>United Kingdom</c:v>
                </c:pt>
                <c:pt idx="15">
                  <c:v>Luxembourg</c:v>
                </c:pt>
                <c:pt idx="16">
                  <c:v>Malta</c:v>
                </c:pt>
                <c:pt idx="17">
                  <c:v>Latvia</c:v>
                </c:pt>
                <c:pt idx="18">
                  <c:v>Norway</c:v>
                </c:pt>
                <c:pt idx="19">
                  <c:v>Czechia</c:v>
                </c:pt>
                <c:pt idx="20">
                  <c:v>Croatia</c:v>
                </c:pt>
                <c:pt idx="21">
                  <c:v>Belgium</c:v>
                </c:pt>
                <c:pt idx="22">
                  <c:v>Italy</c:v>
                </c:pt>
                <c:pt idx="23">
                  <c:v>Cyprus</c:v>
                </c:pt>
                <c:pt idx="24">
                  <c:v>Estonia</c:v>
                </c:pt>
                <c:pt idx="25">
                  <c:v>Slovenia</c:v>
                </c:pt>
                <c:pt idx="26">
                  <c:v>Spain</c:v>
                </c:pt>
                <c:pt idx="27">
                  <c:v>Portugal</c:v>
                </c:pt>
                <c:pt idx="28">
                  <c:v>Poland</c:v>
                </c:pt>
                <c:pt idx="29">
                  <c:v>Switzerland</c:v>
                </c:pt>
                <c:pt idx="30">
                  <c:v>Greece</c:v>
                </c:pt>
                <c:pt idx="31">
                  <c:v>Slovak Republic</c:v>
                </c:pt>
              </c:strCache>
            </c:strRef>
          </c:cat>
          <c:val>
            <c:numRef>
              <c:f>'PH3.3.1'!$M$5:$M$36</c:f>
              <c:numCache>
                <c:formatCode>0.0%</c:formatCode>
                <c:ptCount val="32"/>
                <c:pt idx="0">
                  <c:v>0.94812297821044922</c:v>
                </c:pt>
                <c:pt idx="1">
                  <c:v>0.68678522109985352</c:v>
                </c:pt>
                <c:pt idx="2">
                  <c:v>0.65603071451187134</c:v>
                </c:pt>
                <c:pt idx="3">
                  <c:v>0.616405189037323</c:v>
                </c:pt>
                <c:pt idx="4">
                  <c:v>0.58784663677215576</c:v>
                </c:pt>
                <c:pt idx="5">
                  <c:v>0.5264124870300293</c:v>
                </c:pt>
                <c:pt idx="6">
                  <c:v>0.45947378873825073</c:v>
                </c:pt>
                <c:pt idx="7">
                  <c:v>0.41024824976921082</c:v>
                </c:pt>
                <c:pt idx="8">
                  <c:v>0.36710739135742188</c:v>
                </c:pt>
                <c:pt idx="9">
                  <c:v>0.33211302757263184</c:v>
                </c:pt>
                <c:pt idx="10">
                  <c:v>0.26715437034503198</c:v>
                </c:pt>
                <c:pt idx="11">
                  <c:v>0.25505826744483784</c:v>
                </c:pt>
                <c:pt idx="12">
                  <c:v>0.22595657408237457</c:v>
                </c:pt>
                <c:pt idx="13">
                  <c:v>0.20861935615539551</c:v>
                </c:pt>
                <c:pt idx="14">
                  <c:v>0.20555961132049561</c:v>
                </c:pt>
                <c:pt idx="15">
                  <c:v>0.19559988379478455</c:v>
                </c:pt>
                <c:pt idx="16">
                  <c:v>0.17244014143943787</c:v>
                </c:pt>
                <c:pt idx="17">
                  <c:v>0.16820062696933746</c:v>
                </c:pt>
                <c:pt idx="18">
                  <c:v>0.14687569439411163</c:v>
                </c:pt>
                <c:pt idx="19">
                  <c:v>0.14089611172676086</c:v>
                </c:pt>
                <c:pt idx="20">
                  <c:v>9.3127809464931488E-2</c:v>
                </c:pt>
                <c:pt idx="21">
                  <c:v>7.400745153427124E-2</c:v>
                </c:pt>
                <c:pt idx="22">
                  <c:v>6.185493990778923E-2</c:v>
                </c:pt>
                <c:pt idx="23">
                  <c:v>5.5988021194934845E-2</c:v>
                </c:pt>
                <c:pt idx="24">
                  <c:v>5.2531015127897263E-2</c:v>
                </c:pt>
                <c:pt idx="25">
                  <c:v>4.643847793340683E-2</c:v>
                </c:pt>
                <c:pt idx="26">
                  <c:v>3.2727271318435669E-2</c:v>
                </c:pt>
                <c:pt idx="27">
                  <c:v>2.6841461658477783E-2</c:v>
                </c:pt>
                <c:pt idx="28">
                  <c:v>2.3708228021860123E-2</c:v>
                </c:pt>
                <c:pt idx="29">
                  <c:v>1.4227494597434998E-2</c:v>
                </c:pt>
                <c:pt idx="30">
                  <c:v>2.4871486239135265E-3</c:v>
                </c:pt>
                <c:pt idx="31">
                  <c:v>0</c:v>
                </c:pt>
              </c:numCache>
            </c:numRef>
          </c:val>
          <c:smooth val="0"/>
          <c:extLst>
            <c:ext xmlns:c16="http://schemas.microsoft.com/office/drawing/2014/chart" uri="{C3380CC4-5D6E-409C-BE32-E72D297353CC}">
              <c16:uniqueId val="{00000000-B2BF-41D0-8FF3-423FC1524CFF}"/>
            </c:ext>
          </c:extLst>
        </c:ser>
        <c:ser>
          <c:idx val="1"/>
          <c:order val="1"/>
          <c:tx>
            <c:strRef>
              <c:f>'PH3.3.1'!$N$4</c:f>
              <c:strCache>
                <c:ptCount val="1"/>
                <c:pt idx="0">
                  <c:v>3rd quintile</c:v>
                </c:pt>
              </c:strCache>
            </c:strRef>
          </c:tx>
          <c:spPr>
            <a:ln w="19050" cap="rnd" cmpd="sng" algn="ctr">
              <a:noFill/>
              <a:prstDash val="solid"/>
              <a:round/>
            </a:ln>
            <a:effectLst/>
          </c:spPr>
          <c:marker>
            <c:symbol val="triangle"/>
            <c:size val="6"/>
            <c:spPr>
              <a:solidFill>
                <a:srgbClr val="7FA8D9"/>
              </a:solidFill>
              <a:ln w="12700">
                <a:solidFill>
                  <a:srgbClr val="7FA8D9"/>
                </a:solidFill>
                <a:prstDash val="solid"/>
              </a:ln>
              <a:effectLst/>
            </c:spPr>
          </c:marker>
          <c:dPt>
            <c:idx val="10"/>
            <c:marker>
              <c:spPr>
                <a:solidFill>
                  <a:srgbClr val="FF9071"/>
                </a:solidFill>
                <a:ln w="12700">
                  <a:solidFill>
                    <a:srgbClr val="FF9071"/>
                  </a:solidFill>
                  <a:prstDash val="solid"/>
                </a:ln>
                <a:effectLst/>
              </c:spPr>
            </c:marker>
            <c:bubble3D val="0"/>
            <c:extLst>
              <c:ext xmlns:c16="http://schemas.microsoft.com/office/drawing/2014/chart" uri="{C3380CC4-5D6E-409C-BE32-E72D297353CC}">
                <c16:uniqueId val="{00000003-A202-42F7-A363-E5E975E0D463}"/>
              </c:ext>
            </c:extLst>
          </c:dPt>
          <c:dPt>
            <c:idx val="11"/>
            <c:marker>
              <c:spPr>
                <a:solidFill>
                  <a:srgbClr val="FF9071"/>
                </a:solidFill>
                <a:ln w="12700">
                  <a:solidFill>
                    <a:srgbClr val="FF9071"/>
                  </a:solidFill>
                  <a:prstDash val="solid"/>
                </a:ln>
                <a:effectLst/>
              </c:spPr>
            </c:marker>
            <c:bubble3D val="0"/>
            <c:extLst>
              <c:ext xmlns:c16="http://schemas.microsoft.com/office/drawing/2014/chart" uri="{C3380CC4-5D6E-409C-BE32-E72D297353CC}">
                <c16:uniqueId val="{00000002-A202-42F7-A363-E5E975E0D463}"/>
              </c:ext>
            </c:extLst>
          </c:dPt>
          <c:cat>
            <c:strRef>
              <c:f>'PH3.3.1'!$L$5:$L$36</c:f>
              <c:strCache>
                <c:ptCount val="32"/>
                <c:pt idx="0">
                  <c:v>Austria</c:v>
                </c:pt>
                <c:pt idx="1">
                  <c:v>Sweden</c:v>
                </c:pt>
                <c:pt idx="2">
                  <c:v>Ireland</c:v>
                </c:pt>
                <c:pt idx="3">
                  <c:v>Netherlands</c:v>
                </c:pt>
                <c:pt idx="4">
                  <c:v>Finland</c:v>
                </c:pt>
                <c:pt idx="5">
                  <c:v>France</c:v>
                </c:pt>
                <c:pt idx="6">
                  <c:v>Romania</c:v>
                </c:pt>
                <c:pt idx="7">
                  <c:v>Bulgaria</c:v>
                </c:pt>
                <c:pt idx="8">
                  <c:v>Denmark</c:v>
                </c:pt>
                <c:pt idx="9">
                  <c:v>Germany</c:v>
                </c:pt>
                <c:pt idx="10">
                  <c:v>EU</c:v>
                </c:pt>
                <c:pt idx="11">
                  <c:v>OECD</c:v>
                </c:pt>
                <c:pt idx="12">
                  <c:v>Iceland</c:v>
                </c:pt>
                <c:pt idx="13">
                  <c:v>Lithuania</c:v>
                </c:pt>
                <c:pt idx="14">
                  <c:v>United Kingdom</c:v>
                </c:pt>
                <c:pt idx="15">
                  <c:v>Luxembourg</c:v>
                </c:pt>
                <c:pt idx="16">
                  <c:v>Malta</c:v>
                </c:pt>
                <c:pt idx="17">
                  <c:v>Latvia</c:v>
                </c:pt>
                <c:pt idx="18">
                  <c:v>Norway</c:v>
                </c:pt>
                <c:pt idx="19">
                  <c:v>Czechia</c:v>
                </c:pt>
                <c:pt idx="20">
                  <c:v>Croatia</c:v>
                </c:pt>
                <c:pt idx="21">
                  <c:v>Belgium</c:v>
                </c:pt>
                <c:pt idx="22">
                  <c:v>Italy</c:v>
                </c:pt>
                <c:pt idx="23">
                  <c:v>Cyprus</c:v>
                </c:pt>
                <c:pt idx="24">
                  <c:v>Estonia</c:v>
                </c:pt>
                <c:pt idx="25">
                  <c:v>Slovenia</c:v>
                </c:pt>
                <c:pt idx="26">
                  <c:v>Spain</c:v>
                </c:pt>
                <c:pt idx="27">
                  <c:v>Portugal</c:v>
                </c:pt>
                <c:pt idx="28">
                  <c:v>Poland</c:v>
                </c:pt>
                <c:pt idx="29">
                  <c:v>Switzerland</c:v>
                </c:pt>
                <c:pt idx="30">
                  <c:v>Greece</c:v>
                </c:pt>
                <c:pt idx="31">
                  <c:v>Slovak Republic</c:v>
                </c:pt>
              </c:strCache>
            </c:strRef>
          </c:cat>
          <c:val>
            <c:numRef>
              <c:f>'PH3.3.1'!$N$5:$N$36</c:f>
              <c:numCache>
                <c:formatCode>0.0%</c:formatCode>
                <c:ptCount val="32"/>
                <c:pt idx="0">
                  <c:v>0.97438454627990723</c:v>
                </c:pt>
                <c:pt idx="1">
                  <c:v>0.81701779365539551</c:v>
                </c:pt>
                <c:pt idx="2">
                  <c:v>0.29247748851776123</c:v>
                </c:pt>
                <c:pt idx="3">
                  <c:v>2.6175700128078461E-2</c:v>
                </c:pt>
                <c:pt idx="4">
                  <c:v>6.4024902880191803E-2</c:v>
                </c:pt>
                <c:pt idx="5">
                  <c:v>8.2564786076545715E-2</c:v>
                </c:pt>
                <c:pt idx="6">
                  <c:v>0.18123234808444977</c:v>
                </c:pt>
                <c:pt idx="7">
                  <c:v>0.20271234214305878</c:v>
                </c:pt>
                <c:pt idx="8">
                  <c:v>9.4518832862377167E-2</c:v>
                </c:pt>
                <c:pt idx="9">
                  <c:v>6.8326123058795929E-2</c:v>
                </c:pt>
                <c:pt idx="10">
                  <c:v>0.12792033163042596</c:v>
                </c:pt>
                <c:pt idx="11">
                  <c:v>0.12195809182351998</c:v>
                </c:pt>
                <c:pt idx="12">
                  <c:v>0.14835920929908752</c:v>
                </c:pt>
                <c:pt idx="13">
                  <c:v>0.10631429404020309</c:v>
                </c:pt>
                <c:pt idx="14">
                  <c:v>0.10626600682735443</c:v>
                </c:pt>
                <c:pt idx="15">
                  <c:v>6.7149005830287933E-2</c:v>
                </c:pt>
                <c:pt idx="16">
                  <c:v>5.9776648879051208E-2</c:v>
                </c:pt>
                <c:pt idx="17">
                  <c:v>2.9352353885769844E-2</c:v>
                </c:pt>
                <c:pt idx="18">
                  <c:v>9.5831853104755282E-4</c:v>
                </c:pt>
                <c:pt idx="19">
                  <c:v>1.8469631671905518E-2</c:v>
                </c:pt>
                <c:pt idx="20">
                  <c:v>3.3487401902675629E-2</c:v>
                </c:pt>
                <c:pt idx="21">
                  <c:v>8.6465135216712952E-2</c:v>
                </c:pt>
                <c:pt idx="22">
                  <c:v>2.2372160106897354E-2</c:v>
                </c:pt>
                <c:pt idx="23">
                  <c:v>3.7840016186237335E-2</c:v>
                </c:pt>
                <c:pt idx="24">
                  <c:v>6.9505446590483189E-3</c:v>
                </c:pt>
                <c:pt idx="25">
                  <c:v>7.9330885782837868E-3</c:v>
                </c:pt>
                <c:pt idx="26">
                  <c:v>1.5945345163345337E-2</c:v>
                </c:pt>
                <c:pt idx="27">
                  <c:v>2.5886612012982368E-2</c:v>
                </c:pt>
                <c:pt idx="28">
                  <c:v>3.6851014010608196E-3</c:v>
                </c:pt>
                <c:pt idx="29">
                  <c:v>8.8900132104754448E-3</c:v>
                </c:pt>
                <c:pt idx="30">
                  <c:v>8.6641917005181313E-4</c:v>
                </c:pt>
                <c:pt idx="31">
                  <c:v>0</c:v>
                </c:pt>
              </c:numCache>
            </c:numRef>
          </c:val>
          <c:smooth val="0"/>
          <c:extLst>
            <c:ext xmlns:c16="http://schemas.microsoft.com/office/drawing/2014/chart" uri="{C3380CC4-5D6E-409C-BE32-E72D297353CC}">
              <c16:uniqueId val="{00000001-B2BF-41D0-8FF3-423FC1524CFF}"/>
            </c:ext>
          </c:extLst>
        </c:ser>
        <c:dLbls>
          <c:showLegendKey val="0"/>
          <c:showVal val="0"/>
          <c:showCatName val="0"/>
          <c:showSerName val="0"/>
          <c:showPercent val="0"/>
          <c:showBubbleSize val="0"/>
        </c:dLbls>
        <c:marker val="1"/>
        <c:smooth val="0"/>
        <c:axId val="236243200"/>
        <c:axId val="257803392"/>
      </c:lineChart>
      <c:catAx>
        <c:axId val="23624320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57803392"/>
        <c:crosses val="autoZero"/>
        <c:auto val="1"/>
        <c:lblAlgn val="ctr"/>
        <c:lblOffset val="0"/>
        <c:tickLblSkip val="1"/>
        <c:noMultiLvlLbl val="0"/>
      </c:catAx>
      <c:valAx>
        <c:axId val="257803392"/>
        <c:scaling>
          <c:orientation val="minMax"/>
          <c:max val="1"/>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36243200"/>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5.3259826075819978E-2"/>
          <c:y val="1.9920803043647736E-2"/>
          <c:w val="0.93375946518977371"/>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0.13285764016894772"/>
          <c:w val="0.98906927548920154"/>
          <c:h val="0.85718195830922828"/>
        </c:manualLayout>
      </c:layout>
      <c:barChart>
        <c:barDir val="bar"/>
        <c:grouping val="percentStacked"/>
        <c:varyColors val="0"/>
        <c:ser>
          <c:idx val="0"/>
          <c:order val="0"/>
          <c:tx>
            <c:strRef>
              <c:f>'PH3.3.2'!$M$2</c:f>
              <c:strCache>
                <c:ptCount val="1"/>
                <c:pt idx="0">
                  <c:v>Own outright</c:v>
                </c:pt>
              </c:strCache>
            </c:strRef>
          </c:tx>
          <c:spPr>
            <a:solidFill>
              <a:srgbClr val="002F6C"/>
            </a:solidFill>
            <a:ln w="6350" cmpd="sng">
              <a:solidFill>
                <a:srgbClr val="000000"/>
              </a:solidFill>
              <a:round/>
            </a:ln>
            <a:effectLst/>
          </c:spPr>
          <c:invertIfNegative val="0"/>
          <c:cat>
            <c:strRef>
              <c:f>'PH3.3.2'!$L$4:$L$26</c:f>
              <c:strCache>
                <c:ptCount val="23"/>
                <c:pt idx="0">
                  <c:v>United Kingdom</c:v>
                </c:pt>
                <c:pt idx="1">
                  <c:v>Denmark</c:v>
                </c:pt>
                <c:pt idx="2">
                  <c:v>Germany</c:v>
                </c:pt>
                <c:pt idx="3">
                  <c:v>France</c:v>
                </c:pt>
                <c:pt idx="4">
                  <c:v>Finland</c:v>
                </c:pt>
                <c:pt idx="5">
                  <c:v>Netherlands</c:v>
                </c:pt>
                <c:pt idx="6">
                  <c:v>Norway</c:v>
                </c:pt>
                <c:pt idx="7">
                  <c:v>Iceland</c:v>
                </c:pt>
                <c:pt idx="8">
                  <c:v>Luxembourg</c:v>
                </c:pt>
                <c:pt idx="9">
                  <c:v>Austria</c:v>
                </c:pt>
                <c:pt idx="10">
                  <c:v>Czechia</c:v>
                </c:pt>
                <c:pt idx="11">
                  <c:v>Poland</c:v>
                </c:pt>
                <c:pt idx="12">
                  <c:v>Sweden</c:v>
                </c:pt>
                <c:pt idx="13">
                  <c:v>Spain</c:v>
                </c:pt>
                <c:pt idx="14">
                  <c:v>Malta</c:v>
                </c:pt>
                <c:pt idx="15">
                  <c:v>Italy</c:v>
                </c:pt>
                <c:pt idx="16">
                  <c:v>Ireland</c:v>
                </c:pt>
                <c:pt idx="17">
                  <c:v>Latvia</c:v>
                </c:pt>
                <c:pt idx="18">
                  <c:v>Belgium</c:v>
                </c:pt>
                <c:pt idx="19">
                  <c:v>Bulgaria</c:v>
                </c:pt>
                <c:pt idx="20">
                  <c:v>Croatia</c:v>
                </c:pt>
                <c:pt idx="21">
                  <c:v>Lithuania</c:v>
                </c:pt>
                <c:pt idx="22">
                  <c:v>Portugal</c:v>
                </c:pt>
              </c:strCache>
            </c:strRef>
          </c:cat>
          <c:val>
            <c:numRef>
              <c:f>'PH3.3.2'!$M$4:$M$26</c:f>
              <c:numCache>
                <c:formatCode>0.0%</c:formatCode>
                <c:ptCount val="23"/>
                <c:pt idx="1">
                  <c:v>1.8201440572738647E-2</c:v>
                </c:pt>
                <c:pt idx="2">
                  <c:v>2.7039799839258194E-2</c:v>
                </c:pt>
                <c:pt idx="3">
                  <c:v>1.2790870852768421E-2</c:v>
                </c:pt>
                <c:pt idx="4">
                  <c:v>4.990975558757782E-2</c:v>
                </c:pt>
                <c:pt idx="5">
                  <c:v>7.6918110251426697E-2</c:v>
                </c:pt>
                <c:pt idx="6">
                  <c:v>1.2769877910614014E-2</c:v>
                </c:pt>
                <c:pt idx="7">
                  <c:v>2.2889431565999985E-2</c:v>
                </c:pt>
                <c:pt idx="9">
                  <c:v>0.21495582163333893</c:v>
                </c:pt>
                <c:pt idx="10">
                  <c:v>0.26456978917121887</c:v>
                </c:pt>
                <c:pt idx="11">
                  <c:v>0.28936657309532166</c:v>
                </c:pt>
                <c:pt idx="12">
                  <c:v>0.2208733856678009</c:v>
                </c:pt>
                <c:pt idx="13">
                  <c:v>0.24248345196247101</c:v>
                </c:pt>
                <c:pt idx="14">
                  <c:v>0.42240786552429199</c:v>
                </c:pt>
                <c:pt idx="15">
                  <c:v>0.356622755527496</c:v>
                </c:pt>
                <c:pt idx="16">
                  <c:v>0.47589060664176941</c:v>
                </c:pt>
                <c:pt idx="17">
                  <c:v>0.55053555965423584</c:v>
                </c:pt>
                <c:pt idx="18">
                  <c:v>0.54296380281448364</c:v>
                </c:pt>
                <c:pt idx="19">
                  <c:v>0.79844856262207031</c:v>
                </c:pt>
                <c:pt idx="20">
                  <c:v>0.81676453351974487</c:v>
                </c:pt>
                <c:pt idx="21">
                  <c:v>0.83042681217193604</c:v>
                </c:pt>
                <c:pt idx="22">
                  <c:v>0.11136366426944733</c:v>
                </c:pt>
              </c:numCache>
            </c:numRef>
          </c:val>
          <c:extLst>
            <c:ext xmlns:c16="http://schemas.microsoft.com/office/drawing/2014/chart" uri="{C3380CC4-5D6E-409C-BE32-E72D297353CC}">
              <c16:uniqueId val="{00000000-8F71-4B66-ABFB-2D74744876F8}"/>
            </c:ext>
          </c:extLst>
        </c:ser>
        <c:ser>
          <c:idx val="1"/>
          <c:order val="1"/>
          <c:tx>
            <c:strRef>
              <c:f>'PH3.3.2'!$N$2</c:f>
              <c:strCache>
                <c:ptCount val="1"/>
                <c:pt idx="0">
                  <c:v>Owner with mortgage</c:v>
                </c:pt>
              </c:strCache>
            </c:strRef>
          </c:tx>
          <c:spPr>
            <a:solidFill>
              <a:srgbClr val="7FA8D9"/>
            </a:solidFill>
            <a:ln w="6350" cmpd="sng">
              <a:solidFill>
                <a:srgbClr val="000000"/>
              </a:solidFill>
              <a:round/>
            </a:ln>
            <a:effectLst/>
          </c:spPr>
          <c:invertIfNegative val="0"/>
          <c:cat>
            <c:strRef>
              <c:f>'PH3.3.2'!$L$4:$L$26</c:f>
              <c:strCache>
                <c:ptCount val="23"/>
                <c:pt idx="0">
                  <c:v>United Kingdom</c:v>
                </c:pt>
                <c:pt idx="1">
                  <c:v>Denmark</c:v>
                </c:pt>
                <c:pt idx="2">
                  <c:v>Germany</c:v>
                </c:pt>
                <c:pt idx="3">
                  <c:v>France</c:v>
                </c:pt>
                <c:pt idx="4">
                  <c:v>Finland</c:v>
                </c:pt>
                <c:pt idx="5">
                  <c:v>Netherlands</c:v>
                </c:pt>
                <c:pt idx="6">
                  <c:v>Norway</c:v>
                </c:pt>
                <c:pt idx="7">
                  <c:v>Iceland</c:v>
                </c:pt>
                <c:pt idx="8">
                  <c:v>Luxembourg</c:v>
                </c:pt>
                <c:pt idx="9">
                  <c:v>Austria</c:v>
                </c:pt>
                <c:pt idx="10">
                  <c:v>Czechia</c:v>
                </c:pt>
                <c:pt idx="11">
                  <c:v>Poland</c:v>
                </c:pt>
                <c:pt idx="12">
                  <c:v>Sweden</c:v>
                </c:pt>
                <c:pt idx="13">
                  <c:v>Spain</c:v>
                </c:pt>
                <c:pt idx="14">
                  <c:v>Malta</c:v>
                </c:pt>
                <c:pt idx="15">
                  <c:v>Italy</c:v>
                </c:pt>
                <c:pt idx="16">
                  <c:v>Ireland</c:v>
                </c:pt>
                <c:pt idx="17">
                  <c:v>Latvia</c:v>
                </c:pt>
                <c:pt idx="18">
                  <c:v>Belgium</c:v>
                </c:pt>
                <c:pt idx="19">
                  <c:v>Bulgaria</c:v>
                </c:pt>
                <c:pt idx="20">
                  <c:v>Croatia</c:v>
                </c:pt>
                <c:pt idx="21">
                  <c:v>Lithuania</c:v>
                </c:pt>
                <c:pt idx="22">
                  <c:v>Portugal</c:v>
                </c:pt>
              </c:strCache>
            </c:strRef>
          </c:cat>
          <c:val>
            <c:numRef>
              <c:f>'PH3.3.2'!$N$4:$N$26</c:f>
              <c:numCache>
                <c:formatCode>0.0%</c:formatCode>
                <c:ptCount val="23"/>
                <c:pt idx="1">
                  <c:v>0</c:v>
                </c:pt>
                <c:pt idx="2">
                  <c:v>1.3968621380627155E-2</c:v>
                </c:pt>
                <c:pt idx="3">
                  <c:v>3.4443389624357224E-2</c:v>
                </c:pt>
                <c:pt idx="4">
                  <c:v>2.5519650429487228E-2</c:v>
                </c:pt>
                <c:pt idx="5">
                  <c:v>7.984510064125061E-2</c:v>
                </c:pt>
                <c:pt idx="6">
                  <c:v>0.14744345843791962</c:v>
                </c:pt>
                <c:pt idx="7">
                  <c:v>0.21485956013202667</c:v>
                </c:pt>
                <c:pt idx="8">
                  <c:v>0.27512317895889282</c:v>
                </c:pt>
                <c:pt idx="9">
                  <c:v>6.2201995402574539E-2</c:v>
                </c:pt>
                <c:pt idx="10">
                  <c:v>1.9650375470519066E-2</c:v>
                </c:pt>
                <c:pt idx="11">
                  <c:v>5.9193563647568226E-3</c:v>
                </c:pt>
                <c:pt idx="12">
                  <c:v>0.14351679384708405</c:v>
                </c:pt>
                <c:pt idx="13">
                  <c:v>0.13306902348995209</c:v>
                </c:pt>
                <c:pt idx="14">
                  <c:v>4.4191956520080566E-2</c:v>
                </c:pt>
                <c:pt idx="15">
                  <c:v>0.11628811061382294</c:v>
                </c:pt>
                <c:pt idx="16">
                  <c:v>5.7680174708366394E-2</c:v>
                </c:pt>
                <c:pt idx="17">
                  <c:v>0</c:v>
                </c:pt>
                <c:pt idx="18">
                  <c:v>9.9290028214454651E-2</c:v>
                </c:pt>
                <c:pt idx="19">
                  <c:v>1.9622119143605232E-2</c:v>
                </c:pt>
                <c:pt idx="20">
                  <c:v>1.0646109469234943E-2</c:v>
                </c:pt>
                <c:pt idx="21">
                  <c:v>4.7322683967649937E-3</c:v>
                </c:pt>
                <c:pt idx="22">
                  <c:v>0.78819727897644043</c:v>
                </c:pt>
              </c:numCache>
            </c:numRef>
          </c:val>
          <c:extLst>
            <c:ext xmlns:c16="http://schemas.microsoft.com/office/drawing/2014/chart" uri="{C3380CC4-5D6E-409C-BE32-E72D297353CC}">
              <c16:uniqueId val="{00000001-8F71-4B66-ABFB-2D74744876F8}"/>
            </c:ext>
          </c:extLst>
        </c:ser>
        <c:ser>
          <c:idx val="2"/>
          <c:order val="2"/>
          <c:tx>
            <c:strRef>
              <c:f>'PH3.3.2'!$O$2</c:f>
              <c:strCache>
                <c:ptCount val="1"/>
                <c:pt idx="0">
                  <c:v>Rent (private)</c:v>
                </c:pt>
              </c:strCache>
            </c:strRef>
          </c:tx>
          <c:spPr>
            <a:solidFill>
              <a:srgbClr val="1F6E5A"/>
            </a:solidFill>
            <a:ln w="6350" cmpd="sng">
              <a:solidFill>
                <a:srgbClr val="000000"/>
              </a:solidFill>
              <a:round/>
            </a:ln>
            <a:effectLst/>
          </c:spPr>
          <c:invertIfNegative val="0"/>
          <c:cat>
            <c:strRef>
              <c:f>'PH3.3.2'!$L$4:$L$26</c:f>
              <c:strCache>
                <c:ptCount val="23"/>
                <c:pt idx="0">
                  <c:v>United Kingdom</c:v>
                </c:pt>
                <c:pt idx="1">
                  <c:v>Denmark</c:v>
                </c:pt>
                <c:pt idx="2">
                  <c:v>Germany</c:v>
                </c:pt>
                <c:pt idx="3">
                  <c:v>France</c:v>
                </c:pt>
                <c:pt idx="4">
                  <c:v>Finland</c:v>
                </c:pt>
                <c:pt idx="5">
                  <c:v>Netherlands</c:v>
                </c:pt>
                <c:pt idx="6">
                  <c:v>Norway</c:v>
                </c:pt>
                <c:pt idx="7">
                  <c:v>Iceland</c:v>
                </c:pt>
                <c:pt idx="8">
                  <c:v>Luxembourg</c:v>
                </c:pt>
                <c:pt idx="9">
                  <c:v>Austria</c:v>
                </c:pt>
                <c:pt idx="10">
                  <c:v>Czechia</c:v>
                </c:pt>
                <c:pt idx="11">
                  <c:v>Poland</c:v>
                </c:pt>
                <c:pt idx="12">
                  <c:v>Sweden</c:v>
                </c:pt>
                <c:pt idx="13">
                  <c:v>Spain</c:v>
                </c:pt>
                <c:pt idx="14">
                  <c:v>Malta</c:v>
                </c:pt>
                <c:pt idx="15">
                  <c:v>Italy</c:v>
                </c:pt>
                <c:pt idx="16">
                  <c:v>Ireland</c:v>
                </c:pt>
                <c:pt idx="17">
                  <c:v>Latvia</c:v>
                </c:pt>
                <c:pt idx="18">
                  <c:v>Belgium</c:v>
                </c:pt>
                <c:pt idx="19">
                  <c:v>Bulgaria</c:v>
                </c:pt>
                <c:pt idx="20">
                  <c:v>Croatia</c:v>
                </c:pt>
                <c:pt idx="21">
                  <c:v>Lithuania</c:v>
                </c:pt>
                <c:pt idx="22">
                  <c:v>Portugal</c:v>
                </c:pt>
              </c:strCache>
            </c:strRef>
          </c:cat>
          <c:val>
            <c:numRef>
              <c:f>'PH3.3.2'!$O$4:$O$26</c:f>
              <c:numCache>
                <c:formatCode>0.0%</c:formatCode>
                <c:ptCount val="23"/>
                <c:pt idx="0">
                  <c:v>0.1575959175825119</c:v>
                </c:pt>
                <c:pt idx="1">
                  <c:v>0.98179852962493896</c:v>
                </c:pt>
                <c:pt idx="2">
                  <c:v>0.79593819379806519</c:v>
                </c:pt>
                <c:pt idx="3">
                  <c:v>0.34604397416114807</c:v>
                </c:pt>
                <c:pt idx="4">
                  <c:v>0.60754793882369995</c:v>
                </c:pt>
                <c:pt idx="5">
                  <c:v>4.2084433138370514E-2</c:v>
                </c:pt>
                <c:pt idx="6">
                  <c:v>0.78277772665023804</c:v>
                </c:pt>
                <c:pt idx="7">
                  <c:v>0.30645212531089783</c:v>
                </c:pt>
                <c:pt idx="8">
                  <c:v>0.58832681179046631</c:v>
                </c:pt>
                <c:pt idx="9">
                  <c:v>0.47264191508293152</c:v>
                </c:pt>
                <c:pt idx="10">
                  <c:v>0.65218275785446167</c:v>
                </c:pt>
                <c:pt idx="11">
                  <c:v>0.14529129862785339</c:v>
                </c:pt>
                <c:pt idx="12">
                  <c:v>0.6120343804359436</c:v>
                </c:pt>
                <c:pt idx="13">
                  <c:v>0.4920097291469574</c:v>
                </c:pt>
                <c:pt idx="14">
                  <c:v>0.20347122848033905</c:v>
                </c:pt>
                <c:pt idx="15">
                  <c:v>0.31028798222541809</c:v>
                </c:pt>
                <c:pt idx="16">
                  <c:v>0.14268197119235992</c:v>
                </c:pt>
                <c:pt idx="17">
                  <c:v>0.11222824454307556</c:v>
                </c:pt>
                <c:pt idx="18">
                  <c:v>0.21468140184879303</c:v>
                </c:pt>
                <c:pt idx="19">
                  <c:v>1.6656180843710899E-2</c:v>
                </c:pt>
                <c:pt idx="20">
                  <c:v>2.9109634459018707E-2</c:v>
                </c:pt>
                <c:pt idx="21">
                  <c:v>2.9860686045140028E-3</c:v>
                </c:pt>
                <c:pt idx="22">
                  <c:v>6.5404497087001801E-2</c:v>
                </c:pt>
              </c:numCache>
            </c:numRef>
          </c:val>
          <c:extLst>
            <c:ext xmlns:c16="http://schemas.microsoft.com/office/drawing/2014/chart" uri="{C3380CC4-5D6E-409C-BE32-E72D297353CC}">
              <c16:uniqueId val="{00000002-8F71-4B66-ABFB-2D74744876F8}"/>
            </c:ext>
          </c:extLst>
        </c:ser>
        <c:ser>
          <c:idx val="3"/>
          <c:order val="3"/>
          <c:tx>
            <c:strRef>
              <c:f>'PH3.3.2'!$P$2</c:f>
              <c:strCache>
                <c:ptCount val="1"/>
                <c:pt idx="0">
                  <c:v>Rent (subsidised)</c:v>
                </c:pt>
              </c:strCache>
            </c:strRef>
          </c:tx>
          <c:spPr>
            <a:solidFill>
              <a:srgbClr val="1FDE5A"/>
            </a:solidFill>
            <a:ln w="6350" cmpd="sng">
              <a:solidFill>
                <a:srgbClr val="000000"/>
              </a:solidFill>
              <a:round/>
            </a:ln>
            <a:effectLst/>
          </c:spPr>
          <c:invertIfNegative val="0"/>
          <c:cat>
            <c:strRef>
              <c:f>'PH3.3.2'!$L$4:$L$26</c:f>
              <c:strCache>
                <c:ptCount val="23"/>
                <c:pt idx="0">
                  <c:v>United Kingdom</c:v>
                </c:pt>
                <c:pt idx="1">
                  <c:v>Denmark</c:v>
                </c:pt>
                <c:pt idx="2">
                  <c:v>Germany</c:v>
                </c:pt>
                <c:pt idx="3">
                  <c:v>France</c:v>
                </c:pt>
                <c:pt idx="4">
                  <c:v>Finland</c:v>
                </c:pt>
                <c:pt idx="5">
                  <c:v>Netherlands</c:v>
                </c:pt>
                <c:pt idx="6">
                  <c:v>Norway</c:v>
                </c:pt>
                <c:pt idx="7">
                  <c:v>Iceland</c:v>
                </c:pt>
                <c:pt idx="8">
                  <c:v>Luxembourg</c:v>
                </c:pt>
                <c:pt idx="9">
                  <c:v>Austria</c:v>
                </c:pt>
                <c:pt idx="10">
                  <c:v>Czechia</c:v>
                </c:pt>
                <c:pt idx="11">
                  <c:v>Poland</c:v>
                </c:pt>
                <c:pt idx="12">
                  <c:v>Sweden</c:v>
                </c:pt>
                <c:pt idx="13">
                  <c:v>Spain</c:v>
                </c:pt>
                <c:pt idx="14">
                  <c:v>Malta</c:v>
                </c:pt>
                <c:pt idx="15">
                  <c:v>Italy</c:v>
                </c:pt>
                <c:pt idx="16">
                  <c:v>Ireland</c:v>
                </c:pt>
                <c:pt idx="17">
                  <c:v>Latvia</c:v>
                </c:pt>
                <c:pt idx="18">
                  <c:v>Belgium</c:v>
                </c:pt>
                <c:pt idx="19">
                  <c:v>Bulgaria</c:v>
                </c:pt>
                <c:pt idx="20">
                  <c:v>Croatia</c:v>
                </c:pt>
                <c:pt idx="21">
                  <c:v>Lithuania</c:v>
                </c:pt>
                <c:pt idx="22">
                  <c:v>Portugal</c:v>
                </c:pt>
              </c:strCache>
            </c:strRef>
          </c:cat>
          <c:val>
            <c:numRef>
              <c:f>'PH3.3.2'!$P$4:$P$26</c:f>
              <c:numCache>
                <c:formatCode>0.0%</c:formatCode>
                <c:ptCount val="23"/>
                <c:pt idx="0">
                  <c:v>0.8424040675163269</c:v>
                </c:pt>
                <c:pt idx="1">
                  <c:v>0</c:v>
                </c:pt>
                <c:pt idx="2">
                  <c:v>0.13307012617588043</c:v>
                </c:pt>
                <c:pt idx="3">
                  <c:v>0.60144877433776855</c:v>
                </c:pt>
                <c:pt idx="4">
                  <c:v>0.30972298979759216</c:v>
                </c:pt>
                <c:pt idx="5">
                  <c:v>0.78786206245422363</c:v>
                </c:pt>
                <c:pt idx="6">
                  <c:v>4.6662449836730957E-2</c:v>
                </c:pt>
                <c:pt idx="7">
                  <c:v>0.45579886436462402</c:v>
                </c:pt>
                <c:pt idx="8">
                  <c:v>0.13612745702266693</c:v>
                </c:pt>
                <c:pt idx="9">
                  <c:v>0.13592764735221863</c:v>
                </c:pt>
                <c:pt idx="10">
                  <c:v>4.8631533980369568E-2</c:v>
                </c:pt>
                <c:pt idx="11">
                  <c:v>3.1052643433213234E-2</c:v>
                </c:pt>
                <c:pt idx="13">
                  <c:v>0.13243779540061951</c:v>
                </c:pt>
                <c:pt idx="14">
                  <c:v>0.26618081331253052</c:v>
                </c:pt>
                <c:pt idx="15">
                  <c:v>0.12818664312362671</c:v>
                </c:pt>
                <c:pt idx="16">
                  <c:v>0.28004816174507141</c:v>
                </c:pt>
                <c:pt idx="17">
                  <c:v>0.19763518869876862</c:v>
                </c:pt>
                <c:pt idx="18">
                  <c:v>9.328431636095047E-2</c:v>
                </c:pt>
                <c:pt idx="19">
                  <c:v>1.7185568809509277E-2</c:v>
                </c:pt>
                <c:pt idx="20">
                  <c:v>2.2847099229693413E-2</c:v>
                </c:pt>
                <c:pt idx="21">
                  <c:v>2.7529668062925339E-2</c:v>
                </c:pt>
                <c:pt idx="22">
                  <c:v>3.4731306135654449E-2</c:v>
                </c:pt>
              </c:numCache>
            </c:numRef>
          </c:val>
          <c:extLst>
            <c:ext xmlns:c16="http://schemas.microsoft.com/office/drawing/2014/chart" uri="{C3380CC4-5D6E-409C-BE32-E72D297353CC}">
              <c16:uniqueId val="{00000003-8F71-4B66-ABFB-2D74744876F8}"/>
            </c:ext>
          </c:extLst>
        </c:ser>
        <c:ser>
          <c:idx val="4"/>
          <c:order val="4"/>
          <c:tx>
            <c:strRef>
              <c:f>'PH3.3.2'!$Q$2</c:f>
              <c:strCache>
                <c:ptCount val="1"/>
                <c:pt idx="0">
                  <c:v>Other, unknown</c:v>
                </c:pt>
              </c:strCache>
            </c:strRef>
          </c:tx>
          <c:spPr>
            <a:solidFill>
              <a:srgbClr val="F8F8F8"/>
            </a:solidFill>
            <a:ln w="6350" cmpd="sng">
              <a:solidFill>
                <a:srgbClr val="000000"/>
              </a:solidFill>
              <a:round/>
            </a:ln>
            <a:effectLst/>
          </c:spPr>
          <c:invertIfNegative val="0"/>
          <c:cat>
            <c:strRef>
              <c:f>'PH3.3.2'!$L$4:$L$26</c:f>
              <c:strCache>
                <c:ptCount val="23"/>
                <c:pt idx="0">
                  <c:v>United Kingdom</c:v>
                </c:pt>
                <c:pt idx="1">
                  <c:v>Denmark</c:v>
                </c:pt>
                <c:pt idx="2">
                  <c:v>Germany</c:v>
                </c:pt>
                <c:pt idx="3">
                  <c:v>France</c:v>
                </c:pt>
                <c:pt idx="4">
                  <c:v>Finland</c:v>
                </c:pt>
                <c:pt idx="5">
                  <c:v>Netherlands</c:v>
                </c:pt>
                <c:pt idx="6">
                  <c:v>Norway</c:v>
                </c:pt>
                <c:pt idx="7">
                  <c:v>Iceland</c:v>
                </c:pt>
                <c:pt idx="8">
                  <c:v>Luxembourg</c:v>
                </c:pt>
                <c:pt idx="9">
                  <c:v>Austria</c:v>
                </c:pt>
                <c:pt idx="10">
                  <c:v>Czechia</c:v>
                </c:pt>
                <c:pt idx="11">
                  <c:v>Poland</c:v>
                </c:pt>
                <c:pt idx="12">
                  <c:v>Sweden</c:v>
                </c:pt>
                <c:pt idx="13">
                  <c:v>Spain</c:v>
                </c:pt>
                <c:pt idx="14">
                  <c:v>Malta</c:v>
                </c:pt>
                <c:pt idx="15">
                  <c:v>Italy</c:v>
                </c:pt>
                <c:pt idx="16">
                  <c:v>Ireland</c:v>
                </c:pt>
                <c:pt idx="17">
                  <c:v>Latvia</c:v>
                </c:pt>
                <c:pt idx="18">
                  <c:v>Belgium</c:v>
                </c:pt>
                <c:pt idx="19">
                  <c:v>Bulgaria</c:v>
                </c:pt>
                <c:pt idx="20">
                  <c:v>Croatia</c:v>
                </c:pt>
                <c:pt idx="21">
                  <c:v>Lithuania</c:v>
                </c:pt>
                <c:pt idx="22">
                  <c:v>Portugal</c:v>
                </c:pt>
              </c:strCache>
            </c:strRef>
          </c:cat>
          <c:val>
            <c:numRef>
              <c:f>'PH3.3.2'!$Q$4:$Q$26</c:f>
              <c:numCache>
                <c:formatCode>0.0%</c:formatCode>
                <c:ptCount val="23"/>
                <c:pt idx="1">
                  <c:v>0</c:v>
                </c:pt>
                <c:pt idx="2">
                  <c:v>2.9983239248394966E-2</c:v>
                </c:pt>
                <c:pt idx="3">
                  <c:v>5.2729686722159386E-3</c:v>
                </c:pt>
                <c:pt idx="4">
                  <c:v>7.2996304370462894E-3</c:v>
                </c:pt>
                <c:pt idx="5">
                  <c:v>1.3290292583405972E-2</c:v>
                </c:pt>
                <c:pt idx="6">
                  <c:v>1.0346496477723122E-2</c:v>
                </c:pt>
                <c:pt idx="8">
                  <c:v>0</c:v>
                </c:pt>
                <c:pt idx="9">
                  <c:v>0.11427262425422668</c:v>
                </c:pt>
                <c:pt idx="10">
                  <c:v>1.4965491369366646E-2</c:v>
                </c:pt>
                <c:pt idx="11">
                  <c:v>0.52837014198303223</c:v>
                </c:pt>
                <c:pt idx="12">
                  <c:v>2.3575400933623314E-2</c:v>
                </c:pt>
                <c:pt idx="14">
                  <c:v>6.3748098909854889E-2</c:v>
                </c:pt>
                <c:pt idx="15">
                  <c:v>8.8614508509635925E-2</c:v>
                </c:pt>
                <c:pt idx="16">
                  <c:v>4.3699111789464951E-2</c:v>
                </c:pt>
                <c:pt idx="17">
                  <c:v>0.13960102200508118</c:v>
                </c:pt>
                <c:pt idx="18">
                  <c:v>4.9780432134866714E-2</c:v>
                </c:pt>
                <c:pt idx="19">
                  <c:v>0.14808753132820129</c:v>
                </c:pt>
                <c:pt idx="20">
                  <c:v>0.12063265591859818</c:v>
                </c:pt>
                <c:pt idx="21">
                  <c:v>0.13432519137859344</c:v>
                </c:pt>
                <c:pt idx="22">
                  <c:v>3.0329116270877421E-4</c:v>
                </c:pt>
              </c:numCache>
            </c:numRef>
          </c:val>
          <c:extLst>
            <c:ext xmlns:c16="http://schemas.microsoft.com/office/drawing/2014/chart" uri="{C3380CC4-5D6E-409C-BE32-E72D297353CC}">
              <c16:uniqueId val="{00000004-8F71-4B66-ABFB-2D74744876F8}"/>
            </c:ext>
          </c:extLst>
        </c:ser>
        <c:dLbls>
          <c:showLegendKey val="0"/>
          <c:showVal val="0"/>
          <c:showCatName val="0"/>
          <c:showSerName val="0"/>
          <c:showPercent val="0"/>
          <c:showBubbleSize val="0"/>
        </c:dLbls>
        <c:gapWidth val="150"/>
        <c:overlap val="100"/>
        <c:axId val="257875968"/>
        <c:axId val="257877504"/>
      </c:barChart>
      <c:catAx>
        <c:axId val="257875968"/>
        <c:scaling>
          <c:orientation val="minMax"/>
        </c:scaling>
        <c:delete val="0"/>
        <c:axPos val="l"/>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57877504"/>
        <c:crosses val="autoZero"/>
        <c:auto val="1"/>
        <c:lblAlgn val="ctr"/>
        <c:lblOffset val="0"/>
        <c:tickLblSkip val="1"/>
        <c:noMultiLvlLbl val="0"/>
      </c:catAx>
      <c:valAx>
        <c:axId val="257877504"/>
        <c:scaling>
          <c:orientation val="minMax"/>
        </c:scaling>
        <c:delete val="0"/>
        <c:axPos val="b"/>
        <c:majorGridlines>
          <c:spPr>
            <a:ln w="9525" cmpd="sng">
              <a:solidFill>
                <a:srgbClr val="FFFFFF"/>
              </a:solidFill>
              <a:prstDash val="solid"/>
            </a:ln>
          </c:spPr>
        </c:majorGridlines>
        <c:numFmt formatCode="0%" sourceLinked="1"/>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57875968"/>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0.1154449760238431"/>
          <c:y val="1.9920803043647736E-2"/>
          <c:w val="0.85205806607424994"/>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0"/>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285397117509668E-2"/>
          <c:y val="0.15829436309422934"/>
          <c:w val="0.93831801485254096"/>
          <c:h val="0.64625404779026152"/>
        </c:manualLayout>
      </c:layout>
      <c:lineChart>
        <c:grouping val="standard"/>
        <c:varyColors val="0"/>
        <c:ser>
          <c:idx val="0"/>
          <c:order val="0"/>
          <c:tx>
            <c:strRef>
              <c:f>'PH3.3.3'!$M$5:$M$7</c:f>
              <c:strCache>
                <c:ptCount val="3"/>
                <c:pt idx="0">
                  <c:v>Average rent allowance as share of gross wage at 10th percentile</c:v>
                </c:pt>
              </c:strCache>
            </c:strRef>
          </c:tx>
          <c:spPr>
            <a:ln w="19050" cap="rnd" cmpd="sng" algn="ctr">
              <a:noFill/>
              <a:prstDash val="solid"/>
              <a:round/>
            </a:ln>
            <a:effectLst/>
          </c:spPr>
          <c:marker>
            <c:symbol val="diamond"/>
            <c:size val="6"/>
            <c:spPr>
              <a:solidFill>
                <a:srgbClr val="002F6C"/>
              </a:solidFill>
              <a:ln w="12700">
                <a:solidFill>
                  <a:srgbClr val="002F6C"/>
                </a:solidFill>
                <a:prstDash val="solid"/>
              </a:ln>
              <a:effectLst/>
            </c:spPr>
          </c:marker>
          <c:dPt>
            <c:idx val="9"/>
            <c:bubble3D val="0"/>
            <c:extLst>
              <c:ext xmlns:c16="http://schemas.microsoft.com/office/drawing/2014/chart" uri="{C3380CC4-5D6E-409C-BE32-E72D297353CC}">
                <c16:uniqueId val="{00000004-EBC3-4221-BF75-89F572B4D3FC}"/>
              </c:ext>
            </c:extLst>
          </c:dPt>
          <c:dPt>
            <c:idx val="10"/>
            <c:bubble3D val="0"/>
            <c:extLst>
              <c:ext xmlns:c16="http://schemas.microsoft.com/office/drawing/2014/chart" uri="{C3380CC4-5D6E-409C-BE32-E72D297353CC}">
                <c16:uniqueId val="{00000001-DD70-405A-A77F-552C53A9840A}"/>
              </c:ext>
            </c:extLst>
          </c:dPt>
          <c:dPt>
            <c:idx val="11"/>
            <c:bubble3D val="0"/>
            <c:extLst>
              <c:ext xmlns:c16="http://schemas.microsoft.com/office/drawing/2014/chart" uri="{C3380CC4-5D6E-409C-BE32-E72D297353CC}">
                <c16:uniqueId val="{00000000-DD70-405A-A77F-552C53A9840A}"/>
              </c:ext>
            </c:extLst>
          </c:dPt>
          <c:dPt>
            <c:idx val="16"/>
            <c:marker>
              <c:spPr>
                <a:solidFill>
                  <a:srgbClr val="D72B00"/>
                </a:solidFill>
                <a:ln w="12700">
                  <a:solidFill>
                    <a:srgbClr val="FF0000"/>
                  </a:solidFill>
                  <a:prstDash val="solid"/>
                </a:ln>
                <a:effectLst/>
              </c:spPr>
            </c:marker>
            <c:bubble3D val="0"/>
            <c:extLst>
              <c:ext xmlns:c16="http://schemas.microsoft.com/office/drawing/2014/chart" uri="{C3380CC4-5D6E-409C-BE32-E72D297353CC}">
                <c16:uniqueId val="{00000007-85F7-4F93-8947-E448F9C87592}"/>
              </c:ext>
            </c:extLst>
          </c:dPt>
          <c:dPt>
            <c:idx val="17"/>
            <c:marker>
              <c:spPr>
                <a:solidFill>
                  <a:srgbClr val="D72B00"/>
                </a:solidFill>
                <a:ln w="12700">
                  <a:solidFill>
                    <a:srgbClr val="D72B00"/>
                  </a:solidFill>
                  <a:prstDash val="solid"/>
                </a:ln>
                <a:effectLst/>
              </c:spPr>
            </c:marker>
            <c:bubble3D val="0"/>
            <c:extLst>
              <c:ext xmlns:c16="http://schemas.microsoft.com/office/drawing/2014/chart" uri="{C3380CC4-5D6E-409C-BE32-E72D297353CC}">
                <c16:uniqueId val="{00000008-85F7-4F93-8947-E448F9C87592}"/>
              </c:ext>
            </c:extLst>
          </c:dPt>
          <c:cat>
            <c:strRef>
              <c:f>'PH3.3.3'!$L$8:$L$38</c:f>
              <c:strCache>
                <c:ptCount val="31"/>
                <c:pt idx="0">
                  <c:v>Latvia</c:v>
                </c:pt>
                <c:pt idx="1">
                  <c:v>Lithuania</c:v>
                </c:pt>
                <c:pt idx="2">
                  <c:v>Ireland</c:v>
                </c:pt>
                <c:pt idx="3">
                  <c:v>Japan</c:v>
                </c:pt>
                <c:pt idx="4">
                  <c:v>Malta</c:v>
                </c:pt>
                <c:pt idx="5">
                  <c:v>Poland</c:v>
                </c:pt>
                <c:pt idx="6">
                  <c:v>Spain</c:v>
                </c:pt>
                <c:pt idx="7">
                  <c:v>Korea</c:v>
                </c:pt>
                <c:pt idx="8">
                  <c:v>United Kingdom</c:v>
                </c:pt>
                <c:pt idx="9">
                  <c:v>Luxembourg</c:v>
                </c:pt>
                <c:pt idx="10">
                  <c:v>Finland</c:v>
                </c:pt>
                <c:pt idx="11">
                  <c:v>Iceland</c:v>
                </c:pt>
                <c:pt idx="12">
                  <c:v>Israel</c:v>
                </c:pt>
                <c:pt idx="13">
                  <c:v>New Zealand</c:v>
                </c:pt>
                <c:pt idx="14">
                  <c:v>Czechia</c:v>
                </c:pt>
                <c:pt idx="15">
                  <c:v>Slovenia</c:v>
                </c:pt>
                <c:pt idx="16">
                  <c:v>OECD</c:v>
                </c:pt>
                <c:pt idx="17">
                  <c:v>EU27</c:v>
                </c:pt>
                <c:pt idx="18">
                  <c:v>Netherlands</c:v>
                </c:pt>
                <c:pt idx="19">
                  <c:v>Australia</c:v>
                </c:pt>
                <c:pt idx="20">
                  <c:v>Denmark</c:v>
                </c:pt>
                <c:pt idx="21">
                  <c:v>Greece</c:v>
                </c:pt>
                <c:pt idx="22">
                  <c:v>Germany</c:v>
                </c:pt>
                <c:pt idx="23">
                  <c:v>France</c:v>
                </c:pt>
                <c:pt idx="24">
                  <c:v>Estonia</c:v>
                </c:pt>
                <c:pt idx="25">
                  <c:v>Sweden</c:v>
                </c:pt>
                <c:pt idx="26">
                  <c:v>Italy</c:v>
                </c:pt>
                <c:pt idx="27">
                  <c:v>Switzerland</c:v>
                </c:pt>
                <c:pt idx="28">
                  <c:v>Austria</c:v>
                </c:pt>
                <c:pt idx="29">
                  <c:v>Norway</c:v>
                </c:pt>
                <c:pt idx="30">
                  <c:v>Hungary</c:v>
                </c:pt>
              </c:strCache>
            </c:strRef>
          </c:cat>
          <c:val>
            <c:numRef>
              <c:f>'PH3.3.3'!$M$8:$M$38</c:f>
              <c:numCache>
                <c:formatCode>0.0%</c:formatCode>
                <c:ptCount val="31"/>
                <c:pt idx="0">
                  <c:v>0.41849180000000002</c:v>
                </c:pt>
                <c:pt idx="1">
                  <c:v>0.32946039999999999</c:v>
                </c:pt>
                <c:pt idx="2">
                  <c:v>0.2059037</c:v>
                </c:pt>
                <c:pt idx="3">
                  <c:v>0.1971562</c:v>
                </c:pt>
                <c:pt idx="4">
                  <c:v>0.1803071</c:v>
                </c:pt>
                <c:pt idx="5">
                  <c:v>0.17661360000000001</c:v>
                </c:pt>
                <c:pt idx="6">
                  <c:v>0.1559577</c:v>
                </c:pt>
                <c:pt idx="7">
                  <c:v>0.15256620000000001</c:v>
                </c:pt>
                <c:pt idx="8">
                  <c:v>0.1256979</c:v>
                </c:pt>
                <c:pt idx="9">
                  <c:v>9.9831500000000004E-2</c:v>
                </c:pt>
                <c:pt idx="10">
                  <c:v>9.7846900000000001E-2</c:v>
                </c:pt>
                <c:pt idx="11">
                  <c:v>9.0629000000000001E-2</c:v>
                </c:pt>
                <c:pt idx="12">
                  <c:v>8.8316000000000006E-2</c:v>
                </c:pt>
                <c:pt idx="13">
                  <c:v>8.7024599999999994E-2</c:v>
                </c:pt>
                <c:pt idx="14">
                  <c:v>8.6764599999999997E-2</c:v>
                </c:pt>
                <c:pt idx="15">
                  <c:v>8.5316400000000001E-2</c:v>
                </c:pt>
                <c:pt idx="16">
                  <c:v>8.4240599999999999E-2</c:v>
                </c:pt>
                <c:pt idx="17">
                  <c:v>8.2237000000000005E-2</c:v>
                </c:pt>
                <c:pt idx="18">
                  <c:v>8.1626500000000005E-2</c:v>
                </c:pt>
                <c:pt idx="19">
                  <c:v>7.9298400000000005E-2</c:v>
                </c:pt>
                <c:pt idx="20">
                  <c:v>7.8721399999999997E-2</c:v>
                </c:pt>
                <c:pt idx="21">
                  <c:v>7.7720800000000007E-2</c:v>
                </c:pt>
                <c:pt idx="22">
                  <c:v>6.1337999999999997E-2</c:v>
                </c:pt>
                <c:pt idx="23">
                  <c:v>5.5183700000000002E-2</c:v>
                </c:pt>
                <c:pt idx="24">
                  <c:v>1.09306E-2</c:v>
                </c:pt>
                <c:pt idx="25">
                  <c:v>1.07993E-2</c:v>
                </c:pt>
                <c:pt idx="26">
                  <c:v>6.3796E-3</c:v>
                </c:pt>
                <c:pt idx="27">
                  <c:v>3.0658999999999999E-3</c:v>
                </c:pt>
                <c:pt idx="28">
                  <c:v>1.2049999999999999E-3</c:v>
                </c:pt>
                <c:pt idx="29">
                  <c:v>3.344E-4</c:v>
                </c:pt>
                <c:pt idx="30">
                  <c:v>0</c:v>
                </c:pt>
              </c:numCache>
            </c:numRef>
          </c:val>
          <c:smooth val="0"/>
          <c:extLst>
            <c:ext xmlns:c16="http://schemas.microsoft.com/office/drawing/2014/chart" uri="{C3380CC4-5D6E-409C-BE32-E72D297353CC}">
              <c16:uniqueId val="{00000000-1804-41BF-952C-E4C98624DEE9}"/>
            </c:ext>
          </c:extLst>
        </c:ser>
        <c:ser>
          <c:idx val="1"/>
          <c:order val="1"/>
          <c:tx>
            <c:strRef>
              <c:f>'PH3.3.3'!$N$5:$N$7</c:f>
              <c:strCache>
                <c:ptCount val="3"/>
                <c:pt idx="0">
                  <c:v>Average rent allowance as share of gross wage at 50th percentile</c:v>
                </c:pt>
              </c:strCache>
            </c:strRef>
          </c:tx>
          <c:spPr>
            <a:ln w="19050" cap="rnd" cmpd="sng" algn="ctr">
              <a:noFill/>
              <a:prstDash val="solid"/>
              <a:round/>
            </a:ln>
            <a:effectLst/>
          </c:spPr>
          <c:marker>
            <c:symbol val="triangle"/>
            <c:size val="6"/>
            <c:spPr>
              <a:solidFill>
                <a:srgbClr val="7FA8D9"/>
              </a:solidFill>
              <a:ln w="12700">
                <a:solidFill>
                  <a:srgbClr val="7FA8D9"/>
                </a:solidFill>
                <a:prstDash val="solid"/>
              </a:ln>
              <a:effectLst/>
            </c:spPr>
          </c:marker>
          <c:dPt>
            <c:idx val="9"/>
            <c:bubble3D val="0"/>
            <c:extLst>
              <c:ext xmlns:c16="http://schemas.microsoft.com/office/drawing/2014/chart" uri="{C3380CC4-5D6E-409C-BE32-E72D297353CC}">
                <c16:uniqueId val="{00000005-EBC3-4221-BF75-89F572B4D3FC}"/>
              </c:ext>
            </c:extLst>
          </c:dPt>
          <c:dPt>
            <c:idx val="10"/>
            <c:bubble3D val="0"/>
            <c:extLst>
              <c:ext xmlns:c16="http://schemas.microsoft.com/office/drawing/2014/chart" uri="{C3380CC4-5D6E-409C-BE32-E72D297353CC}">
                <c16:uniqueId val="{00000003-DD70-405A-A77F-552C53A9840A}"/>
              </c:ext>
            </c:extLst>
          </c:dPt>
          <c:dPt>
            <c:idx val="11"/>
            <c:bubble3D val="0"/>
            <c:extLst>
              <c:ext xmlns:c16="http://schemas.microsoft.com/office/drawing/2014/chart" uri="{C3380CC4-5D6E-409C-BE32-E72D297353CC}">
                <c16:uniqueId val="{00000002-DD70-405A-A77F-552C53A9840A}"/>
              </c:ext>
            </c:extLst>
          </c:dPt>
          <c:dPt>
            <c:idx val="16"/>
            <c:marker>
              <c:spPr>
                <a:solidFill>
                  <a:srgbClr val="FF9071"/>
                </a:solidFill>
                <a:ln w="12700">
                  <a:solidFill>
                    <a:srgbClr val="FF9071"/>
                  </a:solidFill>
                  <a:prstDash val="solid"/>
                </a:ln>
                <a:effectLst/>
              </c:spPr>
            </c:marker>
            <c:bubble3D val="0"/>
            <c:extLst>
              <c:ext xmlns:c16="http://schemas.microsoft.com/office/drawing/2014/chart" uri="{C3380CC4-5D6E-409C-BE32-E72D297353CC}">
                <c16:uniqueId val="{00000006-85F7-4F93-8947-E448F9C87592}"/>
              </c:ext>
            </c:extLst>
          </c:dPt>
          <c:dPt>
            <c:idx val="17"/>
            <c:marker>
              <c:spPr>
                <a:solidFill>
                  <a:srgbClr val="FF9071"/>
                </a:solidFill>
                <a:ln w="12700">
                  <a:solidFill>
                    <a:srgbClr val="FF9071"/>
                  </a:solidFill>
                  <a:prstDash val="solid"/>
                </a:ln>
                <a:effectLst/>
              </c:spPr>
            </c:marker>
            <c:bubble3D val="0"/>
            <c:extLst>
              <c:ext xmlns:c16="http://schemas.microsoft.com/office/drawing/2014/chart" uri="{C3380CC4-5D6E-409C-BE32-E72D297353CC}">
                <c16:uniqueId val="{00000009-85F7-4F93-8947-E448F9C87592}"/>
              </c:ext>
            </c:extLst>
          </c:dPt>
          <c:cat>
            <c:strRef>
              <c:f>'PH3.3.3'!$L$8:$L$38</c:f>
              <c:strCache>
                <c:ptCount val="31"/>
                <c:pt idx="0">
                  <c:v>Latvia</c:v>
                </c:pt>
                <c:pt idx="1">
                  <c:v>Lithuania</c:v>
                </c:pt>
                <c:pt idx="2">
                  <c:v>Ireland</c:v>
                </c:pt>
                <c:pt idx="3">
                  <c:v>Japan</c:v>
                </c:pt>
                <c:pt idx="4">
                  <c:v>Malta</c:v>
                </c:pt>
                <c:pt idx="5">
                  <c:v>Poland</c:v>
                </c:pt>
                <c:pt idx="6">
                  <c:v>Spain</c:v>
                </c:pt>
                <c:pt idx="7">
                  <c:v>Korea</c:v>
                </c:pt>
                <c:pt idx="8">
                  <c:v>United Kingdom</c:v>
                </c:pt>
                <c:pt idx="9">
                  <c:v>Luxembourg</c:v>
                </c:pt>
                <c:pt idx="10">
                  <c:v>Finland</c:v>
                </c:pt>
                <c:pt idx="11">
                  <c:v>Iceland</c:v>
                </c:pt>
                <c:pt idx="12">
                  <c:v>Israel</c:v>
                </c:pt>
                <c:pt idx="13">
                  <c:v>New Zealand</c:v>
                </c:pt>
                <c:pt idx="14">
                  <c:v>Czechia</c:v>
                </c:pt>
                <c:pt idx="15">
                  <c:v>Slovenia</c:v>
                </c:pt>
                <c:pt idx="16">
                  <c:v>OECD</c:v>
                </c:pt>
                <c:pt idx="17">
                  <c:v>EU27</c:v>
                </c:pt>
                <c:pt idx="18">
                  <c:v>Netherlands</c:v>
                </c:pt>
                <c:pt idx="19">
                  <c:v>Australia</c:v>
                </c:pt>
                <c:pt idx="20">
                  <c:v>Denmark</c:v>
                </c:pt>
                <c:pt idx="21">
                  <c:v>Greece</c:v>
                </c:pt>
                <c:pt idx="22">
                  <c:v>Germany</c:v>
                </c:pt>
                <c:pt idx="23">
                  <c:v>France</c:v>
                </c:pt>
                <c:pt idx="24">
                  <c:v>Estonia</c:v>
                </c:pt>
                <c:pt idx="25">
                  <c:v>Sweden</c:v>
                </c:pt>
                <c:pt idx="26">
                  <c:v>Italy</c:v>
                </c:pt>
                <c:pt idx="27">
                  <c:v>Switzerland</c:v>
                </c:pt>
                <c:pt idx="28">
                  <c:v>Austria</c:v>
                </c:pt>
                <c:pt idx="29">
                  <c:v>Norway</c:v>
                </c:pt>
                <c:pt idx="30">
                  <c:v>Hungary</c:v>
                </c:pt>
              </c:strCache>
            </c:strRef>
          </c:cat>
          <c:val>
            <c:numRef>
              <c:f>'PH3.3.3'!$N$8:$N$38</c:f>
              <c:numCache>
                <c:formatCode>0.0%</c:formatCode>
                <c:ptCount val="31"/>
                <c:pt idx="0">
                  <c:v>0.10256750000000001</c:v>
                </c:pt>
                <c:pt idx="1">
                  <c:v>0.1565724</c:v>
                </c:pt>
                <c:pt idx="2">
                  <c:v>4.62785E-2</c:v>
                </c:pt>
                <c:pt idx="3">
                  <c:v>7.5016399999999997E-2</c:v>
                </c:pt>
                <c:pt idx="4">
                  <c:v>0</c:v>
                </c:pt>
                <c:pt idx="5">
                  <c:v>3.823E-2</c:v>
                </c:pt>
                <c:pt idx="6">
                  <c:v>0</c:v>
                </c:pt>
                <c:pt idx="7">
                  <c:v>3.6344599999999998E-2</c:v>
                </c:pt>
                <c:pt idx="8">
                  <c:v>3.6604200000000003E-2</c:v>
                </c:pt>
                <c:pt idx="9">
                  <c:v>5.1109399999999999E-2</c:v>
                </c:pt>
                <c:pt idx="10">
                  <c:v>0</c:v>
                </c:pt>
                <c:pt idx="11">
                  <c:v>4.0165199999999998E-2</c:v>
                </c:pt>
                <c:pt idx="12">
                  <c:v>0</c:v>
                </c:pt>
                <c:pt idx="13">
                  <c:v>1.31836E-2</c:v>
                </c:pt>
                <c:pt idx="14">
                  <c:v>0</c:v>
                </c:pt>
                <c:pt idx="15">
                  <c:v>4.0576800000000003E-2</c:v>
                </c:pt>
                <c:pt idx="16">
                  <c:v>2.2335799999999999E-2</c:v>
                </c:pt>
                <c:pt idx="17">
                  <c:v>1.9877100000000002E-2</c:v>
                </c:pt>
                <c:pt idx="18">
                  <c:v>1.0352800000000001E-2</c:v>
                </c:pt>
                <c:pt idx="19">
                  <c:v>2.14231E-2</c:v>
                </c:pt>
                <c:pt idx="20">
                  <c:v>3.02049E-2</c:v>
                </c:pt>
                <c:pt idx="21">
                  <c:v>5.1723699999999997E-2</c:v>
                </c:pt>
                <c:pt idx="22">
                  <c:v>4.0352000000000001E-3</c:v>
                </c:pt>
                <c:pt idx="23">
                  <c:v>0</c:v>
                </c:pt>
                <c:pt idx="24">
                  <c:v>0</c:v>
                </c:pt>
                <c:pt idx="25">
                  <c:v>0</c:v>
                </c:pt>
                <c:pt idx="26">
                  <c:v>5.0299999999999997E-3</c:v>
                </c:pt>
                <c:pt idx="27">
                  <c:v>0</c:v>
                </c:pt>
                <c:pt idx="28">
                  <c:v>0</c:v>
                </c:pt>
                <c:pt idx="29">
                  <c:v>0</c:v>
                </c:pt>
                <c:pt idx="30">
                  <c:v>0</c:v>
                </c:pt>
              </c:numCache>
            </c:numRef>
          </c:val>
          <c:smooth val="0"/>
          <c:extLst>
            <c:ext xmlns:c16="http://schemas.microsoft.com/office/drawing/2014/chart" uri="{C3380CC4-5D6E-409C-BE32-E72D297353CC}">
              <c16:uniqueId val="{00000001-1804-41BF-952C-E4C98624DEE9}"/>
            </c:ext>
          </c:extLst>
        </c:ser>
        <c:dLbls>
          <c:showLegendKey val="0"/>
          <c:showVal val="0"/>
          <c:showCatName val="0"/>
          <c:showSerName val="0"/>
          <c:showPercent val="0"/>
          <c:showBubbleSize val="0"/>
        </c:dLbls>
        <c:marker val="1"/>
        <c:smooth val="0"/>
        <c:axId val="198248704"/>
        <c:axId val="198300032"/>
      </c:lineChart>
      <c:catAx>
        <c:axId val="198248704"/>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198300032"/>
        <c:crosses val="autoZero"/>
        <c:auto val="1"/>
        <c:lblAlgn val="ctr"/>
        <c:lblOffset val="0"/>
        <c:tickLblSkip val="1"/>
        <c:noMultiLvlLbl val="0"/>
      </c:catAx>
      <c:valAx>
        <c:axId val="198300032"/>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98248704"/>
        <c:crosses val="autoZero"/>
        <c:crossBetween val="between"/>
      </c:valAx>
      <c:spPr>
        <a:solidFill>
          <a:srgbClr val="EAEAEA"/>
        </a:solidFill>
        <a:ln w="9525">
          <a:solidFill>
            <a:srgbClr val="000000"/>
          </a:solidFill>
        </a:ln>
      </c:spPr>
    </c:plotArea>
    <c:legend>
      <c:legendPos val="t"/>
      <c:layout>
        <c:manualLayout>
          <c:xMode val="edge"/>
          <c:yMode val="edge"/>
          <c:x val="5.3259826075819978E-2"/>
          <c:y val="1.9920803043647736E-2"/>
          <c:w val="0.93131924549426071"/>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3285764016894772"/>
          <c:w val="0.98906927548920154"/>
          <c:h val="0.86216215907014038"/>
        </c:manualLayout>
      </c:layout>
      <c:barChart>
        <c:barDir val="col"/>
        <c:grouping val="stacked"/>
        <c:varyColors val="0"/>
        <c:ser>
          <c:idx val="0"/>
          <c:order val="0"/>
          <c:tx>
            <c:strRef>
              <c:f>'PH3.3.4'!$M$5:$M$7</c:f>
              <c:strCache>
                <c:ptCount val="3"/>
                <c:pt idx="0">
                  <c:v>Other components of marginal tax rate</c:v>
                </c:pt>
              </c:strCache>
            </c:strRef>
          </c:tx>
          <c:spPr>
            <a:solidFill>
              <a:srgbClr val="4F81BD"/>
            </a:solidFill>
            <a:ln w="6350" cap="rnd" cmpd="sng" algn="ctr">
              <a:solidFill>
                <a:srgbClr val="000000"/>
              </a:solidFill>
              <a:prstDash val="solid"/>
              <a:round/>
            </a:ln>
            <a:effectLst/>
          </c:spPr>
          <c:invertIfNegative val="0"/>
          <c:dPt>
            <c:idx val="19"/>
            <c:invertIfNegative val="0"/>
            <c:bubble3D val="0"/>
            <c:spPr>
              <a:solidFill>
                <a:schemeClr val="accent1"/>
              </a:solidFill>
              <a:ln w="6350" cap="rnd" cmpd="sng" algn="ctr">
                <a:solidFill>
                  <a:srgbClr val="000000"/>
                </a:solidFill>
                <a:prstDash val="solid"/>
                <a:round/>
              </a:ln>
              <a:effectLst/>
            </c:spPr>
            <c:extLst>
              <c:ext xmlns:c16="http://schemas.microsoft.com/office/drawing/2014/chart" uri="{C3380CC4-5D6E-409C-BE32-E72D297353CC}">
                <c16:uniqueId val="{00000004-77AB-454A-A426-E1CB4F15026F}"/>
              </c:ext>
            </c:extLst>
          </c:dPt>
          <c:dPt>
            <c:idx val="20"/>
            <c:invertIfNegative val="0"/>
            <c:bubble3D val="0"/>
            <c:spPr>
              <a:solidFill>
                <a:srgbClr val="D72B00"/>
              </a:solidFill>
              <a:ln w="6350" cap="rnd" cmpd="sng" algn="ctr">
                <a:solidFill>
                  <a:srgbClr val="000000"/>
                </a:solidFill>
                <a:prstDash val="solid"/>
                <a:round/>
              </a:ln>
              <a:effectLst/>
            </c:spPr>
            <c:extLst>
              <c:ext xmlns:c16="http://schemas.microsoft.com/office/drawing/2014/chart" uri="{C3380CC4-5D6E-409C-BE32-E72D297353CC}">
                <c16:uniqueId val="{00000000-D1E9-4162-8936-9CD085CA966E}"/>
              </c:ext>
            </c:extLst>
          </c:dPt>
          <c:dPt>
            <c:idx val="21"/>
            <c:invertIfNegative val="0"/>
            <c:bubble3D val="0"/>
            <c:spPr>
              <a:solidFill>
                <a:schemeClr val="accent1"/>
              </a:solidFill>
              <a:ln w="6350" cap="rnd" cmpd="sng" algn="ctr">
                <a:solidFill>
                  <a:srgbClr val="000000"/>
                </a:solidFill>
                <a:prstDash val="solid"/>
                <a:round/>
              </a:ln>
              <a:effectLst/>
            </c:spPr>
            <c:extLst>
              <c:ext xmlns:c16="http://schemas.microsoft.com/office/drawing/2014/chart" uri="{C3380CC4-5D6E-409C-BE32-E72D297353CC}">
                <c16:uniqueId val="{00000005-77AB-454A-A426-E1CB4F15026F}"/>
              </c:ext>
            </c:extLst>
          </c:dPt>
          <c:dPt>
            <c:idx val="24"/>
            <c:invertIfNegative val="0"/>
            <c:bubble3D val="0"/>
            <c:spPr>
              <a:solidFill>
                <a:srgbClr val="D72B00"/>
              </a:solidFill>
              <a:ln w="6350" cap="rnd" cmpd="sng" algn="ctr">
                <a:solidFill>
                  <a:srgbClr val="000000"/>
                </a:solidFill>
                <a:prstDash val="solid"/>
                <a:round/>
              </a:ln>
              <a:effectLst/>
            </c:spPr>
            <c:extLst>
              <c:ext xmlns:c16="http://schemas.microsoft.com/office/drawing/2014/chart" uri="{C3380CC4-5D6E-409C-BE32-E72D297353CC}">
                <c16:uniqueId val="{00000001-D1E9-4162-8936-9CD085CA966E}"/>
              </c:ext>
            </c:extLst>
          </c:dPt>
          <c:cat>
            <c:strRef>
              <c:f>'PH3.3.4'!$L$8:$L$48</c:f>
              <c:strCache>
                <c:ptCount val="41"/>
                <c:pt idx="0">
                  <c:v>Ireland</c:v>
                </c:pt>
                <c:pt idx="1">
                  <c:v>Germany</c:v>
                </c:pt>
                <c:pt idx="2">
                  <c:v>Luxembourg</c:v>
                </c:pt>
                <c:pt idx="3">
                  <c:v>Slovenia</c:v>
                </c:pt>
                <c:pt idx="4">
                  <c:v>Denmark</c:v>
                </c:pt>
                <c:pt idx="5">
                  <c:v>New Zealand</c:v>
                </c:pt>
                <c:pt idx="6">
                  <c:v>Korea</c:v>
                </c:pt>
                <c:pt idx="7">
                  <c:v>Austria</c:v>
                </c:pt>
                <c:pt idx="8">
                  <c:v>Japan</c:v>
                </c:pt>
                <c:pt idx="9">
                  <c:v>Switzerland</c:v>
                </c:pt>
                <c:pt idx="10">
                  <c:v>Portugal</c:v>
                </c:pt>
                <c:pt idx="11">
                  <c:v>Belgium</c:v>
                </c:pt>
                <c:pt idx="12">
                  <c:v>Croatia</c:v>
                </c:pt>
                <c:pt idx="13">
                  <c:v>Norway</c:v>
                </c:pt>
                <c:pt idx="14">
                  <c:v>United Kingdom</c:v>
                </c:pt>
                <c:pt idx="15">
                  <c:v>Australia</c:v>
                </c:pt>
                <c:pt idx="16">
                  <c:v>France</c:v>
                </c:pt>
                <c:pt idx="17">
                  <c:v>Poland</c:v>
                </c:pt>
                <c:pt idx="18">
                  <c:v>Israel</c:v>
                </c:pt>
                <c:pt idx="19">
                  <c:v>Finland</c:v>
                </c:pt>
                <c:pt idx="20">
                  <c:v>OECD</c:v>
                </c:pt>
                <c:pt idx="21">
                  <c:v>Sweden</c:v>
                </c:pt>
                <c:pt idx="22">
                  <c:v>Canada</c:v>
                </c:pt>
                <c:pt idx="23">
                  <c:v>Lithuania</c:v>
                </c:pt>
                <c:pt idx="24">
                  <c:v>EU27</c:v>
                </c:pt>
                <c:pt idx="25">
                  <c:v>Iceland</c:v>
                </c:pt>
                <c:pt idx="26">
                  <c:v>Spain</c:v>
                </c:pt>
                <c:pt idx="27">
                  <c:v>Czechia</c:v>
                </c:pt>
                <c:pt idx="28">
                  <c:v>Romania</c:v>
                </c:pt>
                <c:pt idx="29">
                  <c:v>Italy</c:v>
                </c:pt>
                <c:pt idx="30">
                  <c:v>Netherlands</c:v>
                </c:pt>
                <c:pt idx="31">
                  <c:v>Hungary</c:v>
                </c:pt>
                <c:pt idx="32">
                  <c:v>Türkiye</c:v>
                </c:pt>
                <c:pt idx="33">
                  <c:v>Greece</c:v>
                </c:pt>
                <c:pt idx="34">
                  <c:v>United States</c:v>
                </c:pt>
                <c:pt idx="35">
                  <c:v>Malta</c:v>
                </c:pt>
                <c:pt idx="36">
                  <c:v>Latvia</c:v>
                </c:pt>
                <c:pt idx="37">
                  <c:v>Bulgaria</c:v>
                </c:pt>
                <c:pt idx="38">
                  <c:v>Estonia</c:v>
                </c:pt>
                <c:pt idx="39">
                  <c:v>Cyprus</c:v>
                </c:pt>
                <c:pt idx="40">
                  <c:v>Slovak Republic</c:v>
                </c:pt>
              </c:strCache>
            </c:strRef>
          </c:cat>
          <c:val>
            <c:numRef>
              <c:f>'PH3.3.4'!$M$8:$M$48</c:f>
              <c:numCache>
                <c:formatCode>0.0%</c:formatCode>
                <c:ptCount val="41"/>
                <c:pt idx="0">
                  <c:v>0.87045055000000005</c:v>
                </c:pt>
                <c:pt idx="1">
                  <c:v>0.59838656000000001</c:v>
                </c:pt>
                <c:pt idx="2">
                  <c:v>0.86099992000000003</c:v>
                </c:pt>
                <c:pt idx="3">
                  <c:v>0.83490414999999996</c:v>
                </c:pt>
                <c:pt idx="4">
                  <c:v>0.76865419999999995</c:v>
                </c:pt>
                <c:pt idx="5">
                  <c:v>0.74321713</c:v>
                </c:pt>
                <c:pt idx="6">
                  <c:v>0.79305192999999996</c:v>
                </c:pt>
                <c:pt idx="7">
                  <c:v>0.44027665999999999</c:v>
                </c:pt>
                <c:pt idx="8">
                  <c:v>0.74588863000000005</c:v>
                </c:pt>
                <c:pt idx="9">
                  <c:v>0.50260042999999999</c:v>
                </c:pt>
                <c:pt idx="10">
                  <c:v>0.31242555999999999</c:v>
                </c:pt>
                <c:pt idx="11">
                  <c:v>0.71422556000000004</c:v>
                </c:pt>
                <c:pt idx="12">
                  <c:v>0.5972189</c:v>
                </c:pt>
                <c:pt idx="13">
                  <c:v>0.37967505000000001</c:v>
                </c:pt>
                <c:pt idx="14">
                  <c:v>0.49489293000000001</c:v>
                </c:pt>
                <c:pt idx="15">
                  <c:v>0.65511297000000002</c:v>
                </c:pt>
                <c:pt idx="16">
                  <c:v>0.37932547</c:v>
                </c:pt>
                <c:pt idx="17">
                  <c:v>0.54800322000000001</c:v>
                </c:pt>
                <c:pt idx="18">
                  <c:v>0.58664731000000003</c:v>
                </c:pt>
                <c:pt idx="19">
                  <c:v>0.31737281000000001</c:v>
                </c:pt>
                <c:pt idx="20">
                  <c:v>0.47482742999999999</c:v>
                </c:pt>
                <c:pt idx="21">
                  <c:v>0.2639707</c:v>
                </c:pt>
                <c:pt idx="22">
                  <c:v>0.53490972999999997</c:v>
                </c:pt>
                <c:pt idx="23">
                  <c:v>0.51281140999999997</c:v>
                </c:pt>
                <c:pt idx="24">
                  <c:v>0.40161036999999999</c:v>
                </c:pt>
                <c:pt idx="25">
                  <c:v>0.46063486999999997</c:v>
                </c:pt>
                <c:pt idx="26">
                  <c:v>0.45718101</c:v>
                </c:pt>
                <c:pt idx="27">
                  <c:v>0.1849654</c:v>
                </c:pt>
                <c:pt idx="28">
                  <c:v>0.37941372000000001</c:v>
                </c:pt>
                <c:pt idx="29">
                  <c:v>0.35355942000000001</c:v>
                </c:pt>
                <c:pt idx="30">
                  <c:v>0.34837706000000002</c:v>
                </c:pt>
                <c:pt idx="31">
                  <c:v>0.33500000000000002</c:v>
                </c:pt>
                <c:pt idx="32">
                  <c:v>0.27400405</c:v>
                </c:pt>
                <c:pt idx="33">
                  <c:v>0.25889860999999997</c:v>
                </c:pt>
                <c:pt idx="34">
                  <c:v>0.23667199</c:v>
                </c:pt>
                <c:pt idx="35">
                  <c:v>-0.12227849</c:v>
                </c:pt>
                <c:pt idx="36">
                  <c:v>0.2000208</c:v>
                </c:pt>
                <c:pt idx="37">
                  <c:v>0.13780000000000001</c:v>
                </c:pt>
                <c:pt idx="38">
                  <c:v>0.13007250000000001</c:v>
                </c:pt>
                <c:pt idx="39">
                  <c:v>0.1145</c:v>
                </c:pt>
                <c:pt idx="40">
                  <c:v>4.6944189999999997E-2</c:v>
                </c:pt>
              </c:numCache>
            </c:numRef>
          </c:val>
          <c:extLst>
            <c:ext xmlns:c16="http://schemas.microsoft.com/office/drawing/2014/chart" uri="{C3380CC4-5D6E-409C-BE32-E72D297353CC}">
              <c16:uniqueId val="{00000000-6BC4-478D-8F41-566237AA4F96}"/>
            </c:ext>
          </c:extLst>
        </c:ser>
        <c:ser>
          <c:idx val="1"/>
          <c:order val="1"/>
          <c:tx>
            <c:strRef>
              <c:f>'PH3.3.4'!$N$5:$N$7</c:f>
              <c:strCache>
                <c:ptCount val="3"/>
                <c:pt idx="0">
                  <c:v>Rent allowance component of marginal effective tax rate</c:v>
                </c:pt>
              </c:strCache>
            </c:strRef>
          </c:tx>
          <c:spPr>
            <a:solidFill>
              <a:srgbClr val="CCCCCC"/>
            </a:solidFill>
            <a:ln w="6350" cap="rnd" cmpd="sng" algn="ctr">
              <a:solidFill>
                <a:srgbClr val="000000"/>
              </a:solidFill>
              <a:prstDash val="solid"/>
              <a:round/>
            </a:ln>
            <a:effectLst/>
          </c:spPr>
          <c:invertIfNegative val="0"/>
          <c:cat>
            <c:strRef>
              <c:f>'PH3.3.4'!$L$8:$L$48</c:f>
              <c:strCache>
                <c:ptCount val="41"/>
                <c:pt idx="0">
                  <c:v>Ireland</c:v>
                </c:pt>
                <c:pt idx="1">
                  <c:v>Germany</c:v>
                </c:pt>
                <c:pt idx="2">
                  <c:v>Luxembourg</c:v>
                </c:pt>
                <c:pt idx="3">
                  <c:v>Slovenia</c:v>
                </c:pt>
                <c:pt idx="4">
                  <c:v>Denmark</c:v>
                </c:pt>
                <c:pt idx="5">
                  <c:v>New Zealand</c:v>
                </c:pt>
                <c:pt idx="6">
                  <c:v>Korea</c:v>
                </c:pt>
                <c:pt idx="7">
                  <c:v>Austria</c:v>
                </c:pt>
                <c:pt idx="8">
                  <c:v>Japan</c:v>
                </c:pt>
                <c:pt idx="9">
                  <c:v>Switzerland</c:v>
                </c:pt>
                <c:pt idx="10">
                  <c:v>Portugal</c:v>
                </c:pt>
                <c:pt idx="11">
                  <c:v>Belgium</c:v>
                </c:pt>
                <c:pt idx="12">
                  <c:v>Croatia</c:v>
                </c:pt>
                <c:pt idx="13">
                  <c:v>Norway</c:v>
                </c:pt>
                <c:pt idx="14">
                  <c:v>United Kingdom</c:v>
                </c:pt>
                <c:pt idx="15">
                  <c:v>Australia</c:v>
                </c:pt>
                <c:pt idx="16">
                  <c:v>France</c:v>
                </c:pt>
                <c:pt idx="17">
                  <c:v>Poland</c:v>
                </c:pt>
                <c:pt idx="18">
                  <c:v>Israel</c:v>
                </c:pt>
                <c:pt idx="19">
                  <c:v>Finland</c:v>
                </c:pt>
                <c:pt idx="20">
                  <c:v>OECD</c:v>
                </c:pt>
                <c:pt idx="21">
                  <c:v>Sweden</c:v>
                </c:pt>
                <c:pt idx="22">
                  <c:v>Canada</c:v>
                </c:pt>
                <c:pt idx="23">
                  <c:v>Lithuania</c:v>
                </c:pt>
                <c:pt idx="24">
                  <c:v>EU27</c:v>
                </c:pt>
                <c:pt idx="25">
                  <c:v>Iceland</c:v>
                </c:pt>
                <c:pt idx="26">
                  <c:v>Spain</c:v>
                </c:pt>
                <c:pt idx="27">
                  <c:v>Czechia</c:v>
                </c:pt>
                <c:pt idx="28">
                  <c:v>Romania</c:v>
                </c:pt>
                <c:pt idx="29">
                  <c:v>Italy</c:v>
                </c:pt>
                <c:pt idx="30">
                  <c:v>Netherlands</c:v>
                </c:pt>
                <c:pt idx="31">
                  <c:v>Hungary</c:v>
                </c:pt>
                <c:pt idx="32">
                  <c:v>Türkiye</c:v>
                </c:pt>
                <c:pt idx="33">
                  <c:v>Greece</c:v>
                </c:pt>
                <c:pt idx="34">
                  <c:v>United States</c:v>
                </c:pt>
                <c:pt idx="35">
                  <c:v>Malta</c:v>
                </c:pt>
                <c:pt idx="36">
                  <c:v>Latvia</c:v>
                </c:pt>
                <c:pt idx="37">
                  <c:v>Bulgaria</c:v>
                </c:pt>
                <c:pt idx="38">
                  <c:v>Estonia</c:v>
                </c:pt>
                <c:pt idx="39">
                  <c:v>Cyprus</c:v>
                </c:pt>
                <c:pt idx="40">
                  <c:v>Slovak Republic</c:v>
                </c:pt>
              </c:strCache>
            </c:strRef>
          </c:cat>
          <c:val>
            <c:numRef>
              <c:f>'PH3.3.4'!$N$8:$N$48</c:f>
              <c:numCache>
                <c:formatCode>0.0%</c:formatCode>
                <c:ptCount val="41"/>
                <c:pt idx="0">
                  <c:v>1.9432419999999999E-2</c:v>
                </c:pt>
                <c:pt idx="1">
                  <c:v>0.28020112000000003</c:v>
                </c:pt>
                <c:pt idx="2">
                  <c:v>0</c:v>
                </c:pt>
                <c:pt idx="3">
                  <c:v>0</c:v>
                </c:pt>
                <c:pt idx="4">
                  <c:v>3.8215689999999997E-2</c:v>
                </c:pt>
                <c:pt idx="5">
                  <c:v>5.9559630000000002E-2</c:v>
                </c:pt>
                <c:pt idx="6">
                  <c:v>0</c:v>
                </c:pt>
                <c:pt idx="7">
                  <c:v>0.30945603999999999</c:v>
                </c:pt>
                <c:pt idx="8">
                  <c:v>0</c:v>
                </c:pt>
                <c:pt idx="9">
                  <c:v>0.22786783999999999</c:v>
                </c:pt>
                <c:pt idx="10">
                  <c:v>0.40845363000000001</c:v>
                </c:pt>
                <c:pt idx="11">
                  <c:v>0</c:v>
                </c:pt>
                <c:pt idx="12">
                  <c:v>0.10600844</c:v>
                </c:pt>
                <c:pt idx="13">
                  <c:v>0.31558913999999999</c:v>
                </c:pt>
                <c:pt idx="14">
                  <c:v>0.18110707000000001</c:v>
                </c:pt>
                <c:pt idx="15">
                  <c:v>0</c:v>
                </c:pt>
                <c:pt idx="16">
                  <c:v>0.23889584999999999</c:v>
                </c:pt>
                <c:pt idx="17">
                  <c:v>6.355893E-2</c:v>
                </c:pt>
                <c:pt idx="18">
                  <c:v>0</c:v>
                </c:pt>
                <c:pt idx="19">
                  <c:v>0.26116709999999999</c:v>
                </c:pt>
                <c:pt idx="20">
                  <c:v>8.6445800000000003E-2</c:v>
                </c:pt>
                <c:pt idx="21">
                  <c:v>0.27838313999999997</c:v>
                </c:pt>
                <c:pt idx="22">
                  <c:v>0</c:v>
                </c:pt>
                <c:pt idx="23">
                  <c:v>0</c:v>
                </c:pt>
                <c:pt idx="24">
                  <c:v>9.6298049999999996E-2</c:v>
                </c:pt>
                <c:pt idx="25">
                  <c:v>0</c:v>
                </c:pt>
                <c:pt idx="26">
                  <c:v>0</c:v>
                </c:pt>
                <c:pt idx="27">
                  <c:v>0.24451038</c:v>
                </c:pt>
                <c:pt idx="28">
                  <c:v>0</c:v>
                </c:pt>
                <c:pt idx="29">
                  <c:v>1.275921E-2</c:v>
                </c:pt>
                <c:pt idx="30">
                  <c:v>0</c:v>
                </c:pt>
                <c:pt idx="31">
                  <c:v>0</c:v>
                </c:pt>
                <c:pt idx="32">
                  <c:v>0</c:v>
                </c:pt>
                <c:pt idx="33">
                  <c:v>0</c:v>
                </c:pt>
                <c:pt idx="34">
                  <c:v>0</c:v>
                </c:pt>
                <c:pt idx="35">
                  <c:v>0.33900544999999999</c:v>
                </c:pt>
                <c:pt idx="36">
                  <c:v>0</c:v>
                </c:pt>
                <c:pt idx="37">
                  <c:v>0</c:v>
                </c:pt>
                <c:pt idx="38">
                  <c:v>0</c:v>
                </c:pt>
                <c:pt idx="39">
                  <c:v>0</c:v>
                </c:pt>
                <c:pt idx="40">
                  <c:v>0</c:v>
                </c:pt>
              </c:numCache>
            </c:numRef>
          </c:val>
          <c:extLst>
            <c:ext xmlns:c16="http://schemas.microsoft.com/office/drawing/2014/chart" uri="{C3380CC4-5D6E-409C-BE32-E72D297353CC}">
              <c16:uniqueId val="{00000001-6BC4-478D-8F41-566237AA4F96}"/>
            </c:ext>
          </c:extLst>
        </c:ser>
        <c:dLbls>
          <c:showLegendKey val="0"/>
          <c:showVal val="0"/>
          <c:showCatName val="0"/>
          <c:showSerName val="0"/>
          <c:showPercent val="0"/>
          <c:showBubbleSize val="0"/>
        </c:dLbls>
        <c:gapWidth val="150"/>
        <c:overlap val="100"/>
        <c:axId val="259902464"/>
        <c:axId val="260166400"/>
      </c:barChart>
      <c:catAx>
        <c:axId val="259902464"/>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60166400"/>
        <c:crosses val="autoZero"/>
        <c:auto val="1"/>
        <c:lblAlgn val="ctr"/>
        <c:lblOffset val="0"/>
        <c:tickLblSkip val="1"/>
        <c:noMultiLvlLbl val="0"/>
      </c:catAx>
      <c:valAx>
        <c:axId val="260166400"/>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59902464"/>
        <c:crosses val="autoZero"/>
        <c:crossBetween val="between"/>
      </c:valAx>
      <c:spPr>
        <a:solidFill>
          <a:srgbClr val="EAEAEA"/>
        </a:solidFill>
        <a:ln w="9525">
          <a:solidFill>
            <a:srgbClr val="000000"/>
          </a:solidFill>
        </a:ln>
      </c:spPr>
    </c:plotArea>
    <c:legend>
      <c:legendPos val="t"/>
      <c:layout>
        <c:manualLayout>
          <c:xMode val="edge"/>
          <c:yMode val="edge"/>
          <c:x val="7.5419244926207288E-2"/>
          <c:y val="1.9920803043647736E-2"/>
          <c:w val="0.9091598266438734"/>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47625</xdr:colOff>
      <xdr:row>3</xdr:row>
      <xdr:rowOff>76200</xdr:rowOff>
    </xdr:from>
    <xdr:to>
      <xdr:col>8</xdr:col>
      <xdr:colOff>608663</xdr:colOff>
      <xdr:row>18</xdr:row>
      <xdr:rowOff>54548</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49695</xdr:colOff>
      <xdr:row>2</xdr:row>
      <xdr:rowOff>102704</xdr:rowOff>
    </xdr:from>
    <xdr:to>
      <xdr:col>9</xdr:col>
      <xdr:colOff>115433</xdr:colOff>
      <xdr:row>17</xdr:row>
      <xdr:rowOff>81052</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2</xdr:row>
      <xdr:rowOff>132523</xdr:rowOff>
    </xdr:from>
    <xdr:to>
      <xdr:col>8</xdr:col>
      <xdr:colOff>608663</xdr:colOff>
      <xdr:row>18</xdr:row>
      <xdr:rowOff>73599</xdr:rowOff>
    </xdr:to>
    <xdr:graphicFrame macro="">
      <xdr:nvGraphicFramePr>
        <xdr:cNvPr id="2" name="Chart 1">
          <a:extLst>
            <a:ext uri="{FF2B5EF4-FFF2-40B4-BE49-F238E27FC236}">
              <a16:creationId xmlns:a16="http://schemas.microsoft.com/office/drawing/2014/main" id="{94D6D567-7C42-4C0B-8699-DF44DEB8C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3</xdr:row>
      <xdr:rowOff>95250</xdr:rowOff>
    </xdr:from>
    <xdr:to>
      <xdr:col>8</xdr:col>
      <xdr:colOff>618188</xdr:colOff>
      <xdr:row>18</xdr:row>
      <xdr:rowOff>73598</xdr:rowOff>
    </xdr:to>
    <xdr:graphicFrame macro="">
      <xdr:nvGraphicFramePr>
        <xdr:cNvPr id="2" name="Chart 1">
          <a:extLst>
            <a:ext uri="{FF2B5EF4-FFF2-40B4-BE49-F238E27FC236}">
              <a16:creationId xmlns:a16="http://schemas.microsoft.com/office/drawing/2014/main" id="{D032A33E-81F5-4B0A-9538-8385F86B5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6.bin"/><Relationship Id="rId13" Type="http://schemas.openxmlformats.org/officeDocument/2006/relationships/customProperty" Target="../customProperty11.bin"/><Relationship Id="rId3" Type="http://schemas.openxmlformats.org/officeDocument/2006/relationships/customProperty" Target="../customProperty1.bin"/><Relationship Id="rId7" Type="http://schemas.openxmlformats.org/officeDocument/2006/relationships/customProperty" Target="../customProperty5.bin"/><Relationship Id="rId12" Type="http://schemas.openxmlformats.org/officeDocument/2006/relationships/customProperty" Target="../customProperty10.bin"/><Relationship Id="rId2" Type="http://schemas.openxmlformats.org/officeDocument/2006/relationships/printerSettings" Target="../printerSettings/printerSettings1.bin"/><Relationship Id="rId16" Type="http://schemas.openxmlformats.org/officeDocument/2006/relationships/drawing" Target="../drawings/drawing1.xml"/><Relationship Id="rId1" Type="http://schemas.openxmlformats.org/officeDocument/2006/relationships/hyperlink" Target="disclaimer:%20http://oe.cd/disclaimer" TargetMode="External"/><Relationship Id="rId6" Type="http://schemas.openxmlformats.org/officeDocument/2006/relationships/customProperty" Target="../customProperty4.bin"/><Relationship Id="rId11" Type="http://schemas.openxmlformats.org/officeDocument/2006/relationships/customProperty" Target="../customProperty9.bin"/><Relationship Id="rId5" Type="http://schemas.openxmlformats.org/officeDocument/2006/relationships/customProperty" Target="../customProperty3.bin"/><Relationship Id="rId15" Type="http://schemas.openxmlformats.org/officeDocument/2006/relationships/customProperty" Target="../customProperty13.bin"/><Relationship Id="rId10" Type="http://schemas.openxmlformats.org/officeDocument/2006/relationships/customProperty" Target="../customProperty8.bin"/><Relationship Id="rId4" Type="http://schemas.openxmlformats.org/officeDocument/2006/relationships/customProperty" Target="../customProperty2.bin"/><Relationship Id="rId9" Type="http://schemas.openxmlformats.org/officeDocument/2006/relationships/customProperty" Target="../customProperty7.bin"/><Relationship Id="rId14" Type="http://schemas.openxmlformats.org/officeDocument/2006/relationships/customProperty" Target="../customProperty12.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19.bin"/><Relationship Id="rId13" Type="http://schemas.openxmlformats.org/officeDocument/2006/relationships/customProperty" Target="../customProperty24.bin"/><Relationship Id="rId3" Type="http://schemas.openxmlformats.org/officeDocument/2006/relationships/customProperty" Target="../customProperty14.bin"/><Relationship Id="rId7" Type="http://schemas.openxmlformats.org/officeDocument/2006/relationships/customProperty" Target="../customProperty18.bin"/><Relationship Id="rId12" Type="http://schemas.openxmlformats.org/officeDocument/2006/relationships/customProperty" Target="../customProperty23.bin"/><Relationship Id="rId2" Type="http://schemas.openxmlformats.org/officeDocument/2006/relationships/printerSettings" Target="../printerSettings/printerSettings2.bin"/><Relationship Id="rId16" Type="http://schemas.openxmlformats.org/officeDocument/2006/relationships/drawing" Target="../drawings/drawing2.xml"/><Relationship Id="rId1" Type="http://schemas.openxmlformats.org/officeDocument/2006/relationships/hyperlink" Target="disclaimer:%20http://oe.cd/disclaimer" TargetMode="External"/><Relationship Id="rId6" Type="http://schemas.openxmlformats.org/officeDocument/2006/relationships/customProperty" Target="../customProperty17.bin"/><Relationship Id="rId11" Type="http://schemas.openxmlformats.org/officeDocument/2006/relationships/customProperty" Target="../customProperty22.bin"/><Relationship Id="rId5" Type="http://schemas.openxmlformats.org/officeDocument/2006/relationships/customProperty" Target="../customProperty16.bin"/><Relationship Id="rId15" Type="http://schemas.openxmlformats.org/officeDocument/2006/relationships/customProperty" Target="../customProperty26.bin"/><Relationship Id="rId10" Type="http://schemas.openxmlformats.org/officeDocument/2006/relationships/customProperty" Target="../customProperty21.bin"/><Relationship Id="rId4" Type="http://schemas.openxmlformats.org/officeDocument/2006/relationships/customProperty" Target="../customProperty15.bin"/><Relationship Id="rId9" Type="http://schemas.openxmlformats.org/officeDocument/2006/relationships/customProperty" Target="../customProperty20.bin"/><Relationship Id="rId14" Type="http://schemas.openxmlformats.org/officeDocument/2006/relationships/customProperty" Target="../customProperty25.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disclaimer:%20http://oe.c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disclaimer:%20http://oe.cd/disclaimer"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disclaimer:%20http://oe.cd/disclaimer"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disclaimer:%20http://oe.cd/disclaimer"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disclaimer:%20http://oe.cd/disclaimer"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disclaimer:%20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R47"/>
  <sheetViews>
    <sheetView tabSelected="1" zoomScaleNormal="100" workbookViewId="0"/>
  </sheetViews>
  <sheetFormatPr defaultColWidth="9.140625" defaultRowHeight="14.45" customHeight="1" x14ac:dyDescent="0.25"/>
  <cols>
    <col min="1" max="1" width="11" style="2" customWidth="1"/>
    <col min="2" max="8" width="9.140625" style="2"/>
    <col min="9" max="9" width="10.28515625" style="2" customWidth="1"/>
    <col min="10" max="11" width="9.140625" style="2"/>
    <col min="12" max="12" width="10.7109375" style="15" bestFit="1" customWidth="1"/>
    <col min="13" max="13" width="14.28515625" style="23" bestFit="1" customWidth="1"/>
    <col min="14" max="14" width="11.5703125" style="23" bestFit="1" customWidth="1"/>
    <col min="15" max="15" width="10.140625" style="15" bestFit="1" customWidth="1"/>
    <col min="16" max="16" width="12.7109375" style="10" customWidth="1"/>
    <col min="17" max="17" width="10.7109375" style="11" customWidth="1"/>
    <col min="18" max="18" width="11.5703125" style="11" customWidth="1"/>
    <col min="19" max="16384" width="9.140625" style="2"/>
  </cols>
  <sheetData>
    <row r="1" spans="1:15" ht="14.45" customHeight="1" x14ac:dyDescent="0.25">
      <c r="A1" s="147" t="s">
        <v>77</v>
      </c>
      <c r="B1" s="147"/>
      <c r="C1" s="147"/>
      <c r="D1" s="147"/>
      <c r="E1" s="147"/>
      <c r="F1" s="147"/>
      <c r="G1" s="147"/>
      <c r="H1" s="147"/>
      <c r="I1" s="147"/>
      <c r="K1" s="178"/>
      <c r="L1" s="179"/>
      <c r="M1" s="179"/>
      <c r="N1" s="179"/>
      <c r="O1" s="179"/>
    </row>
    <row r="2" spans="1:15" ht="14.45" customHeight="1" x14ac:dyDescent="0.25">
      <c r="A2" s="148" t="s">
        <v>124</v>
      </c>
      <c r="B2" s="148"/>
      <c r="C2" s="148"/>
      <c r="D2" s="148"/>
      <c r="E2" s="148"/>
      <c r="F2" s="148"/>
      <c r="G2" s="148"/>
      <c r="H2" s="148"/>
      <c r="I2" s="148"/>
      <c r="K2" s="180"/>
      <c r="L2" s="181"/>
      <c r="M2" s="181"/>
      <c r="N2" s="181"/>
      <c r="O2" s="181"/>
    </row>
    <row r="3" spans="1:15" ht="14.45" customHeight="1" x14ac:dyDescent="0.25">
      <c r="A3" s="148"/>
      <c r="B3" s="148"/>
      <c r="C3" s="148"/>
      <c r="D3" s="148"/>
      <c r="E3" s="148"/>
      <c r="F3" s="148"/>
      <c r="G3" s="148"/>
      <c r="H3" s="148"/>
      <c r="I3" s="148"/>
      <c r="K3" s="181"/>
      <c r="L3" s="181"/>
      <c r="M3" s="181"/>
      <c r="N3" s="181"/>
      <c r="O3" s="181"/>
    </row>
    <row r="4" spans="1:15" ht="14.45" customHeight="1" x14ac:dyDescent="0.25">
      <c r="A4" s="1"/>
      <c r="B4" s="1"/>
      <c r="C4" s="1"/>
      <c r="D4" s="1"/>
      <c r="E4" s="1"/>
      <c r="F4" s="1"/>
      <c r="G4" s="1"/>
      <c r="H4" s="1"/>
      <c r="I4" s="1"/>
      <c r="M4" s="30" t="s">
        <v>82</v>
      </c>
      <c r="N4" s="30" t="s">
        <v>29</v>
      </c>
      <c r="O4" s="104"/>
    </row>
    <row r="5" spans="1:15" ht="14.45" customHeight="1" x14ac:dyDescent="0.25">
      <c r="A5" s="1"/>
      <c r="B5" s="1"/>
      <c r="C5" s="1"/>
      <c r="D5" s="1"/>
      <c r="E5" s="1"/>
      <c r="F5" s="1"/>
      <c r="G5" s="1"/>
      <c r="H5" s="1"/>
      <c r="I5" s="1"/>
      <c r="L5" s="32" t="s">
        <v>0</v>
      </c>
      <c r="M5" s="35">
        <v>0.94812297821044922</v>
      </c>
      <c r="N5" s="35">
        <v>0.97438454627990723</v>
      </c>
      <c r="O5" s="104"/>
    </row>
    <row r="6" spans="1:15" ht="14.45" customHeight="1" x14ac:dyDescent="0.25">
      <c r="A6" s="1"/>
      <c r="B6" s="1"/>
      <c r="C6" s="1"/>
      <c r="D6" s="1"/>
      <c r="E6" s="1"/>
      <c r="F6" s="1"/>
      <c r="G6" s="1"/>
      <c r="H6" s="1"/>
      <c r="I6" s="1"/>
      <c r="L6" s="15" t="s">
        <v>24</v>
      </c>
      <c r="M6" s="18">
        <v>0.68678522109985352</v>
      </c>
      <c r="N6" s="18">
        <v>0.81701779365539551</v>
      </c>
      <c r="O6" s="104"/>
    </row>
    <row r="7" spans="1:15" ht="14.45" customHeight="1" x14ac:dyDescent="0.25">
      <c r="A7" s="1"/>
      <c r="B7" s="1"/>
      <c r="C7" s="1"/>
      <c r="D7" s="1"/>
      <c r="E7" s="1"/>
      <c r="F7" s="1"/>
      <c r="G7" s="1"/>
      <c r="H7" s="1"/>
      <c r="I7" s="1"/>
      <c r="L7" s="80" t="s">
        <v>10</v>
      </c>
      <c r="M7" s="43">
        <v>0.65603071451187134</v>
      </c>
      <c r="N7" s="43">
        <v>0.29247748851776123</v>
      </c>
      <c r="O7" s="104"/>
    </row>
    <row r="8" spans="1:15" ht="14.45" customHeight="1" x14ac:dyDescent="0.25">
      <c r="A8" s="1"/>
      <c r="B8" s="1"/>
      <c r="C8" s="1"/>
      <c r="D8" s="1"/>
      <c r="E8" s="1"/>
      <c r="F8" s="1"/>
      <c r="G8" s="1"/>
      <c r="H8" s="1"/>
      <c r="I8" s="1"/>
      <c r="L8" s="15" t="s">
        <v>16</v>
      </c>
      <c r="M8" s="18">
        <v>0.616405189037323</v>
      </c>
      <c r="N8" s="18">
        <v>2.6175700128078461E-2</v>
      </c>
      <c r="O8" s="104"/>
    </row>
    <row r="9" spans="1:15" ht="14.45" customHeight="1" x14ac:dyDescent="0.25">
      <c r="A9" s="1"/>
      <c r="B9" s="1"/>
      <c r="C9" s="1"/>
      <c r="D9" s="1"/>
      <c r="E9" s="1"/>
      <c r="F9" s="1"/>
      <c r="G9" s="1"/>
      <c r="H9" s="1"/>
      <c r="I9" s="1"/>
      <c r="L9" s="80" t="s">
        <v>5</v>
      </c>
      <c r="M9" s="43">
        <v>0.58784663677215576</v>
      </c>
      <c r="N9" s="43">
        <v>6.4024902880191803E-2</v>
      </c>
      <c r="O9" s="104"/>
    </row>
    <row r="10" spans="1:15" ht="14.45" customHeight="1" x14ac:dyDescent="0.25">
      <c r="A10" s="1"/>
      <c r="B10" s="1"/>
      <c r="C10" s="1"/>
      <c r="D10" s="1"/>
      <c r="E10" s="1"/>
      <c r="F10" s="1"/>
      <c r="G10" s="1"/>
      <c r="H10" s="1"/>
      <c r="I10" s="1"/>
      <c r="L10" s="15" t="s">
        <v>6</v>
      </c>
      <c r="M10" s="18">
        <v>0.5264124870300293</v>
      </c>
      <c r="N10" s="18">
        <v>8.2564786076545715E-2</v>
      </c>
      <c r="O10" s="104"/>
    </row>
    <row r="11" spans="1:15" ht="14.45" customHeight="1" x14ac:dyDescent="0.25">
      <c r="A11" s="1"/>
      <c r="B11" s="1"/>
      <c r="C11" s="1"/>
      <c r="D11" s="1"/>
      <c r="E11" s="1"/>
      <c r="F11" s="1"/>
      <c r="G11" s="1"/>
      <c r="H11" s="1"/>
      <c r="I11" s="1"/>
      <c r="L11" s="80" t="s">
        <v>20</v>
      </c>
      <c r="M11" s="43">
        <v>0.45947378873825073</v>
      </c>
      <c r="N11" s="43">
        <v>0.18123234808444977</v>
      </c>
      <c r="O11" s="104"/>
    </row>
    <row r="12" spans="1:15" ht="14.45" customHeight="1" x14ac:dyDescent="0.25">
      <c r="A12" s="1"/>
      <c r="B12" s="1"/>
      <c r="C12" s="1"/>
      <c r="D12" s="1"/>
      <c r="E12" s="1"/>
      <c r="F12" s="1"/>
      <c r="G12" s="1"/>
      <c r="H12" s="1"/>
      <c r="I12" s="1"/>
      <c r="L12" s="15" t="s">
        <v>2</v>
      </c>
      <c r="M12" s="18">
        <v>0.41024824976921082</v>
      </c>
      <c r="N12" s="18">
        <v>0.20271234214305878</v>
      </c>
      <c r="O12" s="104"/>
    </row>
    <row r="13" spans="1:15" ht="14.45" customHeight="1" x14ac:dyDescent="0.25">
      <c r="A13" s="1"/>
      <c r="B13" s="1"/>
      <c r="C13" s="1"/>
      <c r="D13" s="1"/>
      <c r="E13" s="1"/>
      <c r="F13" s="1"/>
      <c r="G13" s="1"/>
      <c r="H13" s="1"/>
      <c r="I13" s="1"/>
      <c r="L13" s="80" t="s">
        <v>3</v>
      </c>
      <c r="M13" s="43">
        <v>0.36710739135742188</v>
      </c>
      <c r="N13" s="43">
        <v>9.4518832862377167E-2</v>
      </c>
      <c r="O13" s="104"/>
    </row>
    <row r="14" spans="1:15" ht="14.45" customHeight="1" x14ac:dyDescent="0.25">
      <c r="A14" s="1"/>
      <c r="B14" s="1"/>
      <c r="C14" s="1"/>
      <c r="D14" s="1"/>
      <c r="E14" s="1"/>
      <c r="F14" s="1"/>
      <c r="G14" s="1"/>
      <c r="H14" s="1"/>
      <c r="I14" s="1"/>
      <c r="L14" s="15" t="s">
        <v>39</v>
      </c>
      <c r="M14" s="18">
        <v>0.33211302757263184</v>
      </c>
      <c r="N14" s="18">
        <v>6.8326123058795929E-2</v>
      </c>
      <c r="O14" s="104"/>
    </row>
    <row r="15" spans="1:15" ht="14.45" customHeight="1" x14ac:dyDescent="0.25">
      <c r="A15" s="1"/>
      <c r="B15" s="1"/>
      <c r="C15" s="1"/>
      <c r="D15" s="1"/>
      <c r="E15" s="1"/>
      <c r="F15" s="1"/>
      <c r="G15" s="1"/>
      <c r="H15" s="1"/>
      <c r="I15" s="1"/>
      <c r="L15" s="81" t="s">
        <v>73</v>
      </c>
      <c r="M15" s="82">
        <f>AVERAGE(M5:M14,M18,M20:M22,M24:M33,M35:M36)</f>
        <v>0.26715437034503198</v>
      </c>
      <c r="N15" s="82">
        <f>AVERAGE(N5:N14,N18,N20:N22,N24:N33,N35:N36)</f>
        <v>0.12792033163042596</v>
      </c>
      <c r="O15" s="104"/>
    </row>
    <row r="16" spans="1:15" ht="14.45" customHeight="1" x14ac:dyDescent="0.25">
      <c r="A16" s="1"/>
      <c r="B16" s="1"/>
      <c r="C16" s="1"/>
      <c r="D16" s="1"/>
      <c r="E16" s="1"/>
      <c r="F16" s="1"/>
      <c r="G16" s="1"/>
      <c r="H16" s="1"/>
      <c r="I16" s="1"/>
      <c r="L16" s="22" t="s">
        <v>74</v>
      </c>
      <c r="M16" s="83">
        <f>AVERAGE(M5:M10,M13:M14,M18:M20,M22:M24,M26:M27,M29:M36)</f>
        <v>0.25505826744483784</v>
      </c>
      <c r="N16" s="83">
        <f>AVERAGE(N5:N10,N13:N14,N18:N20,N22:N24,N26:N27,N29:N36)</f>
        <v>0.12195809182351998</v>
      </c>
      <c r="O16" s="104"/>
    </row>
    <row r="17" spans="1:15" ht="14.45" customHeight="1" x14ac:dyDescent="0.25">
      <c r="A17" s="1"/>
      <c r="B17" s="1"/>
      <c r="C17" s="1"/>
      <c r="D17" s="1"/>
      <c r="E17" s="1"/>
      <c r="F17" s="1"/>
      <c r="G17" s="1"/>
      <c r="H17" s="1"/>
      <c r="I17" s="1"/>
      <c r="L17" s="80" t="s">
        <v>9</v>
      </c>
      <c r="M17" s="43">
        <v>0.22595657408237457</v>
      </c>
      <c r="N17" s="43">
        <v>0.14835920929908752</v>
      </c>
      <c r="O17" s="104"/>
    </row>
    <row r="18" spans="1:15" ht="14.45" customHeight="1" x14ac:dyDescent="0.25">
      <c r="A18" s="1"/>
      <c r="B18" s="1"/>
      <c r="C18" s="1"/>
      <c r="D18" s="1"/>
      <c r="E18" s="1"/>
      <c r="F18" s="1"/>
      <c r="G18" s="1"/>
      <c r="H18" s="1"/>
      <c r="I18" s="1"/>
      <c r="L18" s="15" t="s">
        <v>13</v>
      </c>
      <c r="M18" s="18">
        <v>0.20861935615539551</v>
      </c>
      <c r="N18" s="18">
        <v>0.10631429404020309</v>
      </c>
      <c r="O18" s="104"/>
    </row>
    <row r="19" spans="1:15" ht="14.45" customHeight="1" x14ac:dyDescent="0.25">
      <c r="A19" s="7" t="s">
        <v>34</v>
      </c>
      <c r="B19" s="1"/>
      <c r="C19" s="1"/>
      <c r="D19" s="1"/>
      <c r="E19" s="1"/>
      <c r="F19" s="1"/>
      <c r="G19" s="1"/>
      <c r="H19" s="1"/>
      <c r="I19" s="1"/>
      <c r="L19" s="80" t="s">
        <v>26</v>
      </c>
      <c r="M19" s="43">
        <v>0.20555961132049561</v>
      </c>
      <c r="N19" s="43">
        <v>0.10626600682735443</v>
      </c>
      <c r="O19" s="104"/>
    </row>
    <row r="20" spans="1:15" ht="14.45" customHeight="1" x14ac:dyDescent="0.25">
      <c r="A20" s="182" t="s">
        <v>104</v>
      </c>
      <c r="B20" s="182"/>
      <c r="C20" s="182"/>
      <c r="D20" s="182"/>
      <c r="E20" s="182"/>
      <c r="F20" s="182"/>
      <c r="G20" s="182"/>
      <c r="H20" s="182"/>
      <c r="I20" s="182"/>
      <c r="L20" s="15" t="s">
        <v>14</v>
      </c>
      <c r="M20" s="18">
        <v>0.19559988379478455</v>
      </c>
      <c r="N20" s="18">
        <v>6.7149005830287933E-2</v>
      </c>
      <c r="O20" s="104"/>
    </row>
    <row r="21" spans="1:15" ht="13.5" x14ac:dyDescent="0.25">
      <c r="A21" s="182"/>
      <c r="B21" s="182"/>
      <c r="C21" s="182"/>
      <c r="D21" s="182"/>
      <c r="E21" s="182"/>
      <c r="F21" s="182"/>
      <c r="G21" s="182"/>
      <c r="H21" s="182"/>
      <c r="I21" s="182"/>
      <c r="L21" s="80" t="s">
        <v>15</v>
      </c>
      <c r="M21" s="43">
        <v>0.17244014143943787</v>
      </c>
      <c r="N21" s="43">
        <v>5.9776648879051208E-2</v>
      </c>
      <c r="O21" s="104"/>
    </row>
    <row r="22" spans="1:15" ht="14.45" customHeight="1" x14ac:dyDescent="0.25">
      <c r="A22" s="182"/>
      <c r="B22" s="182"/>
      <c r="C22" s="182"/>
      <c r="D22" s="182"/>
      <c r="E22" s="182"/>
      <c r="F22" s="182"/>
      <c r="G22" s="182"/>
      <c r="H22" s="182"/>
      <c r="I22" s="182"/>
      <c r="L22" s="15" t="s">
        <v>12</v>
      </c>
      <c r="M22" s="18">
        <v>0.16820062696933746</v>
      </c>
      <c r="N22" s="18">
        <v>2.9352353885769844E-2</v>
      </c>
      <c r="O22" s="104"/>
    </row>
    <row r="23" spans="1:15" ht="14.45" customHeight="1" x14ac:dyDescent="0.25">
      <c r="A23" s="182" t="s">
        <v>132</v>
      </c>
      <c r="B23" s="182"/>
      <c r="C23" s="182"/>
      <c r="D23" s="182"/>
      <c r="E23" s="182"/>
      <c r="F23" s="182"/>
      <c r="G23" s="182"/>
      <c r="H23" s="182"/>
      <c r="I23" s="182"/>
      <c r="L23" s="80" t="s">
        <v>17</v>
      </c>
      <c r="M23" s="43">
        <v>0.14687569439411163</v>
      </c>
      <c r="N23" s="43">
        <v>9.5831853104755282E-4</v>
      </c>
      <c r="O23" s="104"/>
    </row>
    <row r="24" spans="1:15" ht="14.45" customHeight="1" x14ac:dyDescent="0.25">
      <c r="A24" s="182"/>
      <c r="B24" s="182"/>
      <c r="C24" s="182"/>
      <c r="D24" s="182"/>
      <c r="E24" s="182"/>
      <c r="F24" s="182"/>
      <c r="G24" s="182"/>
      <c r="H24" s="182"/>
      <c r="I24" s="182"/>
      <c r="J24" s="31"/>
      <c r="K24" s="31"/>
      <c r="L24" s="15" t="s">
        <v>88</v>
      </c>
      <c r="M24" s="18">
        <v>0.14089611172676086</v>
      </c>
      <c r="N24" s="18">
        <v>1.8469631671905518E-2</v>
      </c>
      <c r="O24" s="104"/>
    </row>
    <row r="25" spans="1:15" ht="14.45" customHeight="1" x14ac:dyDescent="0.25">
      <c r="A25" s="182" t="s">
        <v>117</v>
      </c>
      <c r="B25" s="182"/>
      <c r="C25" s="182"/>
      <c r="D25" s="182"/>
      <c r="E25" s="182"/>
      <c r="F25" s="182"/>
      <c r="G25" s="182"/>
      <c r="H25" s="182"/>
      <c r="I25" s="182"/>
      <c r="J25" s="31"/>
      <c r="K25" s="31"/>
      <c r="L25" s="80" t="s">
        <v>28</v>
      </c>
      <c r="M25" s="43">
        <v>9.3127809464931488E-2</v>
      </c>
      <c r="N25" s="43">
        <v>3.3487401902675629E-2</v>
      </c>
      <c r="O25" s="104"/>
    </row>
    <row r="26" spans="1:15" ht="14.45" customHeight="1" x14ac:dyDescent="0.25">
      <c r="A26" s="182"/>
      <c r="B26" s="182"/>
      <c r="C26" s="182"/>
      <c r="D26" s="182"/>
      <c r="E26" s="182"/>
      <c r="F26" s="182"/>
      <c r="G26" s="182"/>
      <c r="H26" s="182"/>
      <c r="I26" s="182"/>
      <c r="J26" s="58"/>
      <c r="K26" s="58"/>
      <c r="L26" s="15" t="s">
        <v>1</v>
      </c>
      <c r="M26" s="18">
        <v>7.400745153427124E-2</v>
      </c>
      <c r="N26" s="18">
        <v>8.6465135216712952E-2</v>
      </c>
      <c r="O26" s="104"/>
    </row>
    <row r="27" spans="1:15" ht="14.45" customHeight="1" x14ac:dyDescent="0.25">
      <c r="A27" s="60" t="s">
        <v>133</v>
      </c>
      <c r="B27" s="60"/>
      <c r="C27" s="60"/>
      <c r="D27" s="60"/>
      <c r="E27" s="60"/>
      <c r="F27" s="60"/>
      <c r="G27" s="60"/>
      <c r="H27" s="60"/>
      <c r="I27" s="60"/>
      <c r="L27" s="80" t="s">
        <v>11</v>
      </c>
      <c r="M27" s="43">
        <v>6.185493990778923E-2</v>
      </c>
      <c r="N27" s="43">
        <v>2.2372160106897354E-2</v>
      </c>
      <c r="O27" s="104"/>
    </row>
    <row r="28" spans="1:15" ht="14.45" customHeight="1" x14ac:dyDescent="0.25">
      <c r="A28" s="103" t="s">
        <v>118</v>
      </c>
      <c r="B28" s="103"/>
      <c r="C28" s="103"/>
      <c r="D28" s="103"/>
      <c r="E28" s="103"/>
      <c r="F28" s="103"/>
      <c r="G28" s="103"/>
      <c r="H28" s="103"/>
      <c r="I28" s="103"/>
      <c r="J28" s="31"/>
      <c r="K28" s="31"/>
      <c r="L28" s="15" t="s">
        <v>98</v>
      </c>
      <c r="M28" s="18">
        <v>5.5988021194934845E-2</v>
      </c>
      <c r="N28" s="18">
        <v>3.7840016186237335E-2</v>
      </c>
      <c r="O28" s="104"/>
    </row>
    <row r="29" spans="1:15" ht="14.45" customHeight="1" x14ac:dyDescent="0.25">
      <c r="A29" s="185" t="s">
        <v>125</v>
      </c>
      <c r="B29" s="185"/>
      <c r="C29" s="185"/>
      <c r="D29" s="185"/>
      <c r="E29" s="185"/>
      <c r="F29" s="185"/>
      <c r="G29" s="185"/>
      <c r="H29" s="185"/>
      <c r="I29" s="185"/>
      <c r="L29" s="80" t="s">
        <v>4</v>
      </c>
      <c r="M29" s="43">
        <v>5.2531015127897263E-2</v>
      </c>
      <c r="N29" s="43">
        <v>6.9505446590483189E-3</v>
      </c>
      <c r="O29" s="104"/>
    </row>
    <row r="30" spans="1:15" ht="14.45" customHeight="1" x14ac:dyDescent="0.25">
      <c r="A30" s="185"/>
      <c r="B30" s="185"/>
      <c r="C30" s="185"/>
      <c r="D30" s="185"/>
      <c r="E30" s="185"/>
      <c r="F30" s="185"/>
      <c r="G30" s="185"/>
      <c r="H30" s="185"/>
      <c r="I30" s="185"/>
      <c r="L30" s="15" t="s">
        <v>22</v>
      </c>
      <c r="M30" s="18">
        <v>4.643847793340683E-2</v>
      </c>
      <c r="N30" s="18">
        <v>7.9330885782837868E-3</v>
      </c>
      <c r="O30" s="104"/>
    </row>
    <row r="31" spans="1:15" ht="14.45" customHeight="1" x14ac:dyDescent="0.25">
      <c r="A31" s="139"/>
      <c r="B31" s="139"/>
      <c r="C31" s="139"/>
      <c r="D31" s="139"/>
      <c r="E31" s="139"/>
      <c r="F31" s="139"/>
      <c r="G31" s="139"/>
      <c r="H31" s="139"/>
      <c r="I31" s="139"/>
      <c r="L31" s="80" t="s">
        <v>23</v>
      </c>
      <c r="M31" s="43">
        <v>3.2727271318435669E-2</v>
      </c>
      <c r="N31" s="43">
        <v>1.5945345163345337E-2</v>
      </c>
      <c r="O31" s="104"/>
    </row>
    <row r="32" spans="1:15" ht="14.45" customHeight="1" x14ac:dyDescent="0.25">
      <c r="A32" s="25" t="s">
        <v>72</v>
      </c>
      <c r="L32" s="15" t="s">
        <v>19</v>
      </c>
      <c r="M32" s="18">
        <v>2.6841461658477783E-2</v>
      </c>
      <c r="N32" s="18">
        <v>2.5886612012982368E-2</v>
      </c>
      <c r="O32" s="104"/>
    </row>
    <row r="33" spans="1:15" ht="14.45" customHeight="1" x14ac:dyDescent="0.25">
      <c r="A33" s="25"/>
      <c r="L33" s="80" t="s">
        <v>18</v>
      </c>
      <c r="M33" s="43">
        <v>2.3708228021860123E-2</v>
      </c>
      <c r="N33" s="43">
        <v>3.6851014010608196E-3</v>
      </c>
      <c r="O33" s="104"/>
    </row>
    <row r="34" spans="1:15" ht="14.45" customHeight="1" x14ac:dyDescent="0.25">
      <c r="A34" s="182" t="s">
        <v>96</v>
      </c>
      <c r="B34" s="182"/>
      <c r="C34" s="182"/>
      <c r="D34" s="182"/>
      <c r="E34" s="182"/>
      <c r="F34" s="182"/>
      <c r="G34" s="182"/>
      <c r="H34" s="182"/>
      <c r="I34" s="182"/>
      <c r="L34" s="15" t="s">
        <v>25</v>
      </c>
      <c r="M34" s="18">
        <v>1.4227494597434998E-2</v>
      </c>
      <c r="N34" s="18">
        <v>8.8900132104754448E-3</v>
      </c>
      <c r="O34" s="104"/>
    </row>
    <row r="35" spans="1:15" ht="14.45" customHeight="1" x14ac:dyDescent="0.25">
      <c r="A35" s="182"/>
      <c r="B35" s="182"/>
      <c r="C35" s="182"/>
      <c r="D35" s="182"/>
      <c r="E35" s="182"/>
      <c r="F35" s="182"/>
      <c r="G35" s="182"/>
      <c r="H35" s="182"/>
      <c r="I35" s="182"/>
      <c r="L35" s="80" t="s">
        <v>7</v>
      </c>
      <c r="M35" s="43">
        <v>2.4871486239135265E-3</v>
      </c>
      <c r="N35" s="43">
        <v>8.6641917005181313E-4</v>
      </c>
      <c r="O35" s="104"/>
    </row>
    <row r="36" spans="1:15" ht="14.45" customHeight="1" x14ac:dyDescent="0.25">
      <c r="A36" s="182"/>
      <c r="B36" s="182"/>
      <c r="C36" s="182"/>
      <c r="D36" s="182"/>
      <c r="E36" s="182"/>
      <c r="F36" s="182"/>
      <c r="G36" s="182"/>
      <c r="H36" s="182"/>
      <c r="I36" s="182"/>
      <c r="L36" s="36" t="s">
        <v>21</v>
      </c>
      <c r="M36" s="45">
        <v>0</v>
      </c>
      <c r="N36" s="45">
        <v>0</v>
      </c>
      <c r="O36" s="66"/>
    </row>
    <row r="37" spans="1:15" ht="14.45" customHeight="1" x14ac:dyDescent="0.25">
      <c r="A37" s="182"/>
      <c r="B37" s="182"/>
      <c r="C37" s="182"/>
      <c r="D37" s="182"/>
      <c r="E37" s="182"/>
      <c r="F37" s="182"/>
      <c r="G37" s="182"/>
      <c r="H37" s="182"/>
      <c r="I37" s="182"/>
      <c r="M37" s="18"/>
      <c r="N37" s="18"/>
      <c r="O37" s="66"/>
    </row>
    <row r="38" spans="1:15" ht="14.45" customHeight="1" x14ac:dyDescent="0.25">
      <c r="A38" s="182" t="s">
        <v>81</v>
      </c>
      <c r="B38" s="182"/>
      <c r="C38" s="182"/>
      <c r="D38" s="182"/>
      <c r="E38" s="182"/>
      <c r="F38" s="182"/>
      <c r="G38" s="182"/>
      <c r="H38" s="182"/>
      <c r="I38" s="182"/>
    </row>
    <row r="39" spans="1:15" ht="14.45" customHeight="1" x14ac:dyDescent="0.25">
      <c r="A39" s="182"/>
      <c r="B39" s="182"/>
      <c r="C39" s="182"/>
      <c r="D39" s="182"/>
      <c r="E39" s="182"/>
      <c r="F39" s="182"/>
      <c r="G39" s="182"/>
      <c r="H39" s="182"/>
      <c r="I39" s="182"/>
      <c r="J39" s="31"/>
    </row>
    <row r="40" spans="1:15" ht="14.45" customHeight="1" x14ac:dyDescent="0.25">
      <c r="A40" s="182"/>
      <c r="B40" s="182"/>
      <c r="C40" s="182"/>
      <c r="D40" s="182"/>
      <c r="E40" s="182"/>
      <c r="F40" s="182"/>
      <c r="G40" s="182"/>
      <c r="H40" s="182"/>
      <c r="I40" s="182"/>
      <c r="J40" s="31"/>
    </row>
    <row r="41" spans="1:15" ht="14.45" customHeight="1" x14ac:dyDescent="0.25">
      <c r="J41" s="31"/>
      <c r="M41" s="29"/>
      <c r="N41" s="29"/>
    </row>
    <row r="42" spans="1:15" ht="14.45" customHeight="1" x14ac:dyDescent="0.25">
      <c r="A42" s="183" t="s">
        <v>101</v>
      </c>
      <c r="B42" s="184"/>
      <c r="C42" s="184"/>
      <c r="D42" s="184"/>
      <c r="E42" s="184"/>
      <c r="F42" s="184"/>
      <c r="G42" s="184"/>
      <c r="H42" s="184"/>
      <c r="I42" s="184"/>
      <c r="J42" s="31"/>
    </row>
    <row r="43" spans="1:15" ht="14.45" customHeight="1" x14ac:dyDescent="0.25">
      <c r="A43" s="184"/>
      <c r="B43" s="184"/>
      <c r="C43" s="184"/>
      <c r="D43" s="184"/>
      <c r="E43" s="184"/>
      <c r="F43" s="184"/>
      <c r="G43" s="184"/>
      <c r="H43" s="184"/>
      <c r="I43" s="184"/>
    </row>
    <row r="44" spans="1:15" ht="14.45" customHeight="1" x14ac:dyDescent="0.25">
      <c r="A44" s="31"/>
      <c r="B44" s="31"/>
      <c r="C44" s="31"/>
      <c r="D44" s="31"/>
      <c r="E44" s="31"/>
      <c r="F44" s="31"/>
      <c r="G44" s="31"/>
      <c r="H44" s="31"/>
      <c r="I44" s="31"/>
    </row>
    <row r="45" spans="1:15" ht="14.45" customHeight="1" x14ac:dyDescent="0.25">
      <c r="A45" s="182" t="s">
        <v>100</v>
      </c>
      <c r="B45" s="182"/>
      <c r="C45" s="182"/>
      <c r="D45" s="182"/>
      <c r="E45" s="182"/>
      <c r="F45" s="182"/>
      <c r="G45" s="182"/>
      <c r="H45" s="182"/>
      <c r="I45" s="182"/>
    </row>
    <row r="46" spans="1:15" ht="14.45" customHeight="1" x14ac:dyDescent="0.25">
      <c r="A46" s="182"/>
      <c r="B46" s="182"/>
      <c r="C46" s="182"/>
      <c r="D46" s="182"/>
      <c r="E46" s="182"/>
      <c r="F46" s="182"/>
      <c r="G46" s="182"/>
      <c r="H46" s="182"/>
      <c r="I46" s="182"/>
    </row>
    <row r="47" spans="1:15" ht="14.45" customHeight="1" x14ac:dyDescent="0.25">
      <c r="A47" s="31"/>
      <c r="B47" s="31"/>
      <c r="C47" s="31"/>
      <c r="D47" s="31"/>
      <c r="E47" s="31"/>
      <c r="F47" s="31"/>
      <c r="G47" s="31"/>
      <c r="H47" s="31"/>
      <c r="I47" s="31"/>
    </row>
  </sheetData>
  <sortState xmlns:xlrd2="http://schemas.microsoft.com/office/spreadsheetml/2017/richdata2" ref="L5:N36">
    <sortCondition descending="1" ref="M5:M36"/>
  </sortState>
  <mergeCells count="10">
    <mergeCell ref="A45:I46"/>
    <mergeCell ref="A34:I37"/>
    <mergeCell ref="A38:I40"/>
    <mergeCell ref="A42:I43"/>
    <mergeCell ref="A29:I30"/>
    <mergeCell ref="K1:O1"/>
    <mergeCell ref="K2:O3"/>
    <mergeCell ref="A25:I26"/>
    <mergeCell ref="A23:I24"/>
    <mergeCell ref="A20:I22"/>
  </mergeCells>
  <hyperlinks>
    <hyperlink ref="A32" r:id="rId1" xr:uid="{00000000-0004-0000-0000-000000000000}"/>
  </hyperlinks>
  <pageMargins left="0.70866141732283472" right="0.70866141732283472" top="0.74803149606299213" bottom="0.74803149606299213" header="0.31496062992125984" footer="0.31496062992125984"/>
  <pageSetup paperSize="9" scale="85" orientation="landscape"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78"/>
  <sheetViews>
    <sheetView zoomScaleNormal="100" workbookViewId="0"/>
  </sheetViews>
  <sheetFormatPr defaultColWidth="9.140625" defaultRowHeight="14.45" customHeight="1" x14ac:dyDescent="0.25"/>
  <cols>
    <col min="1" max="10" width="9.140625" style="2"/>
    <col min="11" max="11" width="9.140625" style="2" customWidth="1"/>
    <col min="12" max="12" width="12" style="10" bestFit="1" customWidth="1"/>
    <col min="13" max="13" width="11.42578125" style="10" bestFit="1" customWidth="1"/>
    <col min="14" max="14" width="14.28515625" style="10" bestFit="1" customWidth="1"/>
    <col min="15" max="15" width="9.140625" style="10" bestFit="1" customWidth="1"/>
    <col min="16" max="16" width="11.7109375" style="10" bestFit="1" customWidth="1"/>
    <col min="17" max="17" width="10.85546875" style="10" bestFit="1" customWidth="1"/>
    <col min="18" max="18" width="9.140625" style="10"/>
    <col min="19" max="16384" width="9.140625" style="2"/>
  </cols>
  <sheetData>
    <row r="1" spans="1:18" ht="14.45" customHeight="1" x14ac:dyDescent="0.25">
      <c r="A1" s="147" t="s">
        <v>95</v>
      </c>
      <c r="B1" s="147"/>
      <c r="C1" s="147"/>
      <c r="D1" s="147"/>
      <c r="E1" s="147"/>
      <c r="F1" s="147"/>
      <c r="G1" s="147"/>
      <c r="H1" s="147"/>
      <c r="I1" s="147"/>
      <c r="L1" s="178"/>
      <c r="M1" s="179"/>
      <c r="N1" s="179"/>
      <c r="O1" s="179"/>
      <c r="P1" s="179"/>
      <c r="Q1" s="179"/>
    </row>
    <row r="2" spans="1:18" ht="14.45" customHeight="1" x14ac:dyDescent="0.25">
      <c r="A2" s="148" t="s">
        <v>102</v>
      </c>
      <c r="B2" s="148"/>
      <c r="C2" s="148"/>
      <c r="D2" s="148"/>
      <c r="E2" s="148"/>
      <c r="F2" s="148"/>
      <c r="G2" s="148"/>
      <c r="H2" s="148"/>
      <c r="I2" s="148"/>
      <c r="L2" s="149"/>
      <c r="M2" s="189" t="s">
        <v>30</v>
      </c>
      <c r="N2" s="186" t="s">
        <v>31</v>
      </c>
      <c r="O2" s="186" t="s">
        <v>32</v>
      </c>
      <c r="P2" s="186" t="s">
        <v>93</v>
      </c>
      <c r="Q2" s="186" t="s">
        <v>33</v>
      </c>
    </row>
    <row r="3" spans="1:18" ht="14.45" customHeight="1" x14ac:dyDescent="0.25">
      <c r="A3" s="1"/>
      <c r="B3" s="1"/>
      <c r="C3" s="1"/>
      <c r="D3" s="1"/>
      <c r="E3" s="1"/>
      <c r="F3" s="1"/>
      <c r="G3" s="1"/>
      <c r="H3" s="1"/>
      <c r="I3" s="1"/>
      <c r="K3" s="3"/>
      <c r="L3" s="36"/>
      <c r="M3" s="187"/>
      <c r="N3" s="187"/>
      <c r="O3" s="187"/>
      <c r="P3" s="187"/>
      <c r="Q3" s="187"/>
    </row>
    <row r="4" spans="1:18" ht="14.45" customHeight="1" x14ac:dyDescent="0.25">
      <c r="A4" s="1"/>
      <c r="B4" s="1"/>
      <c r="C4" s="1"/>
      <c r="D4" s="1"/>
      <c r="E4" s="1"/>
      <c r="F4" s="1"/>
      <c r="G4" s="1"/>
      <c r="H4" s="1"/>
      <c r="I4" s="1"/>
      <c r="K4" s="3"/>
      <c r="L4" s="32" t="s">
        <v>26</v>
      </c>
      <c r="M4" s="37"/>
      <c r="N4" s="37"/>
      <c r="O4" s="37">
        <v>0.1575959175825119</v>
      </c>
      <c r="P4" s="37">
        <v>0.8424040675163269</v>
      </c>
      <c r="Q4" s="37"/>
      <c r="R4" s="67"/>
    </row>
    <row r="5" spans="1:18" ht="14.45" customHeight="1" x14ac:dyDescent="0.25">
      <c r="A5" s="1"/>
      <c r="B5" s="1"/>
      <c r="C5" s="1"/>
      <c r="D5" s="1"/>
      <c r="E5" s="1"/>
      <c r="F5" s="1"/>
      <c r="G5" s="1"/>
      <c r="H5" s="1"/>
      <c r="I5" s="1"/>
      <c r="K5" s="3"/>
      <c r="L5" s="38" t="s">
        <v>3</v>
      </c>
      <c r="M5" s="39">
        <v>1.8201440572738647E-2</v>
      </c>
      <c r="N5" s="39" t="s">
        <v>27</v>
      </c>
      <c r="O5" s="39">
        <v>0.98179852962493896</v>
      </c>
      <c r="P5" s="39" t="s">
        <v>27</v>
      </c>
      <c r="Q5" s="40" t="s">
        <v>27</v>
      </c>
      <c r="R5" s="67"/>
    </row>
    <row r="6" spans="1:18" ht="14.45" customHeight="1" x14ac:dyDescent="0.25">
      <c r="A6" s="1"/>
      <c r="B6" s="1"/>
      <c r="C6" s="1"/>
      <c r="D6" s="1"/>
      <c r="E6" s="1"/>
      <c r="F6" s="1"/>
      <c r="G6" s="1"/>
      <c r="H6" s="1"/>
      <c r="I6" s="1"/>
      <c r="K6" s="3"/>
      <c r="L6" s="41" t="s">
        <v>39</v>
      </c>
      <c r="M6" s="42">
        <v>2.7039799839258194E-2</v>
      </c>
      <c r="N6" s="42">
        <v>1.3968621380627155E-2</v>
      </c>
      <c r="O6" s="42">
        <v>0.79593819379806519</v>
      </c>
      <c r="P6" s="42">
        <v>0.13307012617588043</v>
      </c>
      <c r="Q6" s="43">
        <v>2.9983239248394966E-2</v>
      </c>
      <c r="R6" s="67"/>
    </row>
    <row r="7" spans="1:18" ht="14.45" customHeight="1" x14ac:dyDescent="0.25">
      <c r="A7" s="1"/>
      <c r="B7" s="1"/>
      <c r="C7" s="1"/>
      <c r="D7" s="1"/>
      <c r="E7" s="1"/>
      <c r="F7" s="1"/>
      <c r="G7" s="1"/>
      <c r="H7" s="1"/>
      <c r="I7" s="1"/>
      <c r="K7" s="3"/>
      <c r="L7" s="38" t="s">
        <v>6</v>
      </c>
      <c r="M7" s="39">
        <v>1.2790870852768421E-2</v>
      </c>
      <c r="N7" s="39">
        <v>3.4443389624357224E-2</v>
      </c>
      <c r="O7" s="39">
        <v>0.34604397416114807</v>
      </c>
      <c r="P7" s="39">
        <v>0.60144877433776855</v>
      </c>
      <c r="Q7" s="40">
        <v>5.2729686722159386E-3</v>
      </c>
      <c r="R7" s="67"/>
    </row>
    <row r="8" spans="1:18" ht="14.45" customHeight="1" x14ac:dyDescent="0.25">
      <c r="A8" s="1"/>
      <c r="B8" s="1"/>
      <c r="C8" s="1"/>
      <c r="D8" s="1"/>
      <c r="E8" s="1"/>
      <c r="F8" s="1"/>
      <c r="G8" s="1"/>
      <c r="H8" s="1"/>
      <c r="I8" s="1"/>
      <c r="K8" s="3"/>
      <c r="L8" s="41" t="s">
        <v>5</v>
      </c>
      <c r="M8" s="42">
        <v>4.990975558757782E-2</v>
      </c>
      <c r="N8" s="42">
        <v>2.5519650429487228E-2</v>
      </c>
      <c r="O8" s="42">
        <v>0.60754793882369995</v>
      </c>
      <c r="P8" s="42">
        <v>0.30972298979759216</v>
      </c>
      <c r="Q8" s="43">
        <v>7.2996304370462894E-3</v>
      </c>
      <c r="R8" s="67"/>
    </row>
    <row r="9" spans="1:18" ht="14.45" customHeight="1" x14ac:dyDescent="0.25">
      <c r="A9" s="1"/>
      <c r="B9" s="1"/>
      <c r="C9" s="1"/>
      <c r="D9" s="1"/>
      <c r="E9" s="1"/>
      <c r="F9" s="1"/>
      <c r="G9" s="1"/>
      <c r="H9" s="1"/>
      <c r="I9" s="1"/>
      <c r="K9" s="3"/>
      <c r="L9" s="38" t="s">
        <v>16</v>
      </c>
      <c r="M9" s="39">
        <v>7.6918110251426697E-2</v>
      </c>
      <c r="N9" s="39">
        <v>7.984510064125061E-2</v>
      </c>
      <c r="O9" s="39">
        <v>4.2084433138370514E-2</v>
      </c>
      <c r="P9" s="39">
        <v>0.78786206245422363</v>
      </c>
      <c r="Q9" s="40">
        <v>1.3290292583405972E-2</v>
      </c>
      <c r="R9" s="67"/>
    </row>
    <row r="10" spans="1:18" ht="14.45" customHeight="1" x14ac:dyDescent="0.25">
      <c r="A10" s="1"/>
      <c r="B10" s="1"/>
      <c r="C10" s="1"/>
      <c r="D10" s="1"/>
      <c r="E10" s="1"/>
      <c r="F10" s="1"/>
      <c r="G10" s="1"/>
      <c r="H10" s="1"/>
      <c r="I10" s="1"/>
      <c r="K10" s="3"/>
      <c r="L10" s="41" t="s">
        <v>17</v>
      </c>
      <c r="M10" s="42">
        <v>1.2769877910614014E-2</v>
      </c>
      <c r="N10" s="42">
        <v>0.14744345843791962</v>
      </c>
      <c r="O10" s="42">
        <v>0.78277772665023804</v>
      </c>
      <c r="P10" s="42">
        <v>4.6662449836730957E-2</v>
      </c>
      <c r="Q10" s="43">
        <v>1.0346496477723122E-2</v>
      </c>
      <c r="R10" s="67"/>
    </row>
    <row r="11" spans="1:18" ht="14.45" customHeight="1" x14ac:dyDescent="0.25">
      <c r="A11" s="1"/>
      <c r="B11" s="1"/>
      <c r="C11" s="1"/>
      <c r="D11" s="1"/>
      <c r="E11" s="1"/>
      <c r="F11" s="1"/>
      <c r="G11" s="1"/>
      <c r="H11" s="1"/>
      <c r="I11" s="1"/>
      <c r="K11" s="3"/>
      <c r="L11" s="38" t="s">
        <v>9</v>
      </c>
      <c r="M11" s="39">
        <v>2.2889431565999985E-2</v>
      </c>
      <c r="N11" s="39">
        <v>0.21485956013202667</v>
      </c>
      <c r="O11" s="39">
        <v>0.30645212531089783</v>
      </c>
      <c r="P11" s="39">
        <v>0.45579886436462402</v>
      </c>
      <c r="Q11" s="40"/>
      <c r="R11" s="67"/>
    </row>
    <row r="12" spans="1:18" ht="14.45" customHeight="1" x14ac:dyDescent="0.25">
      <c r="A12" s="1"/>
      <c r="B12" s="1"/>
      <c r="C12" s="1"/>
      <c r="D12" s="1"/>
      <c r="E12" s="1"/>
      <c r="F12" s="1"/>
      <c r="G12" s="1"/>
      <c r="H12" s="1"/>
      <c r="I12" s="1"/>
      <c r="K12" s="3"/>
      <c r="L12" s="41" t="s">
        <v>14</v>
      </c>
      <c r="M12" s="42"/>
      <c r="N12" s="42">
        <v>0.27512317895889282</v>
      </c>
      <c r="O12" s="42">
        <v>0.58832681179046631</v>
      </c>
      <c r="P12" s="42">
        <v>0.13612745702266693</v>
      </c>
      <c r="Q12" s="43">
        <v>0</v>
      </c>
      <c r="R12" s="67"/>
    </row>
    <row r="13" spans="1:18" ht="14.45" customHeight="1" x14ac:dyDescent="0.25">
      <c r="A13" s="1"/>
      <c r="B13" s="1"/>
      <c r="C13" s="1"/>
      <c r="D13" s="1"/>
      <c r="E13" s="1"/>
      <c r="F13" s="1"/>
      <c r="G13" s="1"/>
      <c r="H13" s="1"/>
      <c r="I13" s="1"/>
      <c r="K13" s="3"/>
      <c r="L13" s="38" t="s">
        <v>0</v>
      </c>
      <c r="M13" s="39">
        <v>0.21495582163333893</v>
      </c>
      <c r="N13" s="39">
        <v>6.2201995402574539E-2</v>
      </c>
      <c r="O13" s="39">
        <v>0.47264191508293152</v>
      </c>
      <c r="P13" s="39">
        <v>0.13592764735221863</v>
      </c>
      <c r="Q13" s="40">
        <v>0.11427262425422668</v>
      </c>
      <c r="R13" s="67"/>
    </row>
    <row r="14" spans="1:18" ht="14.45" customHeight="1" x14ac:dyDescent="0.25">
      <c r="A14" s="1"/>
      <c r="B14" s="1"/>
      <c r="C14" s="1"/>
      <c r="D14" s="1"/>
      <c r="E14" s="1"/>
      <c r="F14" s="1"/>
      <c r="G14" s="1"/>
      <c r="H14" s="1"/>
      <c r="I14" s="1"/>
      <c r="K14" s="3"/>
      <c r="L14" s="41" t="s">
        <v>88</v>
      </c>
      <c r="M14" s="42">
        <v>0.26456978917121887</v>
      </c>
      <c r="N14" s="42">
        <v>1.9650375470519066E-2</v>
      </c>
      <c r="O14" s="42">
        <v>0.65218275785446167</v>
      </c>
      <c r="P14" s="42">
        <v>4.8631533980369568E-2</v>
      </c>
      <c r="Q14" s="43">
        <v>1.4965491369366646E-2</v>
      </c>
      <c r="R14" s="67"/>
    </row>
    <row r="15" spans="1:18" ht="14.45" customHeight="1" x14ac:dyDescent="0.25">
      <c r="A15" s="1"/>
      <c r="B15" s="1"/>
      <c r="C15" s="1"/>
      <c r="D15" s="1"/>
      <c r="E15" s="1"/>
      <c r="F15" s="1"/>
      <c r="G15" s="1"/>
      <c r="H15" s="1"/>
      <c r="I15" s="1"/>
      <c r="K15" s="3"/>
      <c r="L15" s="38" t="s">
        <v>18</v>
      </c>
      <c r="M15" s="39">
        <v>0.28936657309532166</v>
      </c>
      <c r="N15" s="39">
        <v>5.9193563647568226E-3</v>
      </c>
      <c r="O15" s="39">
        <v>0.14529129862785339</v>
      </c>
      <c r="P15" s="39">
        <v>3.1052643433213234E-2</v>
      </c>
      <c r="Q15" s="40">
        <v>0.52837014198303223</v>
      </c>
      <c r="R15" s="67"/>
    </row>
    <row r="16" spans="1:18" ht="14.45" customHeight="1" x14ac:dyDescent="0.25">
      <c r="A16" s="1"/>
      <c r="B16" s="1"/>
      <c r="C16" s="1"/>
      <c r="D16" s="1"/>
      <c r="E16" s="1"/>
      <c r="F16" s="1"/>
      <c r="G16" s="1"/>
      <c r="H16" s="1"/>
      <c r="I16" s="1"/>
      <c r="K16" s="3"/>
      <c r="L16" s="41" t="s">
        <v>24</v>
      </c>
      <c r="M16" s="42">
        <v>0.2208733856678009</v>
      </c>
      <c r="N16" s="42">
        <v>0.14351679384708405</v>
      </c>
      <c r="O16" s="42">
        <v>0.6120343804359436</v>
      </c>
      <c r="P16" s="42"/>
      <c r="Q16" s="43">
        <v>2.3575400933623314E-2</v>
      </c>
      <c r="R16" s="67"/>
    </row>
    <row r="17" spans="1:18" ht="14.45" customHeight="1" x14ac:dyDescent="0.25">
      <c r="A17" s="1"/>
      <c r="B17" s="1"/>
      <c r="C17" s="1"/>
      <c r="D17" s="1"/>
      <c r="E17" s="1"/>
      <c r="F17" s="1"/>
      <c r="G17" s="1"/>
      <c r="H17" s="1"/>
      <c r="I17" s="1"/>
      <c r="K17" s="3"/>
      <c r="L17" s="38" t="s">
        <v>23</v>
      </c>
      <c r="M17" s="39">
        <v>0.24248345196247101</v>
      </c>
      <c r="N17" s="39">
        <v>0.13306902348995209</v>
      </c>
      <c r="O17" s="39">
        <v>0.4920097291469574</v>
      </c>
      <c r="P17" s="39">
        <v>0.13243779540061951</v>
      </c>
      <c r="Q17" s="40"/>
      <c r="R17" s="67"/>
    </row>
    <row r="18" spans="1:18" ht="14.45" customHeight="1" x14ac:dyDescent="0.25">
      <c r="A18" s="1"/>
      <c r="B18" s="1"/>
      <c r="C18" s="1"/>
      <c r="D18" s="1"/>
      <c r="E18" s="1"/>
      <c r="F18" s="1"/>
      <c r="G18" s="1"/>
      <c r="H18" s="1"/>
      <c r="I18" s="1"/>
      <c r="K18" s="3"/>
      <c r="L18" s="41" t="s">
        <v>15</v>
      </c>
      <c r="M18" s="42">
        <v>0.42240786552429199</v>
      </c>
      <c r="N18" s="42">
        <v>4.4191956520080566E-2</v>
      </c>
      <c r="O18" s="42">
        <v>0.20347122848033905</v>
      </c>
      <c r="P18" s="42">
        <v>0.26618081331253052</v>
      </c>
      <c r="Q18" s="43">
        <v>6.3748098909854889E-2</v>
      </c>
      <c r="R18" s="67"/>
    </row>
    <row r="19" spans="1:18" ht="14.45" customHeight="1" x14ac:dyDescent="0.25">
      <c r="A19" s="6" t="s">
        <v>34</v>
      </c>
      <c r="K19" s="3"/>
      <c r="L19" s="38" t="s">
        <v>11</v>
      </c>
      <c r="M19" s="39">
        <v>0.356622755527496</v>
      </c>
      <c r="N19" s="39">
        <v>0.11628811061382294</v>
      </c>
      <c r="O19" s="39">
        <v>0.31028798222541809</v>
      </c>
      <c r="P19" s="39">
        <v>0.12818664312362671</v>
      </c>
      <c r="Q19" s="40">
        <v>8.8614508509635925E-2</v>
      </c>
      <c r="R19" s="67"/>
    </row>
    <row r="20" spans="1:18" ht="14.45" customHeight="1" x14ac:dyDescent="0.25">
      <c r="A20" s="185" t="s">
        <v>104</v>
      </c>
      <c r="B20" s="185"/>
      <c r="C20" s="185"/>
      <c r="D20" s="185"/>
      <c r="E20" s="185"/>
      <c r="F20" s="185"/>
      <c r="G20" s="185"/>
      <c r="H20" s="185"/>
      <c r="I20" s="185"/>
      <c r="K20" s="3"/>
      <c r="L20" s="41" t="s">
        <v>10</v>
      </c>
      <c r="M20" s="42">
        <v>0.47589060664176941</v>
      </c>
      <c r="N20" s="42">
        <v>5.7680174708366394E-2</v>
      </c>
      <c r="O20" s="42">
        <v>0.14268197119235992</v>
      </c>
      <c r="P20" s="42">
        <v>0.28004816174507141</v>
      </c>
      <c r="Q20" s="43">
        <v>4.3699111789464951E-2</v>
      </c>
      <c r="R20" s="67"/>
    </row>
    <row r="21" spans="1:18" ht="13.5" x14ac:dyDescent="0.25">
      <c r="A21" s="185"/>
      <c r="B21" s="185"/>
      <c r="C21" s="185"/>
      <c r="D21" s="185"/>
      <c r="E21" s="185"/>
      <c r="F21" s="185"/>
      <c r="G21" s="185"/>
      <c r="H21" s="185"/>
      <c r="I21" s="185"/>
      <c r="K21" s="3"/>
      <c r="L21" s="38" t="s">
        <v>12</v>
      </c>
      <c r="M21" s="39">
        <v>0.55053555965423584</v>
      </c>
      <c r="N21" s="39" t="s">
        <v>27</v>
      </c>
      <c r="O21" s="39">
        <v>0.11222824454307556</v>
      </c>
      <c r="P21" s="39">
        <v>0.19763518869876862</v>
      </c>
      <c r="Q21" s="40">
        <v>0.13960102200508118</v>
      </c>
      <c r="R21" s="67"/>
    </row>
    <row r="22" spans="1:18" ht="14.45" customHeight="1" x14ac:dyDescent="0.25">
      <c r="A22" s="185"/>
      <c r="B22" s="185"/>
      <c r="C22" s="185"/>
      <c r="D22" s="185"/>
      <c r="E22" s="185"/>
      <c r="F22" s="185"/>
      <c r="G22" s="185"/>
      <c r="H22" s="185"/>
      <c r="I22" s="185"/>
      <c r="K22" s="3"/>
      <c r="L22" s="41" t="s">
        <v>1</v>
      </c>
      <c r="M22" s="42">
        <v>0.54296380281448364</v>
      </c>
      <c r="N22" s="42">
        <v>9.9290028214454651E-2</v>
      </c>
      <c r="O22" s="42">
        <v>0.21468140184879303</v>
      </c>
      <c r="P22" s="42">
        <v>9.328431636095047E-2</v>
      </c>
      <c r="Q22" s="43">
        <v>4.9780432134866714E-2</v>
      </c>
      <c r="R22" s="67"/>
    </row>
    <row r="23" spans="1:18" ht="14.45" customHeight="1" x14ac:dyDescent="0.25">
      <c r="A23" s="182" t="s">
        <v>132</v>
      </c>
      <c r="B23" s="182"/>
      <c r="C23" s="182"/>
      <c r="D23" s="182"/>
      <c r="E23" s="182"/>
      <c r="F23" s="182"/>
      <c r="G23" s="182"/>
      <c r="H23" s="182"/>
      <c r="I23" s="182"/>
      <c r="K23" s="3"/>
      <c r="L23" s="38" t="s">
        <v>2</v>
      </c>
      <c r="M23" s="39">
        <v>0.79844856262207031</v>
      </c>
      <c r="N23" s="39">
        <v>1.9622119143605232E-2</v>
      </c>
      <c r="O23" s="39">
        <v>1.6656180843710899E-2</v>
      </c>
      <c r="P23" s="39">
        <v>1.7185568809509277E-2</v>
      </c>
      <c r="Q23" s="40">
        <v>0.14808753132820129</v>
      </c>
      <c r="R23" s="67"/>
    </row>
    <row r="24" spans="1:18" ht="14.45" customHeight="1" x14ac:dyDescent="0.25">
      <c r="A24" s="182"/>
      <c r="B24" s="182"/>
      <c r="C24" s="182"/>
      <c r="D24" s="182"/>
      <c r="E24" s="182"/>
      <c r="F24" s="182"/>
      <c r="G24" s="182"/>
      <c r="H24" s="182"/>
      <c r="I24" s="182"/>
      <c r="K24" s="3"/>
      <c r="L24" s="41" t="s">
        <v>28</v>
      </c>
      <c r="M24" s="42">
        <v>0.81676453351974487</v>
      </c>
      <c r="N24" s="42">
        <v>1.0646109469234943E-2</v>
      </c>
      <c r="O24" s="42">
        <v>2.9109634459018707E-2</v>
      </c>
      <c r="P24" s="42">
        <v>2.2847099229693413E-2</v>
      </c>
      <c r="Q24" s="43">
        <v>0.12063265591859818</v>
      </c>
      <c r="R24" s="67"/>
    </row>
    <row r="25" spans="1:18" ht="14.45" customHeight="1" x14ac:dyDescent="0.25">
      <c r="A25" s="182"/>
      <c r="B25" s="182"/>
      <c r="C25" s="182"/>
      <c r="D25" s="182"/>
      <c r="E25" s="182"/>
      <c r="F25" s="182"/>
      <c r="G25" s="182"/>
      <c r="H25" s="182"/>
      <c r="I25" s="182"/>
      <c r="K25" s="3"/>
      <c r="L25" s="38" t="s">
        <v>13</v>
      </c>
      <c r="M25" s="39">
        <v>0.83042681217193604</v>
      </c>
      <c r="N25" s="39">
        <v>4.7322683967649937E-3</v>
      </c>
      <c r="O25" s="39">
        <v>2.9860686045140028E-3</v>
      </c>
      <c r="P25" s="39">
        <v>2.7529668062925339E-2</v>
      </c>
      <c r="Q25" s="40">
        <v>0.13432519137859344</v>
      </c>
      <c r="R25" s="67"/>
    </row>
    <row r="26" spans="1:18" ht="14.45" customHeight="1" x14ac:dyDescent="0.25">
      <c r="A26" s="185" t="s">
        <v>117</v>
      </c>
      <c r="B26" s="185"/>
      <c r="C26" s="185"/>
      <c r="D26" s="185"/>
      <c r="E26" s="185"/>
      <c r="F26" s="185"/>
      <c r="G26" s="185"/>
      <c r="H26" s="185"/>
      <c r="I26" s="185"/>
      <c r="L26" s="68" t="s">
        <v>19</v>
      </c>
      <c r="M26" s="28">
        <v>0.11136366426944733</v>
      </c>
      <c r="N26" s="28">
        <v>0.78819727897644043</v>
      </c>
      <c r="O26" s="28">
        <v>6.5404497087001801E-2</v>
      </c>
      <c r="P26" s="28">
        <v>3.4731306135654449E-2</v>
      </c>
      <c r="Q26" s="34">
        <v>3.0329116270877421E-4</v>
      </c>
      <c r="R26" s="67"/>
    </row>
    <row r="27" spans="1:18" ht="14.45" customHeight="1" x14ac:dyDescent="0.25">
      <c r="A27" s="185"/>
      <c r="B27" s="185"/>
      <c r="C27" s="185"/>
      <c r="D27" s="185"/>
      <c r="E27" s="185"/>
      <c r="F27" s="185"/>
      <c r="G27" s="185"/>
      <c r="H27" s="185"/>
      <c r="I27" s="185"/>
    </row>
    <row r="28" spans="1:18" ht="14.45" customHeight="1" x14ac:dyDescent="0.25">
      <c r="A28" s="185" t="s">
        <v>134</v>
      </c>
      <c r="B28" s="185"/>
      <c r="C28" s="185"/>
      <c r="D28" s="185"/>
      <c r="E28" s="185"/>
      <c r="F28" s="185"/>
      <c r="G28" s="185"/>
      <c r="H28" s="185"/>
      <c r="I28" s="185"/>
      <c r="L28" s="15"/>
      <c r="M28" s="59"/>
      <c r="N28" s="59"/>
      <c r="O28" s="59"/>
      <c r="P28" s="59"/>
      <c r="Q28" s="59"/>
    </row>
    <row r="29" spans="1:18" ht="14.45" customHeight="1" x14ac:dyDescent="0.25">
      <c r="A29" s="188" t="s">
        <v>118</v>
      </c>
      <c r="B29" s="188"/>
      <c r="C29" s="188"/>
      <c r="D29" s="188"/>
      <c r="E29" s="188"/>
      <c r="F29" s="188"/>
      <c r="G29" s="188"/>
      <c r="H29" s="188"/>
      <c r="I29" s="188"/>
    </row>
    <row r="30" spans="1:18" ht="14.45" customHeight="1" x14ac:dyDescent="0.25">
      <c r="A30" s="2" t="s">
        <v>119</v>
      </c>
    </row>
    <row r="31" spans="1:18" ht="14.45" customHeight="1" x14ac:dyDescent="0.25">
      <c r="J31" s="31"/>
      <c r="L31" s="10" t="s">
        <v>27</v>
      </c>
      <c r="M31" s="10" t="s">
        <v>27</v>
      </c>
    </row>
    <row r="32" spans="1:18" ht="14.45" customHeight="1" x14ac:dyDescent="0.25">
      <c r="A32" s="183" t="s">
        <v>126</v>
      </c>
      <c r="B32" s="184"/>
      <c r="C32" s="184"/>
      <c r="D32" s="184"/>
      <c r="E32" s="184"/>
      <c r="F32" s="184"/>
      <c r="G32" s="184"/>
      <c r="H32" s="184"/>
      <c r="I32" s="184"/>
      <c r="J32" s="31"/>
      <c r="L32" s="10" t="s">
        <v>27</v>
      </c>
      <c r="M32" s="10" t="s">
        <v>27</v>
      </c>
    </row>
    <row r="33" spans="1:13" ht="14.45" customHeight="1" x14ac:dyDescent="0.25">
      <c r="A33" s="184"/>
      <c r="B33" s="184"/>
      <c r="C33" s="184"/>
      <c r="D33" s="184"/>
      <c r="E33" s="184"/>
      <c r="F33" s="184"/>
      <c r="G33" s="184"/>
      <c r="H33" s="184"/>
      <c r="I33" s="184"/>
      <c r="J33" s="31"/>
    </row>
    <row r="34" spans="1:13" ht="14.45" customHeight="1" x14ac:dyDescent="0.25">
      <c r="A34" s="138"/>
      <c r="B34" s="138"/>
      <c r="C34" s="138"/>
      <c r="D34" s="138"/>
      <c r="E34" s="138"/>
      <c r="F34" s="138"/>
      <c r="G34" s="138"/>
      <c r="H34" s="138"/>
      <c r="I34" s="138"/>
      <c r="J34" s="31"/>
      <c r="L34" s="10" t="s">
        <v>27</v>
      </c>
      <c r="M34" s="10" t="s">
        <v>27</v>
      </c>
    </row>
    <row r="35" spans="1:13" ht="14.45" customHeight="1" x14ac:dyDescent="0.25">
      <c r="A35" s="25" t="s">
        <v>72</v>
      </c>
      <c r="B35" s="72"/>
      <c r="C35" s="72"/>
      <c r="D35" s="72"/>
      <c r="E35" s="72"/>
      <c r="F35" s="72"/>
      <c r="G35" s="72"/>
      <c r="H35" s="72"/>
      <c r="I35" s="72"/>
      <c r="J35" s="31"/>
    </row>
    <row r="36" spans="1:13" ht="14.45" customHeight="1" x14ac:dyDescent="0.25">
      <c r="A36" s="25"/>
      <c r="B36" s="138"/>
      <c r="C36" s="138"/>
      <c r="D36" s="138"/>
      <c r="E36" s="138"/>
      <c r="F36" s="138"/>
      <c r="G36" s="138"/>
      <c r="H36" s="138"/>
      <c r="I36" s="138"/>
      <c r="J36" s="31"/>
    </row>
    <row r="37" spans="1:13" ht="14.45" customHeight="1" x14ac:dyDescent="0.25">
      <c r="A37" s="182" t="s">
        <v>100</v>
      </c>
      <c r="B37" s="182"/>
      <c r="C37" s="182"/>
      <c r="D37" s="182"/>
      <c r="E37" s="182"/>
      <c r="F37" s="182"/>
      <c r="G37" s="182"/>
      <c r="H37" s="182"/>
      <c r="I37" s="182"/>
      <c r="J37" s="98"/>
      <c r="L37" s="10" t="s">
        <v>27</v>
      </c>
      <c r="M37" s="10" t="s">
        <v>27</v>
      </c>
    </row>
    <row r="38" spans="1:13" ht="14.45" customHeight="1" x14ac:dyDescent="0.25">
      <c r="A38" s="182"/>
      <c r="B38" s="182"/>
      <c r="C38" s="182"/>
      <c r="D38" s="182"/>
      <c r="E38" s="182"/>
      <c r="F38" s="182"/>
      <c r="G38" s="182"/>
      <c r="H38" s="182"/>
      <c r="I38" s="182"/>
      <c r="J38" s="98"/>
      <c r="L38" s="10" t="s">
        <v>27</v>
      </c>
      <c r="M38" s="10" t="s">
        <v>27</v>
      </c>
    </row>
    <row r="39" spans="1:13" ht="14.45" customHeight="1" x14ac:dyDescent="0.25">
      <c r="A39" s="31"/>
      <c r="B39" s="31"/>
      <c r="C39" s="31"/>
      <c r="D39" s="31"/>
      <c r="E39" s="31"/>
      <c r="F39" s="31"/>
      <c r="G39" s="31"/>
      <c r="H39" s="31"/>
      <c r="I39" s="31"/>
      <c r="J39" s="98"/>
      <c r="L39" s="10" t="s">
        <v>27</v>
      </c>
      <c r="M39" s="10" t="s">
        <v>27</v>
      </c>
    </row>
    <row r="40" spans="1:13" ht="14.45" customHeight="1" x14ac:dyDescent="0.25">
      <c r="A40" s="31"/>
      <c r="B40" s="31"/>
      <c r="C40" s="31"/>
      <c r="D40" s="31"/>
      <c r="E40" s="31"/>
      <c r="F40" s="31"/>
      <c r="G40" s="31"/>
      <c r="H40" s="31"/>
      <c r="I40" s="31"/>
      <c r="J40" s="98"/>
      <c r="L40" s="10" t="s">
        <v>27</v>
      </c>
      <c r="M40" s="10" t="s">
        <v>27</v>
      </c>
    </row>
    <row r="41" spans="1:13" ht="14.45" customHeight="1" x14ac:dyDescent="0.25">
      <c r="A41" s="98"/>
      <c r="B41" s="98"/>
      <c r="C41" s="98"/>
      <c r="D41" s="98"/>
      <c r="E41" s="98"/>
      <c r="F41" s="98"/>
      <c r="G41" s="98"/>
      <c r="H41" s="98"/>
      <c r="I41" s="98"/>
      <c r="L41" s="10" t="s">
        <v>27</v>
      </c>
      <c r="M41" s="10" t="s">
        <v>27</v>
      </c>
    </row>
    <row r="42" spans="1:13" ht="14.45" customHeight="1" x14ac:dyDescent="0.25">
      <c r="A42" s="98"/>
      <c r="B42" s="98"/>
      <c r="C42" s="98"/>
      <c r="D42" s="98"/>
      <c r="E42" s="98"/>
      <c r="F42" s="98"/>
      <c r="G42" s="98"/>
      <c r="H42" s="98"/>
      <c r="I42" s="98"/>
      <c r="L42" s="10" t="s">
        <v>27</v>
      </c>
      <c r="M42" s="10" t="s">
        <v>27</v>
      </c>
    </row>
    <row r="43" spans="1:13" ht="14.45" customHeight="1" x14ac:dyDescent="0.25">
      <c r="A43" s="98"/>
      <c r="B43" s="98"/>
      <c r="C43" s="98"/>
      <c r="D43" s="98"/>
      <c r="E43" s="98"/>
      <c r="F43" s="98"/>
      <c r="G43" s="98"/>
      <c r="H43" s="98"/>
      <c r="I43" s="98"/>
      <c r="L43" s="10" t="s">
        <v>27</v>
      </c>
      <c r="M43" s="10" t="s">
        <v>27</v>
      </c>
    </row>
    <row r="44" spans="1:13" ht="14.45" customHeight="1" x14ac:dyDescent="0.25">
      <c r="A44" s="98"/>
      <c r="B44" s="98"/>
      <c r="C44" s="98"/>
      <c r="D44" s="98"/>
      <c r="E44" s="98"/>
      <c r="F44" s="98"/>
      <c r="G44" s="98"/>
      <c r="H44" s="98"/>
      <c r="I44" s="98"/>
      <c r="L44" s="10" t="s">
        <v>27</v>
      </c>
      <c r="M44" s="10" t="s">
        <v>27</v>
      </c>
    </row>
    <row r="45" spans="1:13" ht="14.45" customHeight="1" x14ac:dyDescent="0.25">
      <c r="L45" s="10" t="s">
        <v>27</v>
      </c>
      <c r="M45" s="10" t="s">
        <v>27</v>
      </c>
    </row>
    <row r="46" spans="1:13" ht="14.45" customHeight="1" x14ac:dyDescent="0.25">
      <c r="L46" s="10" t="s">
        <v>27</v>
      </c>
      <c r="M46" s="10" t="s">
        <v>27</v>
      </c>
    </row>
    <row r="47" spans="1:13" ht="14.45" customHeight="1" x14ac:dyDescent="0.25">
      <c r="L47" s="10" t="s">
        <v>27</v>
      </c>
      <c r="M47" s="10" t="s">
        <v>27</v>
      </c>
    </row>
    <row r="48" spans="1:13" ht="14.45" customHeight="1" x14ac:dyDescent="0.25">
      <c r="L48" s="10" t="s">
        <v>27</v>
      </c>
      <c r="M48" s="10" t="s">
        <v>27</v>
      </c>
    </row>
    <row r="49" spans="12:13" ht="14.45" customHeight="1" x14ac:dyDescent="0.25">
      <c r="L49" s="10" t="s">
        <v>27</v>
      </c>
      <c r="M49" s="10" t="s">
        <v>27</v>
      </c>
    </row>
    <row r="50" spans="12:13" ht="14.45" customHeight="1" x14ac:dyDescent="0.25">
      <c r="L50" s="10" t="s">
        <v>27</v>
      </c>
      <c r="M50" s="10" t="s">
        <v>27</v>
      </c>
    </row>
    <row r="51" spans="12:13" ht="14.45" customHeight="1" x14ac:dyDescent="0.25">
      <c r="L51" s="10" t="s">
        <v>27</v>
      </c>
      <c r="M51" s="10" t="s">
        <v>27</v>
      </c>
    </row>
    <row r="52" spans="12:13" ht="14.45" customHeight="1" x14ac:dyDescent="0.25">
      <c r="L52" s="10" t="s">
        <v>27</v>
      </c>
      <c r="M52" s="10" t="s">
        <v>27</v>
      </c>
    </row>
    <row r="53" spans="12:13" ht="14.45" customHeight="1" x14ac:dyDescent="0.25">
      <c r="L53" s="10" t="s">
        <v>27</v>
      </c>
      <c r="M53" s="10" t="s">
        <v>27</v>
      </c>
    </row>
    <row r="54" spans="12:13" ht="14.45" customHeight="1" x14ac:dyDescent="0.25">
      <c r="L54" s="10" t="s">
        <v>27</v>
      </c>
      <c r="M54" s="10" t="s">
        <v>27</v>
      </c>
    </row>
    <row r="55" spans="12:13" ht="14.45" customHeight="1" x14ac:dyDescent="0.25">
      <c r="L55" s="10" t="s">
        <v>27</v>
      </c>
      <c r="M55" s="10" t="s">
        <v>27</v>
      </c>
    </row>
    <row r="56" spans="12:13" ht="14.45" customHeight="1" x14ac:dyDescent="0.25">
      <c r="L56" s="10" t="s">
        <v>27</v>
      </c>
      <c r="M56" s="10" t="s">
        <v>27</v>
      </c>
    </row>
    <row r="57" spans="12:13" ht="14.45" customHeight="1" x14ac:dyDescent="0.25">
      <c r="L57" s="10" t="s">
        <v>27</v>
      </c>
      <c r="M57" s="10" t="s">
        <v>27</v>
      </c>
    </row>
    <row r="58" spans="12:13" ht="14.45" customHeight="1" x14ac:dyDescent="0.25">
      <c r="L58" s="10" t="s">
        <v>27</v>
      </c>
      <c r="M58" s="10" t="s">
        <v>27</v>
      </c>
    </row>
    <row r="59" spans="12:13" ht="14.45" customHeight="1" x14ac:dyDescent="0.25">
      <c r="L59" s="10" t="s">
        <v>27</v>
      </c>
      <c r="M59" s="10" t="s">
        <v>27</v>
      </c>
    </row>
    <row r="60" spans="12:13" ht="14.45" customHeight="1" x14ac:dyDescent="0.25">
      <c r="L60" s="10" t="s">
        <v>27</v>
      </c>
      <c r="M60" s="10" t="s">
        <v>27</v>
      </c>
    </row>
    <row r="61" spans="12:13" ht="14.45" customHeight="1" x14ac:dyDescent="0.25">
      <c r="L61" s="10" t="s">
        <v>27</v>
      </c>
      <c r="M61" s="10" t="s">
        <v>27</v>
      </c>
    </row>
    <row r="62" spans="12:13" ht="14.45" customHeight="1" x14ac:dyDescent="0.25">
      <c r="L62" s="10" t="s">
        <v>27</v>
      </c>
      <c r="M62" s="10" t="s">
        <v>27</v>
      </c>
    </row>
    <row r="63" spans="12:13" ht="14.45" customHeight="1" x14ac:dyDescent="0.25">
      <c r="L63" s="10" t="s">
        <v>27</v>
      </c>
      <c r="M63" s="10" t="s">
        <v>27</v>
      </c>
    </row>
    <row r="64" spans="12:13" ht="14.45" customHeight="1" x14ac:dyDescent="0.25">
      <c r="L64" s="10" t="s">
        <v>27</v>
      </c>
      <c r="M64" s="10" t="s">
        <v>27</v>
      </c>
    </row>
    <row r="65" spans="12:13" ht="14.45" customHeight="1" x14ac:dyDescent="0.25">
      <c r="L65" s="10" t="s">
        <v>27</v>
      </c>
      <c r="M65" s="10" t="s">
        <v>27</v>
      </c>
    </row>
    <row r="66" spans="12:13" ht="14.45" customHeight="1" x14ac:dyDescent="0.25">
      <c r="L66" s="10" t="s">
        <v>27</v>
      </c>
      <c r="M66" s="10" t="s">
        <v>27</v>
      </c>
    </row>
    <row r="67" spans="12:13" ht="14.45" customHeight="1" x14ac:dyDescent="0.25">
      <c r="L67" s="10" t="s">
        <v>27</v>
      </c>
      <c r="M67" s="10" t="s">
        <v>27</v>
      </c>
    </row>
    <row r="68" spans="12:13" ht="14.45" customHeight="1" x14ac:dyDescent="0.25">
      <c r="L68" s="10" t="s">
        <v>27</v>
      </c>
      <c r="M68" s="10" t="s">
        <v>27</v>
      </c>
    </row>
    <row r="69" spans="12:13" ht="14.45" customHeight="1" x14ac:dyDescent="0.25">
      <c r="L69" s="10" t="s">
        <v>27</v>
      </c>
      <c r="M69" s="10" t="s">
        <v>27</v>
      </c>
    </row>
    <row r="70" spans="12:13" ht="14.45" customHeight="1" x14ac:dyDescent="0.25">
      <c r="L70" s="10" t="s">
        <v>27</v>
      </c>
      <c r="M70" s="10" t="s">
        <v>27</v>
      </c>
    </row>
    <row r="71" spans="12:13" ht="14.45" customHeight="1" x14ac:dyDescent="0.25">
      <c r="L71" s="10" t="s">
        <v>27</v>
      </c>
      <c r="M71" s="10" t="s">
        <v>27</v>
      </c>
    </row>
    <row r="72" spans="12:13" ht="14.45" customHeight="1" x14ac:dyDescent="0.25">
      <c r="L72" s="10" t="s">
        <v>27</v>
      </c>
      <c r="M72" s="10" t="s">
        <v>27</v>
      </c>
    </row>
    <row r="73" spans="12:13" ht="14.45" customHeight="1" x14ac:dyDescent="0.25">
      <c r="L73" s="10" t="s">
        <v>27</v>
      </c>
      <c r="M73" s="10" t="s">
        <v>27</v>
      </c>
    </row>
    <row r="74" spans="12:13" ht="14.45" customHeight="1" x14ac:dyDescent="0.25">
      <c r="L74" s="10" t="s">
        <v>27</v>
      </c>
      <c r="M74" s="10" t="s">
        <v>27</v>
      </c>
    </row>
    <row r="75" spans="12:13" ht="14.45" customHeight="1" x14ac:dyDescent="0.25">
      <c r="L75" s="10" t="s">
        <v>27</v>
      </c>
      <c r="M75" s="10" t="s">
        <v>27</v>
      </c>
    </row>
    <row r="76" spans="12:13" ht="14.45" customHeight="1" x14ac:dyDescent="0.25">
      <c r="L76" s="10" t="s">
        <v>27</v>
      </c>
      <c r="M76" s="10" t="s">
        <v>27</v>
      </c>
    </row>
    <row r="77" spans="12:13" ht="14.45" customHeight="1" x14ac:dyDescent="0.25">
      <c r="L77" s="10" t="s">
        <v>27</v>
      </c>
      <c r="M77" s="10" t="s">
        <v>27</v>
      </c>
    </row>
    <row r="78" spans="12:13" ht="14.45" customHeight="1" x14ac:dyDescent="0.25">
      <c r="L78" s="10" t="s">
        <v>27</v>
      </c>
      <c r="M78" s="10" t="s">
        <v>27</v>
      </c>
    </row>
  </sheetData>
  <sortState xmlns:xlrd2="http://schemas.microsoft.com/office/spreadsheetml/2017/richdata2" ref="K4:Q24">
    <sortCondition ref="K4:K24"/>
  </sortState>
  <mergeCells count="13">
    <mergeCell ref="Q2:Q3"/>
    <mergeCell ref="A23:I25"/>
    <mergeCell ref="A37:I38"/>
    <mergeCell ref="L1:Q1"/>
    <mergeCell ref="A29:I29"/>
    <mergeCell ref="A26:I27"/>
    <mergeCell ref="A28:I28"/>
    <mergeCell ref="A32:I33"/>
    <mergeCell ref="A20:I22"/>
    <mergeCell ref="M2:M3"/>
    <mergeCell ref="N2:N3"/>
    <mergeCell ref="O2:O3"/>
    <mergeCell ref="P2:P3"/>
  </mergeCells>
  <hyperlinks>
    <hyperlink ref="A35" r:id="rId1" xr:uid="{C39F8CBC-34B9-451B-B57B-E6507750F908}"/>
  </hyperlinks>
  <pageMargins left="0.70866141732283472" right="0.70866141732283472" top="0.74803149606299213" bottom="0.74803149606299213" header="0.31496062992125984" footer="0.31496062992125984"/>
  <pageSetup paperSize="9" scale="78" orientation="landscape"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7D207-9C41-4B80-8482-A55AFB088E72}">
  <sheetPr>
    <pageSetUpPr fitToPage="1"/>
  </sheetPr>
  <dimension ref="A1:Q48"/>
  <sheetViews>
    <sheetView showGridLines="0" zoomScaleNormal="100" workbookViewId="0"/>
  </sheetViews>
  <sheetFormatPr defaultColWidth="9.140625" defaultRowHeight="13.5" x14ac:dyDescent="0.25"/>
  <cols>
    <col min="1" max="1" width="11" style="2" customWidth="1"/>
    <col min="2" max="11" width="9.140625" style="2"/>
    <col min="12" max="12" width="13.140625" style="2" customWidth="1"/>
    <col min="13" max="13" width="20.28515625" style="2" customWidth="1"/>
    <col min="14" max="14" width="18" style="2" customWidth="1"/>
    <col min="15" max="15" width="9.140625" style="2"/>
    <col min="16" max="16" width="10.85546875" style="2" customWidth="1"/>
    <col min="17" max="17" width="12.28515625" style="2" customWidth="1"/>
    <col min="18" max="16384" width="9.140625" style="2"/>
  </cols>
  <sheetData>
    <row r="1" spans="1:17" ht="13.5" customHeight="1" x14ac:dyDescent="0.25">
      <c r="A1" s="150" t="s">
        <v>105</v>
      </c>
      <c r="B1" s="151"/>
      <c r="C1" s="151"/>
      <c r="D1" s="151"/>
      <c r="E1" s="151"/>
      <c r="F1" s="151"/>
      <c r="G1" s="151"/>
      <c r="H1" s="151"/>
      <c r="I1" s="151"/>
      <c r="K1" s="79"/>
      <c r="L1" s="192" t="s">
        <v>106</v>
      </c>
      <c r="M1" s="192"/>
      <c r="N1" s="192"/>
      <c r="O1" s="12"/>
    </row>
    <row r="2" spans="1:17" ht="18" customHeight="1" x14ac:dyDescent="0.25">
      <c r="A2" s="152" t="s">
        <v>97</v>
      </c>
      <c r="B2" s="152"/>
      <c r="C2" s="152"/>
      <c r="D2" s="152"/>
      <c r="E2" s="152"/>
      <c r="F2" s="152"/>
      <c r="G2" s="152"/>
      <c r="H2" s="152"/>
      <c r="I2" s="152"/>
      <c r="K2" s="12"/>
      <c r="L2" s="192"/>
      <c r="M2" s="192"/>
      <c r="N2" s="192"/>
      <c r="O2" s="12"/>
    </row>
    <row r="3" spans="1:17" ht="13.5" customHeight="1" x14ac:dyDescent="0.25">
      <c r="A3" s="152"/>
      <c r="B3" s="152"/>
      <c r="C3" s="152"/>
      <c r="D3" s="152"/>
      <c r="E3" s="152"/>
      <c r="F3" s="152"/>
      <c r="G3" s="152"/>
      <c r="H3" s="152"/>
      <c r="I3" s="152"/>
      <c r="L3" s="193" t="s">
        <v>113</v>
      </c>
      <c r="M3" s="194"/>
      <c r="N3" s="194"/>
    </row>
    <row r="4" spans="1:17" ht="14.25" thickBot="1" x14ac:dyDescent="0.3">
      <c r="A4" s="1"/>
      <c r="B4" s="1"/>
      <c r="C4" s="1"/>
      <c r="D4" s="1"/>
      <c r="E4" s="1"/>
      <c r="F4" s="1"/>
      <c r="G4" s="1"/>
      <c r="H4" s="1"/>
      <c r="I4" s="1"/>
      <c r="L4" s="195"/>
      <c r="M4" s="195"/>
      <c r="N4" s="195"/>
    </row>
    <row r="5" spans="1:17" ht="13.5" customHeight="1" x14ac:dyDescent="0.25">
      <c r="A5" s="1"/>
      <c r="B5" s="1"/>
      <c r="C5" s="1"/>
      <c r="D5" s="1"/>
      <c r="E5" s="1"/>
      <c r="F5" s="1"/>
      <c r="G5" s="1"/>
      <c r="H5" s="1"/>
      <c r="I5" s="1"/>
      <c r="L5" s="49"/>
      <c r="M5" s="190" t="s">
        <v>43</v>
      </c>
      <c r="N5" s="191" t="s">
        <v>44</v>
      </c>
      <c r="O5" s="4"/>
      <c r="P5" s="190"/>
      <c r="Q5" s="191"/>
    </row>
    <row r="6" spans="1:17" x14ac:dyDescent="0.25">
      <c r="A6" s="1"/>
      <c r="B6" s="1"/>
      <c r="C6" s="1"/>
      <c r="D6" s="1"/>
      <c r="E6" s="1"/>
      <c r="F6" s="1"/>
      <c r="G6" s="1"/>
      <c r="H6" s="1"/>
      <c r="I6" s="1"/>
      <c r="M6" s="190"/>
      <c r="N6" s="191"/>
      <c r="O6" s="4"/>
      <c r="P6" s="190"/>
      <c r="Q6" s="191"/>
    </row>
    <row r="7" spans="1:17" ht="21" customHeight="1" x14ac:dyDescent="0.25">
      <c r="A7" s="1"/>
      <c r="B7" s="1"/>
      <c r="C7" s="1"/>
      <c r="D7" s="1"/>
      <c r="E7" s="1"/>
      <c r="F7" s="1"/>
      <c r="G7" s="1"/>
      <c r="H7" s="1"/>
      <c r="I7" s="1"/>
      <c r="M7" s="190"/>
      <c r="N7" s="191"/>
      <c r="O7" s="4"/>
      <c r="P7" s="190"/>
      <c r="Q7" s="191"/>
    </row>
    <row r="8" spans="1:17" x14ac:dyDescent="0.25">
      <c r="A8" s="1"/>
      <c r="B8" s="1"/>
      <c r="C8" s="1"/>
      <c r="D8" s="1"/>
      <c r="E8" s="1"/>
      <c r="F8" s="1"/>
      <c r="G8" s="1"/>
      <c r="H8" s="1"/>
      <c r="I8" s="1"/>
      <c r="L8" s="16" t="s">
        <v>12</v>
      </c>
      <c r="M8" s="21">
        <v>0.41849180000000002</v>
      </c>
      <c r="N8" s="21">
        <v>0.10256750000000001</v>
      </c>
      <c r="O8" s="61"/>
      <c r="P8" s="61"/>
      <c r="Q8" s="61"/>
    </row>
    <row r="9" spans="1:17" x14ac:dyDescent="0.25">
      <c r="A9" s="1"/>
      <c r="B9" s="1"/>
      <c r="C9" s="1"/>
      <c r="D9" s="1"/>
      <c r="E9" s="1"/>
      <c r="F9" s="1"/>
      <c r="G9" s="1"/>
      <c r="H9" s="1"/>
      <c r="I9" s="1"/>
      <c r="L9" s="15" t="s">
        <v>13</v>
      </c>
      <c r="M9" s="19">
        <v>0.32946039999999999</v>
      </c>
      <c r="N9" s="19">
        <v>0.1565724</v>
      </c>
      <c r="O9" s="61"/>
      <c r="P9" s="61"/>
      <c r="Q9" s="61"/>
    </row>
    <row r="10" spans="1:17" x14ac:dyDescent="0.25">
      <c r="A10" s="1"/>
      <c r="B10" s="1"/>
      <c r="C10" s="1"/>
      <c r="D10" s="1"/>
      <c r="E10" s="1"/>
      <c r="F10" s="1"/>
      <c r="G10" s="1"/>
      <c r="H10" s="1"/>
      <c r="I10" s="1"/>
      <c r="L10" s="16" t="s">
        <v>10</v>
      </c>
      <c r="M10" s="21">
        <v>0.2059037</v>
      </c>
      <c r="N10" s="21">
        <v>4.62785E-2</v>
      </c>
      <c r="O10" s="61"/>
      <c r="P10" s="61"/>
      <c r="Q10" s="61"/>
    </row>
    <row r="11" spans="1:17" x14ac:dyDescent="0.25">
      <c r="A11" s="1"/>
      <c r="B11" s="1"/>
      <c r="C11" s="1"/>
      <c r="D11" s="1"/>
      <c r="E11" s="1"/>
      <c r="F11" s="1"/>
      <c r="G11" s="1"/>
      <c r="H11" s="1"/>
      <c r="I11" s="1"/>
      <c r="L11" s="15" t="s">
        <v>40</v>
      </c>
      <c r="M11" s="62">
        <v>0.1971562</v>
      </c>
      <c r="N11" s="62">
        <v>7.5016399999999997E-2</v>
      </c>
      <c r="O11" s="61"/>
      <c r="P11" s="61"/>
      <c r="Q11" s="61"/>
    </row>
    <row r="12" spans="1:17" x14ac:dyDescent="0.25">
      <c r="A12" s="1"/>
      <c r="B12" s="1"/>
      <c r="C12" s="1"/>
      <c r="D12" s="1"/>
      <c r="E12" s="1"/>
      <c r="F12" s="1"/>
      <c r="G12" s="1"/>
      <c r="H12" s="1"/>
      <c r="I12" s="1"/>
      <c r="L12" s="16" t="s">
        <v>15</v>
      </c>
      <c r="M12" s="21">
        <v>0.1803071</v>
      </c>
      <c r="N12" s="21">
        <v>0</v>
      </c>
      <c r="O12" s="61"/>
      <c r="P12" s="61"/>
      <c r="Q12" s="61"/>
    </row>
    <row r="13" spans="1:17" x14ac:dyDescent="0.25">
      <c r="A13" s="1"/>
      <c r="B13" s="1"/>
      <c r="C13" s="1"/>
      <c r="D13" s="1"/>
      <c r="E13" s="1"/>
      <c r="F13" s="1"/>
      <c r="G13" s="1"/>
      <c r="H13" s="1"/>
      <c r="I13" s="1"/>
      <c r="L13" s="15" t="s">
        <v>18</v>
      </c>
      <c r="M13" s="19">
        <v>0.17661360000000001</v>
      </c>
      <c r="N13" s="19">
        <v>3.823E-2</v>
      </c>
      <c r="O13" s="61"/>
      <c r="P13" s="61"/>
      <c r="Q13" s="61"/>
    </row>
    <row r="14" spans="1:17" x14ac:dyDescent="0.25">
      <c r="A14" s="1"/>
      <c r="B14" s="1"/>
      <c r="C14" s="1"/>
      <c r="D14" s="1"/>
      <c r="E14" s="1"/>
      <c r="F14" s="1"/>
      <c r="G14" s="1"/>
      <c r="H14" s="1"/>
      <c r="I14" s="1"/>
      <c r="L14" s="16" t="s">
        <v>23</v>
      </c>
      <c r="M14" s="21">
        <v>0.1559577</v>
      </c>
      <c r="N14" s="21">
        <v>0</v>
      </c>
      <c r="O14" s="61"/>
      <c r="P14" s="61"/>
      <c r="Q14" s="61"/>
    </row>
    <row r="15" spans="1:17" x14ac:dyDescent="0.25">
      <c r="A15" s="1"/>
      <c r="B15" s="1"/>
      <c r="C15" s="1"/>
      <c r="D15" s="1"/>
      <c r="E15" s="1"/>
      <c r="F15" s="1"/>
      <c r="G15" s="1"/>
      <c r="H15" s="1"/>
      <c r="I15" s="1"/>
      <c r="L15" s="15" t="s">
        <v>76</v>
      </c>
      <c r="M15" s="19">
        <v>0.15256620000000001</v>
      </c>
      <c r="N15" s="19">
        <v>3.6344599999999998E-2</v>
      </c>
      <c r="O15" s="61"/>
      <c r="P15" s="61"/>
      <c r="Q15" s="61"/>
    </row>
    <row r="16" spans="1:17" x14ac:dyDescent="0.25">
      <c r="A16" s="1"/>
      <c r="B16" s="1"/>
      <c r="C16" s="1"/>
      <c r="D16" s="1"/>
      <c r="E16" s="1"/>
      <c r="F16" s="1"/>
      <c r="G16" s="1"/>
      <c r="H16" s="1"/>
      <c r="I16" s="1"/>
      <c r="L16" s="16" t="s">
        <v>26</v>
      </c>
      <c r="M16" s="21">
        <v>0.1256979</v>
      </c>
      <c r="N16" s="21">
        <v>3.6604200000000003E-2</v>
      </c>
      <c r="O16" s="61"/>
      <c r="P16" s="61"/>
      <c r="Q16" s="61"/>
    </row>
    <row r="17" spans="1:17" x14ac:dyDescent="0.25">
      <c r="A17" s="1"/>
      <c r="B17" s="1"/>
      <c r="C17" s="1"/>
      <c r="D17" s="1"/>
      <c r="E17" s="1"/>
      <c r="F17" s="1"/>
      <c r="G17" s="1"/>
      <c r="H17" s="1"/>
      <c r="I17" s="1"/>
      <c r="L17" s="15" t="s">
        <v>14</v>
      </c>
      <c r="M17" s="19">
        <v>9.9831500000000004E-2</v>
      </c>
      <c r="N17" s="19">
        <v>5.1109399999999999E-2</v>
      </c>
      <c r="O17" s="61"/>
      <c r="P17" s="61"/>
      <c r="Q17" s="61"/>
    </row>
    <row r="18" spans="1:17" x14ac:dyDescent="0.25">
      <c r="A18" s="1"/>
      <c r="B18" s="1"/>
      <c r="C18" s="1"/>
      <c r="D18" s="1"/>
      <c r="E18" s="1"/>
      <c r="F18" s="1"/>
      <c r="G18" s="1"/>
      <c r="H18" s="1"/>
      <c r="I18" s="1"/>
      <c r="L18" s="16" t="s">
        <v>5</v>
      </c>
      <c r="M18" s="21">
        <v>9.7846900000000001E-2</v>
      </c>
      <c r="N18" s="21">
        <v>0</v>
      </c>
      <c r="O18" s="61"/>
      <c r="P18" s="61"/>
      <c r="Q18" s="61"/>
    </row>
    <row r="19" spans="1:17" x14ac:dyDescent="0.25">
      <c r="A19" s="133" t="s">
        <v>34</v>
      </c>
      <c r="B19" s="134"/>
      <c r="C19" s="134"/>
      <c r="D19" s="134"/>
      <c r="E19" s="134"/>
      <c r="F19" s="134"/>
      <c r="G19" s="134"/>
      <c r="H19" s="134"/>
      <c r="I19" s="134"/>
      <c r="L19" s="15" t="s">
        <v>9</v>
      </c>
      <c r="M19" s="19">
        <v>9.0629000000000001E-2</v>
      </c>
      <c r="N19" s="19">
        <v>4.0165199999999998E-2</v>
      </c>
      <c r="O19" s="61"/>
      <c r="P19" s="61"/>
      <c r="Q19" s="61"/>
    </row>
    <row r="20" spans="1:17" x14ac:dyDescent="0.25">
      <c r="A20" s="197" t="s">
        <v>69</v>
      </c>
      <c r="B20" s="197"/>
      <c r="C20" s="197"/>
      <c r="D20" s="197"/>
      <c r="E20" s="197"/>
      <c r="F20" s="197"/>
      <c r="G20" s="197"/>
      <c r="H20" s="197"/>
      <c r="I20" s="197"/>
      <c r="L20" s="16" t="s">
        <v>75</v>
      </c>
      <c r="M20" s="21">
        <v>8.8316000000000006E-2</v>
      </c>
      <c r="N20" s="21">
        <v>0</v>
      </c>
      <c r="O20" s="61"/>
      <c r="P20" s="61"/>
      <c r="Q20" s="61"/>
    </row>
    <row r="21" spans="1:17" x14ac:dyDescent="0.25">
      <c r="A21" s="196" t="s">
        <v>45</v>
      </c>
      <c r="B21" s="196"/>
      <c r="C21" s="196"/>
      <c r="D21" s="196"/>
      <c r="E21" s="196"/>
      <c r="F21" s="196"/>
      <c r="G21" s="196"/>
      <c r="H21" s="196"/>
      <c r="I21" s="196"/>
      <c r="L21" s="15" t="s">
        <v>41</v>
      </c>
      <c r="M21" s="19">
        <v>8.7024599999999994E-2</v>
      </c>
      <c r="N21" s="19">
        <v>1.31836E-2</v>
      </c>
      <c r="O21" s="61"/>
      <c r="P21" s="61"/>
      <c r="Q21" s="61"/>
    </row>
    <row r="22" spans="1:17" ht="13.5" customHeight="1" x14ac:dyDescent="0.25">
      <c r="A22" s="196"/>
      <c r="B22" s="196"/>
      <c r="C22" s="196"/>
      <c r="D22" s="196"/>
      <c r="E22" s="196"/>
      <c r="F22" s="196"/>
      <c r="G22" s="196"/>
      <c r="H22" s="196"/>
      <c r="I22" s="196"/>
      <c r="L22" s="16" t="s">
        <v>88</v>
      </c>
      <c r="M22" s="21">
        <v>8.6764599999999997E-2</v>
      </c>
      <c r="N22" s="21">
        <v>0</v>
      </c>
      <c r="O22" s="61"/>
      <c r="P22" s="61"/>
      <c r="Q22" s="61"/>
    </row>
    <row r="23" spans="1:17" x14ac:dyDescent="0.25">
      <c r="A23" s="196" t="s">
        <v>49</v>
      </c>
      <c r="B23" s="196"/>
      <c r="C23" s="196"/>
      <c r="D23" s="196"/>
      <c r="E23" s="196"/>
      <c r="F23" s="196"/>
      <c r="G23" s="196"/>
      <c r="H23" s="196"/>
      <c r="I23" s="196"/>
      <c r="L23" s="15" t="s">
        <v>22</v>
      </c>
      <c r="M23" s="19">
        <v>8.5316400000000001E-2</v>
      </c>
      <c r="N23" s="19">
        <v>4.0576800000000003E-2</v>
      </c>
      <c r="O23" s="61"/>
      <c r="P23" s="61"/>
      <c r="Q23" s="61"/>
    </row>
    <row r="24" spans="1:17" x14ac:dyDescent="0.25">
      <c r="A24" s="196"/>
      <c r="B24" s="196"/>
      <c r="C24" s="196"/>
      <c r="D24" s="196"/>
      <c r="E24" s="196"/>
      <c r="F24" s="196"/>
      <c r="G24" s="196"/>
      <c r="H24" s="196"/>
      <c r="I24" s="196"/>
      <c r="L24" s="89" t="s">
        <v>74</v>
      </c>
      <c r="M24" s="90">
        <v>8.4240599999999999E-2</v>
      </c>
      <c r="N24" s="90">
        <v>2.2335799999999999E-2</v>
      </c>
      <c r="O24" s="61"/>
      <c r="P24" s="61"/>
      <c r="Q24" s="61"/>
    </row>
    <row r="25" spans="1:17" x14ac:dyDescent="0.25">
      <c r="A25" s="198" t="s">
        <v>70</v>
      </c>
      <c r="B25" s="198"/>
      <c r="C25" s="198"/>
      <c r="D25" s="198"/>
      <c r="E25" s="198"/>
      <c r="F25" s="198"/>
      <c r="G25" s="198"/>
      <c r="H25" s="198"/>
      <c r="I25" s="198"/>
      <c r="L25" s="22" t="s">
        <v>114</v>
      </c>
      <c r="M25" s="91">
        <v>8.2237000000000005E-2</v>
      </c>
      <c r="N25" s="91">
        <v>1.9877100000000002E-2</v>
      </c>
      <c r="O25" s="61"/>
      <c r="P25" s="61"/>
      <c r="Q25" s="61"/>
    </row>
    <row r="26" spans="1:17" ht="13.5" customHeight="1" x14ac:dyDescent="0.25">
      <c r="A26" s="198"/>
      <c r="B26" s="198"/>
      <c r="C26" s="198"/>
      <c r="D26" s="198"/>
      <c r="E26" s="198"/>
      <c r="F26" s="198"/>
      <c r="G26" s="198"/>
      <c r="H26" s="198"/>
      <c r="I26" s="198"/>
      <c r="L26" s="16" t="s">
        <v>16</v>
      </c>
      <c r="M26" s="21">
        <v>8.1626500000000005E-2</v>
      </c>
      <c r="N26" s="21">
        <v>1.0352800000000001E-2</v>
      </c>
      <c r="O26" s="61"/>
      <c r="P26" s="61"/>
      <c r="Q26" s="61"/>
    </row>
    <row r="27" spans="1:17" x14ac:dyDescent="0.25">
      <c r="A27" s="143"/>
      <c r="B27" s="143"/>
      <c r="C27" s="143"/>
      <c r="D27" s="143"/>
      <c r="E27" s="143"/>
      <c r="F27" s="143"/>
      <c r="G27" s="143"/>
      <c r="H27" s="143"/>
      <c r="I27" s="143"/>
      <c r="L27" s="15" t="s">
        <v>37</v>
      </c>
      <c r="M27" s="19">
        <v>7.9298400000000005E-2</v>
      </c>
      <c r="N27" s="19">
        <v>2.14231E-2</v>
      </c>
      <c r="O27" s="61"/>
      <c r="P27" s="61"/>
      <c r="Q27" s="61"/>
    </row>
    <row r="28" spans="1:17" ht="13.5" customHeight="1" x14ac:dyDescent="0.25">
      <c r="A28" s="156" t="s">
        <v>72</v>
      </c>
      <c r="B28" s="143"/>
      <c r="C28" s="143"/>
      <c r="D28" s="143"/>
      <c r="E28" s="143"/>
      <c r="F28" s="143"/>
      <c r="G28" s="143"/>
      <c r="H28" s="143"/>
      <c r="I28" s="143"/>
      <c r="L28" s="16" t="s">
        <v>3</v>
      </c>
      <c r="M28" s="21">
        <v>7.8721399999999997E-2</v>
      </c>
      <c r="N28" s="21">
        <v>3.02049E-2</v>
      </c>
      <c r="O28" s="61"/>
      <c r="P28" s="61"/>
      <c r="Q28" s="61"/>
    </row>
    <row r="29" spans="1:17" ht="11.45" customHeight="1" x14ac:dyDescent="0.25">
      <c r="A29" s="143"/>
      <c r="B29" s="143"/>
      <c r="C29" s="143"/>
      <c r="D29" s="143"/>
      <c r="E29" s="143"/>
      <c r="F29" s="143"/>
      <c r="G29" s="143"/>
      <c r="H29" s="143"/>
      <c r="I29" s="143"/>
      <c r="L29" s="15" t="s">
        <v>7</v>
      </c>
      <c r="M29" s="19">
        <v>7.7720800000000007E-2</v>
      </c>
      <c r="N29" s="19">
        <v>5.1723699999999997E-2</v>
      </c>
      <c r="O29" s="61"/>
      <c r="P29" s="61"/>
      <c r="Q29" s="61"/>
    </row>
    <row r="30" spans="1:17" x14ac:dyDescent="0.25">
      <c r="A30" s="198" t="s">
        <v>123</v>
      </c>
      <c r="B30" s="198"/>
      <c r="C30" s="198"/>
      <c r="D30" s="198"/>
      <c r="E30" s="198"/>
      <c r="F30" s="198"/>
      <c r="G30" s="198"/>
      <c r="H30" s="198"/>
      <c r="I30" s="198"/>
      <c r="L30" s="16" t="s">
        <v>39</v>
      </c>
      <c r="M30" s="21">
        <v>6.1337999999999997E-2</v>
      </c>
      <c r="N30" s="21">
        <v>4.0352000000000001E-3</v>
      </c>
      <c r="O30" s="61"/>
      <c r="P30" s="61"/>
      <c r="Q30" s="61"/>
    </row>
    <row r="31" spans="1:17" ht="11.45" customHeight="1" x14ac:dyDescent="0.25">
      <c r="A31" s="198"/>
      <c r="B31" s="198"/>
      <c r="C31" s="198"/>
      <c r="D31" s="198"/>
      <c r="E31" s="198"/>
      <c r="F31" s="198"/>
      <c r="G31" s="198"/>
      <c r="H31" s="198"/>
      <c r="I31" s="198"/>
      <c r="L31" s="15" t="s">
        <v>6</v>
      </c>
      <c r="M31" s="19">
        <v>5.5183700000000002E-2</v>
      </c>
      <c r="N31" s="19">
        <v>0</v>
      </c>
      <c r="O31" s="61"/>
      <c r="P31" s="61"/>
      <c r="Q31" s="61"/>
    </row>
    <row r="32" spans="1:17" x14ac:dyDescent="0.25">
      <c r="A32" s="153"/>
      <c r="B32" s="153"/>
      <c r="C32" s="153"/>
      <c r="D32" s="153"/>
      <c r="E32" s="153"/>
      <c r="F32" s="153"/>
      <c r="G32" s="153"/>
      <c r="H32" s="153"/>
      <c r="I32" s="153"/>
      <c r="L32" s="16" t="s">
        <v>4</v>
      </c>
      <c r="M32" s="21">
        <v>1.09306E-2</v>
      </c>
      <c r="N32" s="21">
        <v>0</v>
      </c>
      <c r="O32" s="61"/>
      <c r="P32" s="61"/>
      <c r="Q32" s="61"/>
    </row>
    <row r="33" spans="1:17" x14ac:dyDescent="0.25">
      <c r="A33" s="196" t="s">
        <v>127</v>
      </c>
      <c r="B33" s="196"/>
      <c r="C33" s="196"/>
      <c r="D33" s="196"/>
      <c r="E33" s="196"/>
      <c r="F33" s="196"/>
      <c r="G33" s="196"/>
      <c r="H33" s="196"/>
      <c r="I33" s="196"/>
      <c r="L33" s="15" t="s">
        <v>24</v>
      </c>
      <c r="M33" s="19">
        <v>1.07993E-2</v>
      </c>
      <c r="N33" s="19">
        <v>0</v>
      </c>
      <c r="O33" s="61"/>
      <c r="P33" s="61"/>
      <c r="Q33" s="61"/>
    </row>
    <row r="34" spans="1:17" x14ac:dyDescent="0.25">
      <c r="A34" s="196"/>
      <c r="B34" s="196"/>
      <c r="C34" s="196"/>
      <c r="D34" s="196"/>
      <c r="E34" s="196"/>
      <c r="F34" s="196"/>
      <c r="G34" s="196"/>
      <c r="H34" s="196"/>
      <c r="I34" s="196"/>
      <c r="L34" s="16" t="s">
        <v>11</v>
      </c>
      <c r="M34" s="21">
        <v>6.3796E-3</v>
      </c>
      <c r="N34" s="21">
        <v>5.0299999999999997E-3</v>
      </c>
      <c r="O34" s="61"/>
      <c r="P34" s="61"/>
      <c r="Q34" s="61"/>
    </row>
    <row r="35" spans="1:17" ht="13.5" customHeight="1" x14ac:dyDescent="0.25">
      <c r="A35" s="196"/>
      <c r="B35" s="196"/>
      <c r="C35" s="196"/>
      <c r="D35" s="196"/>
      <c r="E35" s="196"/>
      <c r="F35" s="196"/>
      <c r="G35" s="196"/>
      <c r="H35" s="196"/>
      <c r="I35" s="196"/>
      <c r="L35" s="15" t="s">
        <v>25</v>
      </c>
      <c r="M35" s="19">
        <v>3.0658999999999999E-3</v>
      </c>
      <c r="N35" s="19">
        <v>0</v>
      </c>
      <c r="O35" s="61"/>
      <c r="P35" s="61"/>
      <c r="Q35" s="61"/>
    </row>
    <row r="36" spans="1:17" x14ac:dyDescent="0.25">
      <c r="A36" s="196" t="s">
        <v>81</v>
      </c>
      <c r="B36" s="196"/>
      <c r="C36" s="196"/>
      <c r="D36" s="196"/>
      <c r="E36" s="196"/>
      <c r="F36" s="196"/>
      <c r="G36" s="196"/>
      <c r="H36" s="196"/>
      <c r="I36" s="196"/>
      <c r="L36" s="16" t="s">
        <v>0</v>
      </c>
      <c r="M36" s="21">
        <v>1.2049999999999999E-3</v>
      </c>
      <c r="N36" s="21">
        <v>0</v>
      </c>
      <c r="O36" s="61"/>
      <c r="P36" s="61"/>
      <c r="Q36" s="61"/>
    </row>
    <row r="37" spans="1:17" x14ac:dyDescent="0.25">
      <c r="A37" s="196"/>
      <c r="B37" s="196"/>
      <c r="C37" s="196"/>
      <c r="D37" s="196"/>
      <c r="E37" s="196"/>
      <c r="F37" s="196"/>
      <c r="G37" s="196"/>
      <c r="H37" s="196"/>
      <c r="I37" s="196"/>
      <c r="L37" s="15" t="s">
        <v>17</v>
      </c>
      <c r="M37" s="19">
        <v>3.344E-4</v>
      </c>
      <c r="N37" s="19">
        <v>0</v>
      </c>
      <c r="O37" s="61"/>
      <c r="P37" s="61"/>
      <c r="Q37" s="61"/>
    </row>
    <row r="38" spans="1:17" x14ac:dyDescent="0.25">
      <c r="A38" s="125"/>
      <c r="B38" s="125"/>
      <c r="C38" s="125"/>
      <c r="D38" s="125"/>
      <c r="E38" s="125"/>
      <c r="F38" s="125"/>
      <c r="G38" s="125"/>
      <c r="H38" s="125"/>
      <c r="I38" s="125"/>
      <c r="L38" s="16" t="s">
        <v>8</v>
      </c>
      <c r="M38" s="21">
        <v>0</v>
      </c>
      <c r="N38" s="21">
        <v>0</v>
      </c>
      <c r="O38" s="61"/>
      <c r="P38" s="61"/>
      <c r="Q38" s="61"/>
    </row>
    <row r="39" spans="1:17" ht="13.5" customHeight="1" x14ac:dyDescent="0.25">
      <c r="A39" s="199" t="s">
        <v>122</v>
      </c>
      <c r="B39" s="199"/>
      <c r="C39" s="199"/>
      <c r="D39" s="199"/>
      <c r="E39" s="199"/>
      <c r="F39" s="199"/>
      <c r="G39" s="199"/>
      <c r="H39" s="199"/>
      <c r="I39" s="199"/>
      <c r="L39" s="15" t="s">
        <v>19</v>
      </c>
      <c r="M39" s="19">
        <v>0</v>
      </c>
      <c r="N39" s="19">
        <v>0</v>
      </c>
      <c r="O39" s="61"/>
      <c r="P39" s="61"/>
      <c r="Q39" s="61"/>
    </row>
    <row r="40" spans="1:17" ht="11.45" customHeight="1" x14ac:dyDescent="0.25">
      <c r="A40" s="199"/>
      <c r="B40" s="199"/>
      <c r="C40" s="199"/>
      <c r="D40" s="199"/>
      <c r="E40" s="199"/>
      <c r="F40" s="199"/>
      <c r="G40" s="199"/>
      <c r="H40" s="199"/>
      <c r="I40" s="199"/>
      <c r="L40" s="16" t="s">
        <v>42</v>
      </c>
      <c r="M40" s="21">
        <v>0</v>
      </c>
      <c r="N40" s="21">
        <v>0</v>
      </c>
      <c r="O40" s="61"/>
      <c r="P40" s="61"/>
      <c r="Q40" s="61"/>
    </row>
    <row r="41" spans="1:17" ht="11.45" customHeight="1" x14ac:dyDescent="0.25">
      <c r="A41" s="125"/>
      <c r="B41" s="125"/>
      <c r="C41" s="125"/>
      <c r="D41" s="125"/>
      <c r="E41" s="125"/>
      <c r="F41" s="125"/>
      <c r="G41" s="125"/>
      <c r="H41" s="125"/>
      <c r="I41" s="125"/>
      <c r="L41" s="15" t="s">
        <v>94</v>
      </c>
      <c r="M41" s="19">
        <v>0</v>
      </c>
      <c r="N41" s="19">
        <v>0</v>
      </c>
      <c r="O41" s="61"/>
      <c r="P41" s="61"/>
      <c r="Q41" s="61"/>
    </row>
    <row r="42" spans="1:17" ht="13.5" customHeight="1" x14ac:dyDescent="0.25">
      <c r="A42" s="196" t="s">
        <v>100</v>
      </c>
      <c r="B42" s="196"/>
      <c r="C42" s="196"/>
      <c r="D42" s="196"/>
      <c r="E42" s="196"/>
      <c r="F42" s="196"/>
      <c r="G42" s="196"/>
      <c r="H42" s="196"/>
      <c r="I42" s="196"/>
      <c r="J42" s="137"/>
      <c r="L42" s="16" t="s">
        <v>2</v>
      </c>
      <c r="M42" s="21">
        <v>0</v>
      </c>
      <c r="N42" s="21">
        <v>0</v>
      </c>
      <c r="O42" s="61"/>
      <c r="P42" s="61"/>
      <c r="Q42" s="61"/>
    </row>
    <row r="43" spans="1:17" x14ac:dyDescent="0.25">
      <c r="A43" s="196"/>
      <c r="B43" s="196"/>
      <c r="C43" s="196"/>
      <c r="D43" s="196"/>
      <c r="E43" s="196"/>
      <c r="F43" s="196"/>
      <c r="G43" s="196"/>
      <c r="H43" s="196"/>
      <c r="I43" s="196"/>
      <c r="J43" s="137"/>
      <c r="L43" s="15" t="s">
        <v>28</v>
      </c>
      <c r="M43" s="19">
        <v>0</v>
      </c>
      <c r="N43" s="19">
        <v>0</v>
      </c>
      <c r="O43" s="61"/>
      <c r="P43" s="61"/>
      <c r="Q43" s="61"/>
    </row>
    <row r="44" spans="1:17" x14ac:dyDescent="0.25">
      <c r="A44" s="137"/>
      <c r="B44" s="137"/>
      <c r="C44" s="137"/>
      <c r="D44" s="137"/>
      <c r="E44" s="137"/>
      <c r="F44" s="137"/>
      <c r="G44" s="137"/>
      <c r="H44" s="137"/>
      <c r="I44" s="137"/>
      <c r="J44" s="137"/>
      <c r="L44" s="16" t="s">
        <v>38</v>
      </c>
      <c r="M44" s="21">
        <v>0</v>
      </c>
      <c r="N44" s="21">
        <v>0</v>
      </c>
      <c r="O44" s="61"/>
      <c r="P44" s="61"/>
      <c r="Q44" s="61"/>
    </row>
    <row r="45" spans="1:17" x14ac:dyDescent="0.25">
      <c r="A45" s="137"/>
      <c r="B45" s="137"/>
      <c r="C45" s="137"/>
      <c r="D45" s="137"/>
      <c r="E45" s="137"/>
      <c r="F45" s="137"/>
      <c r="G45" s="137"/>
      <c r="H45" s="137"/>
      <c r="I45" s="137"/>
      <c r="J45" s="137"/>
      <c r="L45" s="15" t="s">
        <v>1</v>
      </c>
      <c r="M45" s="19">
        <v>0</v>
      </c>
      <c r="N45" s="19">
        <v>0</v>
      </c>
      <c r="O45" s="61"/>
      <c r="P45" s="61"/>
      <c r="Q45" s="61"/>
    </row>
    <row r="46" spans="1:17" x14ac:dyDescent="0.25">
      <c r="L46" s="16" t="s">
        <v>20</v>
      </c>
      <c r="M46" s="21">
        <v>0</v>
      </c>
      <c r="N46" s="21">
        <v>0</v>
      </c>
      <c r="O46" s="61"/>
      <c r="P46" s="61"/>
      <c r="Q46" s="61"/>
    </row>
    <row r="47" spans="1:17" x14ac:dyDescent="0.25">
      <c r="L47" s="15" t="s">
        <v>98</v>
      </c>
      <c r="M47" s="19">
        <v>0</v>
      </c>
      <c r="N47" s="19">
        <v>0</v>
      </c>
      <c r="P47" s="88"/>
      <c r="Q47" s="88"/>
    </row>
    <row r="48" spans="1:17" x14ac:dyDescent="0.25">
      <c r="L48" s="33" t="s">
        <v>21</v>
      </c>
      <c r="M48" s="28">
        <v>0</v>
      </c>
      <c r="N48" s="28">
        <v>0</v>
      </c>
      <c r="P48" s="88"/>
      <c r="Q48" s="88"/>
    </row>
  </sheetData>
  <sortState xmlns:xlrd2="http://schemas.microsoft.com/office/spreadsheetml/2017/richdata2" ref="L8:N38">
    <sortCondition descending="1" ref="M8:M38"/>
  </sortState>
  <mergeCells count="15">
    <mergeCell ref="A42:I43"/>
    <mergeCell ref="A20:I20"/>
    <mergeCell ref="A21:I22"/>
    <mergeCell ref="A23:I24"/>
    <mergeCell ref="A25:I26"/>
    <mergeCell ref="A30:I31"/>
    <mergeCell ref="A33:I35"/>
    <mergeCell ref="A36:I37"/>
    <mergeCell ref="A39:I40"/>
    <mergeCell ref="P5:P7"/>
    <mergeCell ref="Q5:Q7"/>
    <mergeCell ref="L1:N2"/>
    <mergeCell ref="L3:N4"/>
    <mergeCell ref="M5:M7"/>
    <mergeCell ref="N5:N7"/>
  </mergeCells>
  <conditionalFormatting sqref="O5:O35">
    <cfRule type="colorScale" priority="1">
      <colorScale>
        <cfvo type="min"/>
        <cfvo type="percentile" val="50"/>
        <cfvo type="max"/>
        <color rgb="FFF8696B"/>
        <color rgb="FFFFEB84"/>
        <color rgb="FF63BE7B"/>
      </colorScale>
    </cfRule>
  </conditionalFormatting>
  <hyperlinks>
    <hyperlink ref="A28" r:id="rId1" xr:uid="{F4559466-2CA4-47CE-9AAE-10E1BE376AFE}"/>
  </hyperlinks>
  <pageMargins left="0.70866141732283472" right="0.70866141732283472" top="0.74803149606299213" bottom="0.74803149606299213" header="0.31496062992125984" footer="0.31496062992125984"/>
  <pageSetup paperSize="9" scale="85" orientation="landscape" r:id="rId2"/>
  <headerFooter>
    <oddHeader>&amp;COECD Affordable Housing Database, http://oe.cd/ahd</oddHeader>
    <oddFooter>&amp;C_x000D_&amp;1#&amp;"Calibri"&amp;10&amp;K0000FF Restricted Use - À usage restreint&amp;R&amp;F - &amp;A</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334C0-9237-4C49-B1D5-DEA8C4792E90}">
  <sheetPr>
    <pageSetUpPr fitToPage="1"/>
  </sheetPr>
  <dimension ref="A1:S57"/>
  <sheetViews>
    <sheetView zoomScaleNormal="100" workbookViewId="0"/>
  </sheetViews>
  <sheetFormatPr defaultColWidth="9.140625" defaultRowHeight="13.5" x14ac:dyDescent="0.25"/>
  <cols>
    <col min="1" max="1" width="11" style="2" customWidth="1"/>
    <col min="2" max="10" width="9.140625" style="2"/>
    <col min="11" max="11" width="11.85546875" style="2" customWidth="1"/>
    <col min="12" max="12" width="15.28515625" style="2" customWidth="1"/>
    <col min="13" max="13" width="17" style="2" customWidth="1"/>
    <col min="14" max="14" width="19.5703125" style="2" customWidth="1"/>
    <col min="15" max="15" width="15.28515625" style="2" bestFit="1" customWidth="1"/>
    <col min="16" max="16384" width="9.140625" style="2"/>
  </cols>
  <sheetData>
    <row r="1" spans="1:19" ht="13.5" customHeight="1" x14ac:dyDescent="0.25">
      <c r="A1" s="150" t="s">
        <v>92</v>
      </c>
      <c r="B1" s="150"/>
      <c r="C1" s="150"/>
      <c r="D1" s="150"/>
      <c r="E1" s="150"/>
      <c r="F1" s="150"/>
      <c r="G1" s="150"/>
      <c r="H1" s="150"/>
      <c r="I1" s="150"/>
      <c r="J1" s="150"/>
      <c r="L1" s="204" t="s">
        <v>129</v>
      </c>
      <c r="M1" s="204"/>
      <c r="N1" s="204"/>
    </row>
    <row r="2" spans="1:19" ht="18.75" customHeight="1" x14ac:dyDescent="0.25">
      <c r="A2" s="202" t="s">
        <v>115</v>
      </c>
      <c r="B2" s="202"/>
      <c r="C2" s="202"/>
      <c r="D2" s="202"/>
      <c r="E2" s="202"/>
      <c r="F2" s="202"/>
      <c r="G2" s="202"/>
      <c r="H2" s="202"/>
      <c r="I2" s="202"/>
      <c r="J2" s="154"/>
      <c r="L2" s="204"/>
      <c r="M2" s="204"/>
      <c r="N2" s="204"/>
    </row>
    <row r="3" spans="1:19" ht="13.5" customHeight="1" x14ac:dyDescent="0.25">
      <c r="A3" s="202"/>
      <c r="B3" s="202"/>
      <c r="C3" s="202"/>
      <c r="D3" s="202"/>
      <c r="E3" s="202"/>
      <c r="F3" s="202"/>
      <c r="G3" s="202"/>
      <c r="H3" s="202"/>
      <c r="I3" s="202"/>
      <c r="J3" s="154"/>
      <c r="L3" s="191" t="s">
        <v>128</v>
      </c>
      <c r="M3" s="191"/>
      <c r="N3" s="191"/>
    </row>
    <row r="4" spans="1:19" ht="14.25" thickBot="1" x14ac:dyDescent="0.3">
      <c r="A4" s="1"/>
      <c r="B4" s="1"/>
      <c r="C4" s="1"/>
      <c r="D4" s="1"/>
      <c r="E4" s="1"/>
      <c r="F4" s="1"/>
      <c r="G4" s="1"/>
      <c r="H4" s="1"/>
      <c r="I4" s="1"/>
      <c r="J4" s="1"/>
      <c r="L4" s="203"/>
      <c r="M4" s="203"/>
      <c r="N4" s="203"/>
    </row>
    <row r="5" spans="1:19" ht="13.5" customHeight="1" x14ac:dyDescent="0.25">
      <c r="A5" s="1"/>
      <c r="B5" s="1"/>
      <c r="C5" s="1"/>
      <c r="D5" s="1"/>
      <c r="E5" s="1"/>
      <c r="F5" s="1"/>
      <c r="G5" s="1"/>
      <c r="H5" s="1"/>
      <c r="I5" s="1"/>
      <c r="J5" s="1"/>
      <c r="M5" s="200" t="s">
        <v>65</v>
      </c>
      <c r="N5" s="201" t="s">
        <v>66</v>
      </c>
    </row>
    <row r="6" spans="1:19" x14ac:dyDescent="0.25">
      <c r="A6" s="1"/>
      <c r="B6" s="1"/>
      <c r="C6" s="1"/>
      <c r="D6" s="1"/>
      <c r="E6" s="1"/>
      <c r="F6" s="1"/>
      <c r="G6" s="1"/>
      <c r="H6" s="1"/>
      <c r="I6" s="1"/>
      <c r="J6" s="1"/>
      <c r="M6" s="200"/>
      <c r="N6" s="201"/>
    </row>
    <row r="7" spans="1:19" ht="13.15" customHeight="1" x14ac:dyDescent="0.25">
      <c r="A7" s="1"/>
      <c r="B7" s="1"/>
      <c r="C7" s="1"/>
      <c r="D7" s="1"/>
      <c r="E7" s="1"/>
      <c r="F7" s="1"/>
      <c r="G7" s="1"/>
      <c r="H7" s="1"/>
      <c r="I7" s="1"/>
      <c r="J7" s="1"/>
      <c r="M7" s="200"/>
      <c r="N7" s="201"/>
    </row>
    <row r="8" spans="1:19" x14ac:dyDescent="0.25">
      <c r="A8" s="1"/>
      <c r="B8" s="1"/>
      <c r="C8" s="1"/>
      <c r="D8" s="1"/>
      <c r="E8" s="1"/>
      <c r="F8" s="1"/>
      <c r="G8" s="1"/>
      <c r="H8" s="1"/>
      <c r="I8" s="1"/>
      <c r="J8" s="1"/>
      <c r="L8" s="13" t="s">
        <v>10</v>
      </c>
      <c r="M8" s="93">
        <v>0.87045055000000005</v>
      </c>
      <c r="N8" s="93">
        <v>1.9432419999999999E-2</v>
      </c>
    </row>
    <row r="9" spans="1:19" x14ac:dyDescent="0.25">
      <c r="A9" s="1"/>
      <c r="B9" s="1"/>
      <c r="C9" s="1"/>
      <c r="D9" s="1"/>
      <c r="E9" s="1"/>
      <c r="F9" s="1"/>
      <c r="G9" s="1"/>
      <c r="H9" s="1"/>
      <c r="I9" s="1"/>
      <c r="J9" s="1"/>
      <c r="L9" s="2" t="s">
        <v>39</v>
      </c>
      <c r="M9" s="14">
        <v>0.59838656000000001</v>
      </c>
      <c r="N9" s="14">
        <v>0.28020112000000003</v>
      </c>
    </row>
    <row r="10" spans="1:19" x14ac:dyDescent="0.25">
      <c r="A10" s="1"/>
      <c r="B10" s="1"/>
      <c r="C10" s="1"/>
      <c r="D10" s="1"/>
      <c r="E10" s="1"/>
      <c r="F10" s="1"/>
      <c r="G10" s="1"/>
      <c r="H10" s="1"/>
      <c r="I10" s="1"/>
      <c r="J10" s="1"/>
      <c r="L10" s="13" t="s">
        <v>14</v>
      </c>
      <c r="M10" s="93">
        <v>0.86099992000000003</v>
      </c>
      <c r="N10" s="93">
        <v>0</v>
      </c>
    </row>
    <row r="11" spans="1:19" x14ac:dyDescent="0.25">
      <c r="A11" s="1"/>
      <c r="B11" s="1"/>
      <c r="C11" s="1"/>
      <c r="D11" s="1"/>
      <c r="E11" s="1"/>
      <c r="F11" s="1"/>
      <c r="G11" s="1"/>
      <c r="H11" s="1"/>
      <c r="I11" s="1"/>
      <c r="J11" s="1"/>
      <c r="L11" s="2" t="s">
        <v>22</v>
      </c>
      <c r="M11" s="14">
        <v>0.83490414999999996</v>
      </c>
      <c r="N11" s="14">
        <v>0</v>
      </c>
    </row>
    <row r="12" spans="1:19" x14ac:dyDescent="0.25">
      <c r="A12" s="1"/>
      <c r="B12" s="1"/>
      <c r="C12" s="1"/>
      <c r="D12" s="1"/>
      <c r="E12" s="1"/>
      <c r="F12" s="1"/>
      <c r="G12" s="1"/>
      <c r="H12" s="1"/>
      <c r="I12" s="1"/>
      <c r="J12" s="1"/>
      <c r="L12" s="13" t="s">
        <v>3</v>
      </c>
      <c r="M12" s="93">
        <v>0.76865419999999995</v>
      </c>
      <c r="N12" s="93">
        <v>3.8215689999999997E-2</v>
      </c>
      <c r="S12" s="64"/>
    </row>
    <row r="13" spans="1:19" x14ac:dyDescent="0.25">
      <c r="A13" s="1"/>
      <c r="B13" s="1"/>
      <c r="C13" s="1"/>
      <c r="D13" s="1"/>
      <c r="E13" s="1"/>
      <c r="F13" s="1"/>
      <c r="G13" s="1"/>
      <c r="H13" s="1"/>
      <c r="I13" s="1"/>
      <c r="J13" s="1"/>
      <c r="L13" s="2" t="s">
        <v>41</v>
      </c>
      <c r="M13" s="14">
        <v>0.74321713</v>
      </c>
      <c r="N13" s="14">
        <v>5.9559630000000002E-2</v>
      </c>
    </row>
    <row r="14" spans="1:19" x14ac:dyDescent="0.25">
      <c r="A14" s="1"/>
      <c r="B14" s="1"/>
      <c r="C14" s="1"/>
      <c r="D14" s="1"/>
      <c r="E14" s="1"/>
      <c r="F14" s="1"/>
      <c r="G14" s="1"/>
      <c r="H14" s="1"/>
      <c r="I14" s="1"/>
      <c r="J14" s="1"/>
      <c r="L14" s="13" t="s">
        <v>76</v>
      </c>
      <c r="M14" s="93">
        <v>0.79305192999999996</v>
      </c>
      <c r="N14" s="93">
        <v>0</v>
      </c>
    </row>
    <row r="15" spans="1:19" x14ac:dyDescent="0.25">
      <c r="A15" s="1"/>
      <c r="B15" s="1"/>
      <c r="C15" s="1"/>
      <c r="D15" s="1"/>
      <c r="E15" s="1"/>
      <c r="F15" s="1"/>
      <c r="G15" s="1"/>
      <c r="H15" s="1"/>
      <c r="I15" s="1"/>
      <c r="J15" s="1"/>
      <c r="L15" s="2" t="s">
        <v>0</v>
      </c>
      <c r="M15" s="14">
        <v>0.44027665999999999</v>
      </c>
      <c r="N15" s="14">
        <v>0.30945603999999999</v>
      </c>
    </row>
    <row r="16" spans="1:19" x14ac:dyDescent="0.25">
      <c r="A16" s="1"/>
      <c r="B16" s="1"/>
      <c r="C16" s="1"/>
      <c r="D16" s="1"/>
      <c r="E16" s="1"/>
      <c r="F16" s="1"/>
      <c r="G16" s="1"/>
      <c r="H16" s="1"/>
      <c r="I16" s="1"/>
      <c r="J16" s="1"/>
      <c r="L16" s="13" t="s">
        <v>40</v>
      </c>
      <c r="M16" s="93">
        <v>0.74588863000000005</v>
      </c>
      <c r="N16" s="93">
        <v>0</v>
      </c>
    </row>
    <row r="17" spans="1:16" x14ac:dyDescent="0.25">
      <c r="A17" s="1"/>
      <c r="B17" s="1"/>
      <c r="C17" s="1"/>
      <c r="D17" s="1"/>
      <c r="E17" s="1"/>
      <c r="F17" s="1"/>
      <c r="G17" s="1"/>
      <c r="H17" s="1"/>
      <c r="I17" s="1"/>
      <c r="J17" s="1"/>
      <c r="L17" s="2" t="s">
        <v>25</v>
      </c>
      <c r="M17" s="14">
        <v>0.50260042999999999</v>
      </c>
      <c r="N17" s="14">
        <v>0.22786783999999999</v>
      </c>
    </row>
    <row r="18" spans="1:16" x14ac:dyDescent="0.25">
      <c r="A18" s="1"/>
      <c r="B18" s="1"/>
      <c r="C18" s="1"/>
      <c r="D18" s="1"/>
      <c r="E18" s="1"/>
      <c r="F18" s="1"/>
      <c r="G18" s="1"/>
      <c r="H18" s="1"/>
      <c r="I18" s="1"/>
      <c r="J18" s="1"/>
      <c r="L18" s="13" t="s">
        <v>19</v>
      </c>
      <c r="M18" s="93">
        <v>0.31242555999999999</v>
      </c>
      <c r="N18" s="93">
        <v>0.40845363000000001</v>
      </c>
    </row>
    <row r="19" spans="1:16" x14ac:dyDescent="0.25">
      <c r="A19" s="7" t="s">
        <v>34</v>
      </c>
      <c r="B19" s="1"/>
      <c r="C19" s="1"/>
      <c r="D19" s="1"/>
      <c r="E19" s="1"/>
      <c r="F19" s="1"/>
      <c r="G19" s="1"/>
      <c r="H19" s="1"/>
      <c r="I19" s="1"/>
      <c r="J19" s="1"/>
      <c r="L19" s="2" t="s">
        <v>1</v>
      </c>
      <c r="M19" s="14">
        <v>0.71422556000000004</v>
      </c>
      <c r="N19" s="14">
        <v>0</v>
      </c>
    </row>
    <row r="20" spans="1:16" x14ac:dyDescent="0.25">
      <c r="A20" s="197" t="s">
        <v>69</v>
      </c>
      <c r="B20" s="197"/>
      <c r="C20" s="197"/>
      <c r="D20" s="197"/>
      <c r="E20" s="197"/>
      <c r="F20" s="197"/>
      <c r="G20" s="197"/>
      <c r="H20" s="197"/>
      <c r="I20" s="197"/>
      <c r="J20" s="141"/>
      <c r="L20" s="13" t="s">
        <v>28</v>
      </c>
      <c r="M20" s="93">
        <v>0.5972189</v>
      </c>
      <c r="N20" s="93">
        <v>0.10600844</v>
      </c>
    </row>
    <row r="21" spans="1:16" x14ac:dyDescent="0.25">
      <c r="A21" s="196" t="s">
        <v>56</v>
      </c>
      <c r="B21" s="196"/>
      <c r="C21" s="196"/>
      <c r="D21" s="196"/>
      <c r="E21" s="196"/>
      <c r="F21" s="196"/>
      <c r="G21" s="196"/>
      <c r="H21" s="196"/>
      <c r="I21" s="196"/>
      <c r="J21" s="142"/>
      <c r="L21" s="2" t="s">
        <v>17</v>
      </c>
      <c r="M21" s="14">
        <v>0.37967505000000001</v>
      </c>
      <c r="N21" s="14">
        <v>0.31558913999999999</v>
      </c>
      <c r="O21" s="96"/>
    </row>
    <row r="22" spans="1:16" ht="13.5" customHeight="1" x14ac:dyDescent="0.25">
      <c r="A22" s="196"/>
      <c r="B22" s="196"/>
      <c r="C22" s="196"/>
      <c r="D22" s="196"/>
      <c r="E22" s="196"/>
      <c r="F22" s="196"/>
      <c r="G22" s="196"/>
      <c r="H22" s="196"/>
      <c r="I22" s="196"/>
      <c r="J22" s="142"/>
      <c r="L22" s="13" t="s">
        <v>26</v>
      </c>
      <c r="M22" s="93">
        <v>0.49489293000000001</v>
      </c>
      <c r="N22" s="93">
        <v>0.18110707000000001</v>
      </c>
    </row>
    <row r="23" spans="1:16" x14ac:dyDescent="0.25">
      <c r="A23" s="196" t="s">
        <v>46</v>
      </c>
      <c r="B23" s="196"/>
      <c r="C23" s="196"/>
      <c r="D23" s="196"/>
      <c r="E23" s="196"/>
      <c r="F23" s="196"/>
      <c r="G23" s="196"/>
      <c r="H23" s="196"/>
      <c r="I23" s="196"/>
      <c r="J23" s="142"/>
      <c r="L23" s="2" t="s">
        <v>37</v>
      </c>
      <c r="M23" s="14">
        <v>0.65511297000000002</v>
      </c>
      <c r="N23" s="14">
        <v>0</v>
      </c>
    </row>
    <row r="24" spans="1:16" ht="13.5" customHeight="1" x14ac:dyDescent="0.25">
      <c r="A24" s="196"/>
      <c r="B24" s="196"/>
      <c r="C24" s="196"/>
      <c r="D24" s="196"/>
      <c r="E24" s="196"/>
      <c r="F24" s="196"/>
      <c r="G24" s="196"/>
      <c r="H24" s="196"/>
      <c r="I24" s="196"/>
      <c r="J24" s="142"/>
      <c r="L24" s="13" t="s">
        <v>6</v>
      </c>
      <c r="M24" s="93">
        <v>0.37932547</v>
      </c>
      <c r="N24" s="93">
        <v>0.23889584999999999</v>
      </c>
    </row>
    <row r="25" spans="1:16" x14ac:dyDescent="0.25">
      <c r="A25" s="196" t="s">
        <v>55</v>
      </c>
      <c r="B25" s="196"/>
      <c r="C25" s="196"/>
      <c r="D25" s="196"/>
      <c r="E25" s="196"/>
      <c r="F25" s="196"/>
      <c r="G25" s="196"/>
      <c r="H25" s="196"/>
      <c r="I25" s="196"/>
      <c r="J25" s="142"/>
      <c r="L25" s="2" t="s">
        <v>18</v>
      </c>
      <c r="M25" s="14">
        <v>0.54800322000000001</v>
      </c>
      <c r="N25" s="14">
        <v>6.355893E-2</v>
      </c>
    </row>
    <row r="26" spans="1:16" ht="13.5" customHeight="1" x14ac:dyDescent="0.25">
      <c r="A26" s="142"/>
      <c r="B26" s="142"/>
      <c r="C26" s="142"/>
      <c r="D26" s="142"/>
      <c r="E26" s="142"/>
      <c r="F26" s="142"/>
      <c r="G26" s="142"/>
      <c r="H26" s="142"/>
      <c r="I26" s="142"/>
      <c r="J26" s="144"/>
      <c r="L26" s="13" t="s">
        <v>75</v>
      </c>
      <c r="M26" s="93">
        <v>0.58664731000000003</v>
      </c>
      <c r="N26" s="93">
        <v>0</v>
      </c>
    </row>
    <row r="27" spans="1:16" ht="14.25" customHeight="1" x14ac:dyDescent="0.25">
      <c r="A27" s="156" t="s">
        <v>72</v>
      </c>
      <c r="B27" s="142"/>
      <c r="C27" s="142"/>
      <c r="D27" s="142"/>
      <c r="E27" s="142"/>
      <c r="F27" s="142"/>
      <c r="G27" s="142"/>
      <c r="H27" s="142"/>
      <c r="I27" s="142"/>
      <c r="J27" s="144"/>
      <c r="L27" s="2" t="s">
        <v>5</v>
      </c>
      <c r="M27" s="14">
        <v>0.31737281000000001</v>
      </c>
      <c r="N27" s="14">
        <v>0.26116709999999999</v>
      </c>
      <c r="O27" s="96"/>
    </row>
    <row r="28" spans="1:16" x14ac:dyDescent="0.25">
      <c r="A28" s="125"/>
      <c r="B28" s="142"/>
      <c r="C28" s="142"/>
      <c r="D28" s="142"/>
      <c r="E28" s="142"/>
      <c r="F28" s="142"/>
      <c r="G28" s="142"/>
      <c r="H28" s="142"/>
      <c r="I28" s="142"/>
      <c r="J28" s="144"/>
      <c r="L28" s="94" t="s">
        <v>74</v>
      </c>
      <c r="M28" s="95">
        <v>0.47482742999999999</v>
      </c>
      <c r="N28" s="95">
        <v>8.6445800000000003E-2</v>
      </c>
      <c r="O28" s="92"/>
      <c r="P28" s="92"/>
    </row>
    <row r="29" spans="1:16" ht="13.5" customHeight="1" x14ac:dyDescent="0.25">
      <c r="A29" s="198" t="s">
        <v>123</v>
      </c>
      <c r="B29" s="198"/>
      <c r="C29" s="198"/>
      <c r="D29" s="198"/>
      <c r="E29" s="198"/>
      <c r="F29" s="198"/>
      <c r="G29" s="198"/>
      <c r="H29" s="198"/>
      <c r="I29" s="198"/>
      <c r="J29" s="144"/>
      <c r="L29" s="2" t="s">
        <v>24</v>
      </c>
      <c r="M29" s="14">
        <v>0.2639707</v>
      </c>
      <c r="N29" s="14">
        <v>0.27838313999999997</v>
      </c>
      <c r="O29" s="96"/>
    </row>
    <row r="30" spans="1:16" ht="13.5" customHeight="1" x14ac:dyDescent="0.25">
      <c r="A30" s="198"/>
      <c r="B30" s="198"/>
      <c r="C30" s="198"/>
      <c r="D30" s="198"/>
      <c r="E30" s="198"/>
      <c r="F30" s="198"/>
      <c r="G30" s="198"/>
      <c r="H30" s="198"/>
      <c r="I30" s="198"/>
      <c r="J30" s="144"/>
      <c r="L30" s="13" t="s">
        <v>38</v>
      </c>
      <c r="M30" s="93">
        <v>0.53490972999999997</v>
      </c>
      <c r="N30" s="93">
        <v>0</v>
      </c>
    </row>
    <row r="31" spans="1:16" x14ac:dyDescent="0.25">
      <c r="A31" s="153"/>
      <c r="B31" s="153"/>
      <c r="C31" s="153"/>
      <c r="D31" s="153"/>
      <c r="E31" s="153"/>
      <c r="F31" s="153"/>
      <c r="G31" s="153"/>
      <c r="H31" s="153"/>
      <c r="I31" s="153"/>
      <c r="J31" s="144"/>
      <c r="L31" s="2" t="s">
        <v>13</v>
      </c>
      <c r="M31" s="14">
        <v>0.51281140999999997</v>
      </c>
      <c r="N31" s="14">
        <v>0</v>
      </c>
    </row>
    <row r="32" spans="1:16" ht="13.5" customHeight="1" x14ac:dyDescent="0.25">
      <c r="A32" s="196" t="s">
        <v>127</v>
      </c>
      <c r="B32" s="196"/>
      <c r="C32" s="196"/>
      <c r="D32" s="196"/>
      <c r="E32" s="196"/>
      <c r="F32" s="196"/>
      <c r="G32" s="196"/>
      <c r="H32" s="196"/>
      <c r="I32" s="196"/>
      <c r="J32" s="144"/>
      <c r="L32" s="94" t="s">
        <v>114</v>
      </c>
      <c r="M32" s="95">
        <v>0.40161036999999999</v>
      </c>
      <c r="N32" s="95">
        <v>9.6298049999999996E-2</v>
      </c>
      <c r="O32" s="92"/>
      <c r="P32" s="92"/>
    </row>
    <row r="33" spans="1:15" ht="11.45" customHeight="1" x14ac:dyDescent="0.25">
      <c r="A33" s="196"/>
      <c r="B33" s="196"/>
      <c r="C33" s="196"/>
      <c r="D33" s="196"/>
      <c r="E33" s="196"/>
      <c r="F33" s="196"/>
      <c r="G33" s="196"/>
      <c r="H33" s="196"/>
      <c r="I33" s="196"/>
      <c r="J33" s="145"/>
      <c r="L33" s="2" t="s">
        <v>9</v>
      </c>
      <c r="M33" s="14">
        <v>0.46063486999999997</v>
      </c>
      <c r="N33" s="14">
        <v>0</v>
      </c>
    </row>
    <row r="34" spans="1:15" x14ac:dyDescent="0.25">
      <c r="A34" s="196"/>
      <c r="B34" s="196"/>
      <c r="C34" s="196"/>
      <c r="D34" s="196"/>
      <c r="E34" s="196"/>
      <c r="F34" s="196"/>
      <c r="G34" s="196"/>
      <c r="H34" s="196"/>
      <c r="I34" s="196"/>
      <c r="J34" s="145"/>
      <c r="L34" s="13" t="s">
        <v>23</v>
      </c>
      <c r="M34" s="93">
        <v>0.45718101</v>
      </c>
      <c r="N34" s="93">
        <v>0</v>
      </c>
    </row>
    <row r="35" spans="1:15" x14ac:dyDescent="0.25">
      <c r="A35" s="196" t="s">
        <v>81</v>
      </c>
      <c r="B35" s="196"/>
      <c r="C35" s="196"/>
      <c r="D35" s="196"/>
      <c r="E35" s="196"/>
      <c r="F35" s="196"/>
      <c r="G35" s="196"/>
      <c r="H35" s="196"/>
      <c r="I35" s="196"/>
      <c r="J35" s="145"/>
      <c r="L35" s="2" t="s">
        <v>88</v>
      </c>
      <c r="M35" s="14">
        <v>0.1849654</v>
      </c>
      <c r="N35" s="14">
        <v>0.24451038</v>
      </c>
      <c r="O35" s="96"/>
    </row>
    <row r="36" spans="1:15" ht="13.5" customHeight="1" x14ac:dyDescent="0.25">
      <c r="A36" s="196"/>
      <c r="B36" s="196"/>
      <c r="C36" s="196"/>
      <c r="D36" s="196"/>
      <c r="E36" s="196"/>
      <c r="F36" s="196"/>
      <c r="G36" s="196"/>
      <c r="H36" s="196"/>
      <c r="I36" s="196"/>
      <c r="J36" s="145"/>
      <c r="L36" s="13" t="s">
        <v>20</v>
      </c>
      <c r="M36" s="93">
        <v>0.37941372000000001</v>
      </c>
      <c r="N36" s="93">
        <v>0</v>
      </c>
    </row>
    <row r="37" spans="1:15" x14ac:dyDescent="0.25">
      <c r="A37" s="125"/>
      <c r="B37" s="125"/>
      <c r="C37" s="125"/>
      <c r="D37" s="125"/>
      <c r="E37" s="125"/>
      <c r="F37" s="125"/>
      <c r="G37" s="125"/>
      <c r="H37" s="125"/>
      <c r="I37" s="125"/>
      <c r="J37" s="145"/>
      <c r="L37" s="2" t="s">
        <v>11</v>
      </c>
      <c r="M37" s="14">
        <v>0.35355942000000001</v>
      </c>
      <c r="N37" s="14">
        <v>1.275921E-2</v>
      </c>
    </row>
    <row r="38" spans="1:15" ht="13.5" customHeight="1" x14ac:dyDescent="0.25">
      <c r="A38" s="199" t="s">
        <v>122</v>
      </c>
      <c r="B38" s="199"/>
      <c r="C38" s="199"/>
      <c r="D38" s="199"/>
      <c r="E38" s="199"/>
      <c r="F38" s="199"/>
      <c r="G38" s="199"/>
      <c r="H38" s="199"/>
      <c r="I38" s="199"/>
      <c r="J38" s="117"/>
      <c r="L38" s="13" t="s">
        <v>16</v>
      </c>
      <c r="M38" s="93">
        <v>0.34837706000000002</v>
      </c>
      <c r="N38" s="93">
        <v>0</v>
      </c>
    </row>
    <row r="39" spans="1:15" x14ac:dyDescent="0.25">
      <c r="A39" s="199"/>
      <c r="B39" s="199"/>
      <c r="C39" s="199"/>
      <c r="D39" s="199"/>
      <c r="E39" s="199"/>
      <c r="F39" s="199"/>
      <c r="G39" s="199"/>
      <c r="H39" s="199"/>
      <c r="I39" s="199"/>
      <c r="J39" s="146"/>
      <c r="L39" s="2" t="s">
        <v>8</v>
      </c>
      <c r="M39" s="14">
        <v>0.33500000000000002</v>
      </c>
      <c r="N39" s="14">
        <v>0</v>
      </c>
    </row>
    <row r="40" spans="1:15" ht="11.45" customHeight="1" x14ac:dyDescent="0.25">
      <c r="A40" s="125"/>
      <c r="B40" s="125"/>
      <c r="C40" s="125"/>
      <c r="D40" s="125"/>
      <c r="E40" s="125"/>
      <c r="F40" s="125"/>
      <c r="G40" s="125"/>
      <c r="H40" s="125"/>
      <c r="I40" s="125"/>
      <c r="J40" s="146"/>
      <c r="L40" s="13" t="s">
        <v>94</v>
      </c>
      <c r="M40" s="93">
        <v>0.27400405</v>
      </c>
      <c r="N40" s="93">
        <v>0</v>
      </c>
    </row>
    <row r="41" spans="1:15" ht="11.45" customHeight="1" x14ac:dyDescent="0.25">
      <c r="A41" s="196" t="s">
        <v>100</v>
      </c>
      <c r="B41" s="196"/>
      <c r="C41" s="196"/>
      <c r="D41" s="196"/>
      <c r="E41" s="196"/>
      <c r="F41" s="196"/>
      <c r="G41" s="196"/>
      <c r="H41" s="196"/>
      <c r="I41" s="196"/>
      <c r="J41" s="145"/>
      <c r="L41" s="2" t="s">
        <v>7</v>
      </c>
      <c r="M41" s="14">
        <v>0.25889860999999997</v>
      </c>
      <c r="N41" s="14">
        <v>0</v>
      </c>
    </row>
    <row r="42" spans="1:15" x14ac:dyDescent="0.25">
      <c r="A42" s="196"/>
      <c r="B42" s="196"/>
      <c r="C42" s="196"/>
      <c r="D42" s="196"/>
      <c r="E42" s="196"/>
      <c r="F42" s="196"/>
      <c r="G42" s="196"/>
      <c r="H42" s="196"/>
      <c r="I42" s="196"/>
      <c r="J42" s="117"/>
      <c r="L42" s="13" t="s">
        <v>42</v>
      </c>
      <c r="M42" s="93">
        <v>0.23667199</v>
      </c>
      <c r="N42" s="93">
        <v>0</v>
      </c>
    </row>
    <row r="43" spans="1:15" x14ac:dyDescent="0.25">
      <c r="A43" s="206"/>
      <c r="B43" s="206"/>
      <c r="C43" s="206"/>
      <c r="D43" s="206"/>
      <c r="E43" s="206"/>
      <c r="F43" s="206"/>
      <c r="G43" s="206"/>
      <c r="H43" s="206"/>
      <c r="I43" s="206"/>
      <c r="J43" s="119"/>
      <c r="L43" s="2" t="s">
        <v>15</v>
      </c>
      <c r="M43" s="14">
        <v>-0.12227849</v>
      </c>
      <c r="N43" s="14">
        <v>0.33900544999999999</v>
      </c>
    </row>
    <row r="44" spans="1:15" ht="11.45" customHeight="1" x14ac:dyDescent="0.25">
      <c r="A44" s="206"/>
      <c r="B44" s="206"/>
      <c r="C44" s="206"/>
      <c r="D44" s="206"/>
      <c r="E44" s="206"/>
      <c r="F44" s="206"/>
      <c r="G44" s="206"/>
      <c r="H44" s="206"/>
      <c r="I44" s="206"/>
      <c r="J44" s="31"/>
      <c r="L44" s="13" t="s">
        <v>12</v>
      </c>
      <c r="M44" s="93">
        <v>0.2000208</v>
      </c>
      <c r="N44" s="93">
        <v>0</v>
      </c>
    </row>
    <row r="45" spans="1:15" x14ac:dyDescent="0.25">
      <c r="A45" s="205"/>
      <c r="B45" s="205"/>
      <c r="C45" s="205"/>
      <c r="D45" s="205"/>
      <c r="E45" s="205"/>
      <c r="F45" s="205"/>
      <c r="G45" s="205"/>
      <c r="H45" s="205"/>
      <c r="I45" s="205"/>
      <c r="J45" s="31"/>
      <c r="L45" s="2" t="s">
        <v>2</v>
      </c>
      <c r="M45" s="14">
        <v>0.13780000000000001</v>
      </c>
      <c r="N45" s="14">
        <v>0</v>
      </c>
    </row>
    <row r="46" spans="1:15" x14ac:dyDescent="0.25">
      <c r="A46" s="117"/>
      <c r="B46" s="117"/>
      <c r="C46" s="117"/>
      <c r="D46" s="117"/>
      <c r="E46" s="117"/>
      <c r="F46" s="117"/>
      <c r="G46" s="117"/>
      <c r="H46" s="117"/>
      <c r="I46" s="117"/>
      <c r="J46" s="31"/>
      <c r="L46" s="13" t="s">
        <v>4</v>
      </c>
      <c r="M46" s="93">
        <v>0.13007250000000001</v>
      </c>
      <c r="N46" s="93">
        <v>0</v>
      </c>
    </row>
    <row r="47" spans="1:15" x14ac:dyDescent="0.25">
      <c r="A47" s="118"/>
      <c r="B47" s="119"/>
      <c r="C47" s="119"/>
      <c r="D47" s="119"/>
      <c r="E47" s="119"/>
      <c r="F47" s="119"/>
      <c r="G47" s="119"/>
      <c r="H47" s="119"/>
      <c r="I47" s="119"/>
      <c r="J47" s="137"/>
      <c r="L47" s="2" t="s">
        <v>98</v>
      </c>
      <c r="M47" s="14">
        <v>0.1145</v>
      </c>
      <c r="N47" s="14">
        <v>0</v>
      </c>
    </row>
    <row r="48" spans="1:15" x14ac:dyDescent="0.25">
      <c r="A48" s="31"/>
      <c r="B48" s="31"/>
      <c r="C48" s="31"/>
      <c r="D48" s="31"/>
      <c r="E48" s="31"/>
      <c r="F48" s="31"/>
      <c r="G48" s="31"/>
      <c r="H48" s="31"/>
      <c r="I48" s="31"/>
      <c r="J48" s="137"/>
      <c r="L48" s="159" t="s">
        <v>21</v>
      </c>
      <c r="M48" s="160">
        <v>4.6944189999999997E-2</v>
      </c>
      <c r="N48" s="160">
        <v>0</v>
      </c>
    </row>
    <row r="49" spans="1:10" x14ac:dyDescent="0.25">
      <c r="A49" s="31"/>
      <c r="B49" s="31"/>
      <c r="C49" s="31"/>
      <c r="D49" s="31"/>
      <c r="E49" s="31"/>
      <c r="F49" s="31"/>
      <c r="G49" s="31"/>
      <c r="H49" s="31"/>
      <c r="I49" s="31"/>
      <c r="J49" s="137"/>
    </row>
    <row r="50" spans="1:10" x14ac:dyDescent="0.25">
      <c r="A50" s="31"/>
      <c r="B50" s="31"/>
      <c r="C50" s="31"/>
      <c r="D50" s="31"/>
      <c r="E50" s="31"/>
      <c r="F50" s="31"/>
      <c r="G50" s="31"/>
      <c r="H50" s="31"/>
      <c r="I50" s="31"/>
      <c r="J50" s="137"/>
    </row>
    <row r="51" spans="1:10" x14ac:dyDescent="0.25">
      <c r="A51" s="182"/>
      <c r="B51" s="182"/>
      <c r="C51" s="182"/>
      <c r="D51" s="182"/>
      <c r="E51" s="182"/>
      <c r="F51" s="182"/>
      <c r="G51" s="182"/>
      <c r="H51" s="182"/>
      <c r="I51" s="182"/>
      <c r="J51" s="137"/>
    </row>
    <row r="52" spans="1:10" x14ac:dyDescent="0.25">
      <c r="A52" s="182"/>
      <c r="B52" s="182"/>
      <c r="C52" s="182"/>
      <c r="D52" s="182"/>
      <c r="E52" s="182"/>
      <c r="F52" s="182"/>
      <c r="G52" s="182"/>
      <c r="H52" s="182"/>
      <c r="I52" s="182"/>
      <c r="J52" s="137"/>
    </row>
    <row r="53" spans="1:10" x14ac:dyDescent="0.25">
      <c r="A53" s="182"/>
      <c r="B53" s="182"/>
      <c r="C53" s="182"/>
      <c r="D53" s="182"/>
      <c r="E53" s="182"/>
      <c r="F53" s="182"/>
      <c r="G53" s="182"/>
      <c r="H53" s="182"/>
      <c r="I53" s="182"/>
      <c r="J53" s="137"/>
    </row>
    <row r="54" spans="1:10" x14ac:dyDescent="0.25">
      <c r="A54" s="182"/>
      <c r="B54" s="182"/>
      <c r="C54" s="182"/>
      <c r="D54" s="182"/>
      <c r="E54" s="182"/>
      <c r="F54" s="182"/>
      <c r="G54" s="182"/>
      <c r="H54" s="182"/>
      <c r="I54" s="182"/>
    </row>
    <row r="55" spans="1:10" x14ac:dyDescent="0.25">
      <c r="A55" s="182"/>
      <c r="B55" s="182"/>
      <c r="C55" s="182"/>
      <c r="D55" s="182"/>
      <c r="E55" s="182"/>
      <c r="F55" s="182"/>
      <c r="G55" s="182"/>
      <c r="H55" s="182"/>
      <c r="I55" s="182"/>
    </row>
    <row r="56" spans="1:10" x14ac:dyDescent="0.25">
      <c r="A56" s="182"/>
      <c r="B56" s="182"/>
      <c r="C56" s="182"/>
      <c r="D56" s="182"/>
      <c r="E56" s="182"/>
      <c r="F56" s="182"/>
      <c r="G56" s="182"/>
      <c r="H56" s="182"/>
      <c r="I56" s="182"/>
    </row>
    <row r="57" spans="1:10" x14ac:dyDescent="0.25">
      <c r="A57" s="182"/>
      <c r="B57" s="182"/>
      <c r="C57" s="182"/>
      <c r="D57" s="182"/>
      <c r="E57" s="182"/>
      <c r="F57" s="182"/>
      <c r="G57" s="182"/>
      <c r="H57" s="182"/>
      <c r="I57" s="182"/>
    </row>
  </sheetData>
  <mergeCells count="18">
    <mergeCell ref="A45:I45"/>
    <mergeCell ref="A51:I54"/>
    <mergeCell ref="A55:I57"/>
    <mergeCell ref="A43:I44"/>
    <mergeCell ref="A35:I36"/>
    <mergeCell ref="A41:I42"/>
    <mergeCell ref="A38:I39"/>
    <mergeCell ref="M5:M7"/>
    <mergeCell ref="N5:N7"/>
    <mergeCell ref="A2:I3"/>
    <mergeCell ref="L3:N4"/>
    <mergeCell ref="L1:N2"/>
    <mergeCell ref="A32:I34"/>
    <mergeCell ref="A20:I20"/>
    <mergeCell ref="A21:I22"/>
    <mergeCell ref="A23:I24"/>
    <mergeCell ref="A25:I25"/>
    <mergeCell ref="A29:I30"/>
  </mergeCells>
  <hyperlinks>
    <hyperlink ref="A27" r:id="rId1" xr:uid="{6FDE8475-98AA-4C2E-9F87-536A21D1B560}"/>
  </hyperlinks>
  <pageMargins left="0.70866141732283472" right="0.70866141732283472" top="0.74803149606299213" bottom="0.74803149606299213" header="0.31496062992125984" footer="0.31496062992125984"/>
  <pageSetup paperSize="9" scale="83" orientation="landscape" r:id="rId2"/>
  <headerFooter>
    <oddHeader>&amp;COECD Affordable Housing Database, http://oe.cd/ahd</oddHeader>
    <oddFooter>&amp;C_x000D_&amp;1#&amp;"Calibri"&amp;10&amp;K0000FF Restricted Use - À usage restreint&amp;R&amp;F - &amp;A</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R219"/>
  <sheetViews>
    <sheetView zoomScaleNormal="100" workbookViewId="0"/>
  </sheetViews>
  <sheetFormatPr defaultColWidth="9.140625" defaultRowHeight="13.5" x14ac:dyDescent="0.25"/>
  <cols>
    <col min="1" max="1" width="13.5703125" style="15" customWidth="1"/>
    <col min="2" max="16" width="6.85546875" style="23" customWidth="1"/>
    <col min="17" max="18" width="9.42578125" style="2" bestFit="1" customWidth="1"/>
    <col min="19" max="16384" width="9.140625" style="2"/>
  </cols>
  <sheetData>
    <row r="1" spans="1:18" ht="17.25" customHeight="1" x14ac:dyDescent="0.25">
      <c r="A1" s="22" t="s">
        <v>78</v>
      </c>
    </row>
    <row r="2" spans="1:18" ht="14.45" customHeight="1" x14ac:dyDescent="0.25">
      <c r="A2" s="15" t="s">
        <v>35</v>
      </c>
    </row>
    <row r="3" spans="1:18" ht="14.45" customHeight="1" x14ac:dyDescent="0.25"/>
    <row r="4" spans="1:18" s="5" customFormat="1" ht="14.45" customHeight="1" thickBot="1" x14ac:dyDescent="0.3">
      <c r="A4" s="46"/>
      <c r="B4" s="46">
        <v>2010</v>
      </c>
      <c r="C4" s="46">
        <v>2011</v>
      </c>
      <c r="D4" s="46">
        <v>2012</v>
      </c>
      <c r="E4" s="46">
        <v>2013</v>
      </c>
      <c r="F4" s="46">
        <v>2014</v>
      </c>
      <c r="G4" s="46">
        <v>2015</v>
      </c>
      <c r="H4" s="46">
        <v>2016</v>
      </c>
      <c r="I4" s="46">
        <v>2017</v>
      </c>
      <c r="J4" s="46">
        <v>2018</v>
      </c>
      <c r="K4" s="46">
        <v>2019</v>
      </c>
      <c r="L4" s="46">
        <v>2020</v>
      </c>
      <c r="M4" s="46">
        <v>2021</v>
      </c>
      <c r="N4" s="46">
        <v>2022</v>
      </c>
      <c r="O4" s="46">
        <v>2023</v>
      </c>
      <c r="P4" s="46">
        <v>2024</v>
      </c>
    </row>
    <row r="5" spans="1:18" ht="14.45" customHeight="1" x14ac:dyDescent="0.25">
      <c r="A5" s="26" t="s">
        <v>0</v>
      </c>
      <c r="B5" s="27" t="s">
        <v>27</v>
      </c>
      <c r="C5" s="27" t="s">
        <v>27</v>
      </c>
      <c r="D5" s="27" t="s">
        <v>27</v>
      </c>
      <c r="E5" s="27" t="s">
        <v>27</v>
      </c>
      <c r="F5" s="27" t="s">
        <v>27</v>
      </c>
      <c r="G5" s="27" t="s">
        <v>27</v>
      </c>
      <c r="H5" s="27" t="s">
        <v>27</v>
      </c>
      <c r="I5" s="27" t="s">
        <v>27</v>
      </c>
      <c r="J5" s="27" t="s">
        <v>27</v>
      </c>
      <c r="K5" s="27" t="s">
        <v>27</v>
      </c>
      <c r="L5" s="27" t="s">
        <v>27</v>
      </c>
      <c r="M5" s="27" t="s">
        <v>27</v>
      </c>
      <c r="N5" s="105" t="s">
        <v>27</v>
      </c>
      <c r="O5" s="105"/>
      <c r="P5" s="105"/>
      <c r="Q5" s="3"/>
      <c r="R5" s="3"/>
    </row>
    <row r="6" spans="1:18" ht="14.45" customHeight="1" x14ac:dyDescent="0.25">
      <c r="A6" s="48" t="s">
        <v>89</v>
      </c>
      <c r="B6" s="19">
        <v>0.16785113513469696</v>
      </c>
      <c r="C6" s="19">
        <v>0.16268831491470337</v>
      </c>
      <c r="D6" s="19">
        <v>0.16245368123054504</v>
      </c>
      <c r="E6" s="19">
        <v>0.16504062712192535</v>
      </c>
      <c r="F6" s="19">
        <v>0.1639581024646759</v>
      </c>
      <c r="G6" s="19">
        <v>0.15453095734119415</v>
      </c>
      <c r="H6" s="19">
        <v>0.13763226568698883</v>
      </c>
      <c r="I6" s="19">
        <v>0.13197198510169983</v>
      </c>
      <c r="J6" s="19">
        <v>0.12501561641693115</v>
      </c>
      <c r="K6" s="106">
        <v>0.1312386691570282</v>
      </c>
      <c r="L6" s="106">
        <v>0.12626029551029205</v>
      </c>
      <c r="M6" s="106">
        <v>0.13132019340991974</v>
      </c>
      <c r="N6" s="106">
        <v>0.14877171814441681</v>
      </c>
      <c r="O6" s="107">
        <v>0.96568435430526733</v>
      </c>
      <c r="P6" s="106">
        <v>0.94812297821044922</v>
      </c>
      <c r="Q6" s="3"/>
      <c r="R6" s="3"/>
    </row>
    <row r="7" spans="1:18" ht="14.45" customHeight="1" x14ac:dyDescent="0.25">
      <c r="A7" s="47" t="s">
        <v>67</v>
      </c>
      <c r="B7" s="21">
        <v>5.8918967843055725E-2</v>
      </c>
      <c r="C7" s="21">
        <v>5.4719727486371994E-2</v>
      </c>
      <c r="D7" s="21">
        <v>5.5604510009288788E-2</v>
      </c>
      <c r="E7" s="21">
        <v>4.7189325094223022E-2</v>
      </c>
      <c r="F7" s="21">
        <v>3.0679745599627495E-2</v>
      </c>
      <c r="G7" s="21">
        <v>4.229016974568367E-2</v>
      </c>
      <c r="H7" s="21">
        <v>4.6570442616939545E-2</v>
      </c>
      <c r="I7" s="21">
        <v>2.9500478878617287E-2</v>
      </c>
      <c r="J7" s="21">
        <v>2.8696497902274132E-2</v>
      </c>
      <c r="K7" s="108">
        <v>2.4880586192011833E-2</v>
      </c>
      <c r="L7" s="108">
        <v>1.8899697810411453E-2</v>
      </c>
      <c r="M7" s="108">
        <v>3.6407243460416794E-2</v>
      </c>
      <c r="N7" s="108">
        <v>3.0442554503679276E-2</v>
      </c>
      <c r="O7" s="109">
        <v>0.97238063812255859</v>
      </c>
      <c r="P7" s="108">
        <v>0.97044581174850464</v>
      </c>
      <c r="Q7" s="3"/>
      <c r="R7" s="3"/>
    </row>
    <row r="8" spans="1:18" ht="14.45" customHeight="1" x14ac:dyDescent="0.25">
      <c r="A8" s="48" t="s">
        <v>29</v>
      </c>
      <c r="B8" s="19">
        <v>9.1993119567632675E-3</v>
      </c>
      <c r="C8" s="19">
        <v>1.2470794841647148E-2</v>
      </c>
      <c r="D8" s="19">
        <v>1.0247805155813694E-2</v>
      </c>
      <c r="E8" s="19">
        <v>1.3649862259626389E-2</v>
      </c>
      <c r="F8" s="19">
        <v>1.1534254997968674E-2</v>
      </c>
      <c r="G8" s="19">
        <v>1.4463876374065876E-2</v>
      </c>
      <c r="H8" s="19">
        <v>1.6575183719396591E-2</v>
      </c>
      <c r="I8" s="19">
        <v>1.2791239656507969E-2</v>
      </c>
      <c r="J8" s="19">
        <v>9.3808760866522789E-3</v>
      </c>
      <c r="K8" s="106">
        <v>6.3098599202930927E-3</v>
      </c>
      <c r="L8" s="106">
        <v>8.8285058736801147E-3</v>
      </c>
      <c r="M8" s="106">
        <v>8.5203489288687706E-3</v>
      </c>
      <c r="N8" s="106">
        <v>8.9223561808466911E-3</v>
      </c>
      <c r="O8" s="107">
        <v>0.97066986560821533</v>
      </c>
      <c r="P8" s="106">
        <v>0.97438454627990723</v>
      </c>
      <c r="Q8" s="3"/>
      <c r="R8" s="3"/>
    </row>
    <row r="9" spans="1:18" ht="14.45" customHeight="1" x14ac:dyDescent="0.25">
      <c r="A9" s="47" t="s">
        <v>68</v>
      </c>
      <c r="B9" s="21">
        <v>4.7706705518066883E-3</v>
      </c>
      <c r="C9" s="21">
        <v>1.3921273872256279E-2</v>
      </c>
      <c r="D9" s="21">
        <v>7.5600608251988888E-3</v>
      </c>
      <c r="E9" s="21">
        <v>3.6201607435941696E-3</v>
      </c>
      <c r="F9" s="21">
        <v>1.9367554923519492E-3</v>
      </c>
      <c r="G9" s="21">
        <v>2.7016317471861839E-4</v>
      </c>
      <c r="H9" s="21">
        <v>2.3112650960683823E-3</v>
      </c>
      <c r="I9" s="21">
        <v>1.014346070587635E-2</v>
      </c>
      <c r="J9" s="21">
        <v>4.1335909627377987E-3</v>
      </c>
      <c r="K9" s="108">
        <v>1.2972854310646653E-3</v>
      </c>
      <c r="L9" s="108">
        <v>1.1695695575326681E-3</v>
      </c>
      <c r="M9" s="108">
        <v>3.8557413499802351E-3</v>
      </c>
      <c r="N9" s="108">
        <v>0</v>
      </c>
      <c r="O9" s="109">
        <v>0.98228651285171509</v>
      </c>
      <c r="P9" s="108">
        <v>0.97081273794174194</v>
      </c>
      <c r="Q9" s="3"/>
      <c r="R9" s="3"/>
    </row>
    <row r="10" spans="1:18" ht="14.45" customHeight="1" x14ac:dyDescent="0.25">
      <c r="A10" s="53" t="s">
        <v>90</v>
      </c>
      <c r="B10" s="44">
        <v>4.370102658867836E-3</v>
      </c>
      <c r="C10" s="44">
        <v>8.2065135939046741E-4</v>
      </c>
      <c r="D10" s="44">
        <v>5.0006789388135076E-4</v>
      </c>
      <c r="E10" s="44">
        <v>0</v>
      </c>
      <c r="F10" s="44">
        <v>1.8608913524076343E-3</v>
      </c>
      <c r="G10" s="44">
        <v>0</v>
      </c>
      <c r="H10" s="44">
        <v>9.1141217853873968E-4</v>
      </c>
      <c r="I10" s="44">
        <v>8.7276689009740949E-4</v>
      </c>
      <c r="J10" s="44">
        <v>7.5224624015390873E-4</v>
      </c>
      <c r="K10" s="110">
        <v>1.4180629514157772E-3</v>
      </c>
      <c r="L10" s="110">
        <v>2.0757883321493864E-3</v>
      </c>
      <c r="M10" s="110">
        <v>1.9713209476321936E-3</v>
      </c>
      <c r="N10" s="110">
        <v>0</v>
      </c>
      <c r="O10" s="111">
        <v>0.96928626298904419</v>
      </c>
      <c r="P10" s="110">
        <v>0.96090704202651978</v>
      </c>
      <c r="Q10" s="3"/>
      <c r="R10" s="3"/>
    </row>
    <row r="11" spans="1:18" ht="14.45" customHeight="1" x14ac:dyDescent="0.25">
      <c r="A11" s="26" t="s">
        <v>1</v>
      </c>
      <c r="B11" s="21" t="s">
        <v>27</v>
      </c>
      <c r="C11" s="21" t="s">
        <v>27</v>
      </c>
      <c r="D11" s="21" t="s">
        <v>27</v>
      </c>
      <c r="E11" s="21" t="s">
        <v>27</v>
      </c>
      <c r="F11" s="21" t="s">
        <v>27</v>
      </c>
      <c r="G11" s="21" t="s">
        <v>27</v>
      </c>
      <c r="H11" s="21" t="s">
        <v>27</v>
      </c>
      <c r="I11" s="21" t="s">
        <v>27</v>
      </c>
      <c r="J11" s="21" t="s">
        <v>27</v>
      </c>
      <c r="K11" s="108" t="s">
        <v>27</v>
      </c>
      <c r="L11" s="108" t="s">
        <v>27</v>
      </c>
      <c r="M11" s="108" t="s">
        <v>27</v>
      </c>
      <c r="N11" s="108" t="s">
        <v>27</v>
      </c>
      <c r="O11" s="108" t="s">
        <v>27</v>
      </c>
      <c r="P11" s="108" t="s">
        <v>27</v>
      </c>
      <c r="Q11" s="3"/>
      <c r="R11" s="3"/>
    </row>
    <row r="12" spans="1:18" ht="14.45" customHeight="1" x14ac:dyDescent="0.25">
      <c r="A12" s="48" t="s">
        <v>89</v>
      </c>
      <c r="B12" s="19">
        <v>1.2520363554358482E-2</v>
      </c>
      <c r="C12" s="19">
        <v>1.4149116352200508E-2</v>
      </c>
      <c r="D12" s="19">
        <v>1.1437959037721157E-2</v>
      </c>
      <c r="E12" s="19">
        <v>8.5252756252884865E-3</v>
      </c>
      <c r="F12" s="19">
        <v>8.2491403445601463E-3</v>
      </c>
      <c r="G12" s="19">
        <v>2.2368455305695534E-2</v>
      </c>
      <c r="H12" s="19">
        <v>1.0437655262649059E-2</v>
      </c>
      <c r="I12" s="19">
        <v>5.467255599796772E-3</v>
      </c>
      <c r="J12" s="19">
        <v>9.1811474412679672E-3</v>
      </c>
      <c r="K12" s="106">
        <v>1.1452161706984043E-2</v>
      </c>
      <c r="L12" s="106">
        <v>1.7175577580928802E-2</v>
      </c>
      <c r="M12" s="106">
        <v>5.4102428257465363E-2</v>
      </c>
      <c r="N12" s="106">
        <v>6.5550796687602997E-2</v>
      </c>
      <c r="O12" s="106">
        <v>0.54154348373413086</v>
      </c>
      <c r="P12" s="106">
        <v>7.400745153427124E-2</v>
      </c>
      <c r="Q12" s="3"/>
      <c r="R12" s="3"/>
    </row>
    <row r="13" spans="1:18" ht="14.45" customHeight="1" x14ac:dyDescent="0.25">
      <c r="A13" s="47" t="s">
        <v>67</v>
      </c>
      <c r="B13" s="21">
        <v>6.8152747116982937E-3</v>
      </c>
      <c r="C13" s="21">
        <v>8.7315384298563004E-3</v>
      </c>
      <c r="D13" s="21">
        <v>1.0303112678229809E-2</v>
      </c>
      <c r="E13" s="21">
        <v>1.1300075799226761E-2</v>
      </c>
      <c r="F13" s="21">
        <v>4.6561220660805702E-3</v>
      </c>
      <c r="G13" s="21">
        <v>7.3414836078882217E-3</v>
      </c>
      <c r="H13" s="21">
        <v>8.9955674484372139E-3</v>
      </c>
      <c r="I13" s="21">
        <v>9.1150617226958275E-3</v>
      </c>
      <c r="J13" s="21">
        <v>7.6510249637067318E-3</v>
      </c>
      <c r="K13" s="108">
        <v>5.511297844350338E-3</v>
      </c>
      <c r="L13" s="108">
        <v>8.692578412592411E-3</v>
      </c>
      <c r="M13" s="108">
        <v>5.1419802010059357E-2</v>
      </c>
      <c r="N13" s="108">
        <v>4.7237690538167953E-2</v>
      </c>
      <c r="O13" s="108">
        <v>0.84097516536712646</v>
      </c>
      <c r="P13" s="108">
        <v>9.5482006669044495E-2</v>
      </c>
      <c r="Q13" s="3"/>
      <c r="R13" s="3"/>
    </row>
    <row r="14" spans="1:18" ht="14.45" customHeight="1" x14ac:dyDescent="0.25">
      <c r="A14" s="48" t="s">
        <v>29</v>
      </c>
      <c r="B14" s="19">
        <v>5.2270428277552128E-3</v>
      </c>
      <c r="C14" s="19">
        <v>8.4734586998820305E-3</v>
      </c>
      <c r="D14" s="19">
        <v>1.6693225130438805E-2</v>
      </c>
      <c r="E14" s="19">
        <v>5.7687386870384216E-3</v>
      </c>
      <c r="F14" s="19">
        <v>5.9004174545407295E-4</v>
      </c>
      <c r="G14" s="19">
        <v>2.2731849458068609E-3</v>
      </c>
      <c r="H14" s="19">
        <v>3.8876028265804052E-3</v>
      </c>
      <c r="I14" s="19">
        <v>1.8716809572651982E-3</v>
      </c>
      <c r="J14" s="19">
        <v>1.7895331839099526E-3</v>
      </c>
      <c r="K14" s="106">
        <v>9.1692560818046331E-4</v>
      </c>
      <c r="L14" s="106">
        <v>1.2544792843982577E-3</v>
      </c>
      <c r="M14" s="106">
        <v>6.7442066967487335E-2</v>
      </c>
      <c r="N14" s="106">
        <v>3.3523701131343842E-2</v>
      </c>
      <c r="O14" s="106">
        <v>0.92766749858856201</v>
      </c>
      <c r="P14" s="106">
        <v>8.6465135216712952E-2</v>
      </c>
      <c r="Q14" s="3"/>
      <c r="R14" s="3"/>
    </row>
    <row r="15" spans="1:18" ht="14.45" customHeight="1" x14ac:dyDescent="0.25">
      <c r="A15" s="47" t="s">
        <v>68</v>
      </c>
      <c r="B15" s="21">
        <v>5.1625361666083336E-3</v>
      </c>
      <c r="C15" s="21">
        <v>4.510476253926754E-3</v>
      </c>
      <c r="D15" s="21">
        <v>1.2994920834898949E-2</v>
      </c>
      <c r="E15" s="21">
        <v>6.3774646259844303E-3</v>
      </c>
      <c r="F15" s="21">
        <v>1.4297395246103406E-3</v>
      </c>
      <c r="G15" s="21">
        <v>6.3095050863921642E-3</v>
      </c>
      <c r="H15" s="21">
        <v>2.36893305554986E-3</v>
      </c>
      <c r="I15" s="21">
        <v>4.2748549021780491E-3</v>
      </c>
      <c r="J15" s="21">
        <v>2.4751760065555573E-3</v>
      </c>
      <c r="K15" s="108">
        <v>6.4188563264906406E-3</v>
      </c>
      <c r="L15" s="108">
        <v>3.0780895613133907E-3</v>
      </c>
      <c r="M15" s="108">
        <v>7.3154352605342865E-2</v>
      </c>
      <c r="N15" s="108">
        <v>3.5981189459562302E-2</v>
      </c>
      <c r="O15" s="108">
        <v>0.93405205011367798</v>
      </c>
      <c r="P15" s="108">
        <v>7.2011128067970276E-2</v>
      </c>
      <c r="Q15" s="3"/>
      <c r="R15" s="3"/>
    </row>
    <row r="16" spans="1:18" ht="14.45" customHeight="1" x14ac:dyDescent="0.25">
      <c r="A16" s="53" t="s">
        <v>90</v>
      </c>
      <c r="B16" s="44">
        <v>2.3303402122110128E-3</v>
      </c>
      <c r="C16" s="44">
        <v>2.8463723137974739E-3</v>
      </c>
      <c r="D16" s="44">
        <v>1.1930602602660656E-2</v>
      </c>
      <c r="E16" s="44">
        <v>6.7262523807585239E-3</v>
      </c>
      <c r="F16" s="44">
        <v>0</v>
      </c>
      <c r="G16" s="44">
        <v>3.6906453315168619E-3</v>
      </c>
      <c r="H16" s="44">
        <v>1.0641348548233509E-2</v>
      </c>
      <c r="I16" s="44">
        <v>4.3088467791676521E-3</v>
      </c>
      <c r="J16" s="44">
        <v>2.6397996116429567E-3</v>
      </c>
      <c r="K16" s="110">
        <v>9.028570493683219E-4</v>
      </c>
      <c r="L16" s="110">
        <v>4.7782738693058491E-3</v>
      </c>
      <c r="M16" s="110">
        <v>4.9319066107273102E-2</v>
      </c>
      <c r="N16" s="110">
        <v>1.3634380884468555E-2</v>
      </c>
      <c r="O16" s="110">
        <v>0.98120808601379395</v>
      </c>
      <c r="P16" s="110">
        <v>7.4701480567455292E-2</v>
      </c>
      <c r="Q16" s="3"/>
      <c r="R16" s="3"/>
    </row>
    <row r="17" spans="1:18" ht="14.45" customHeight="1" x14ac:dyDescent="0.25">
      <c r="A17" s="26" t="s">
        <v>2</v>
      </c>
      <c r="B17" s="21" t="s">
        <v>27</v>
      </c>
      <c r="C17" s="21" t="s">
        <v>27</v>
      </c>
      <c r="D17" s="21" t="s">
        <v>27</v>
      </c>
      <c r="E17" s="21" t="s">
        <v>27</v>
      </c>
      <c r="F17" s="21" t="s">
        <v>27</v>
      </c>
      <c r="G17" s="21" t="s">
        <v>27</v>
      </c>
      <c r="H17" s="21" t="s">
        <v>27</v>
      </c>
      <c r="I17" s="21" t="s">
        <v>27</v>
      </c>
      <c r="J17" s="21" t="s">
        <v>27</v>
      </c>
      <c r="K17" s="108" t="s">
        <v>27</v>
      </c>
      <c r="L17" s="108" t="s">
        <v>27</v>
      </c>
      <c r="M17" s="108" t="s">
        <v>27</v>
      </c>
      <c r="N17" s="108" t="s">
        <v>27</v>
      </c>
      <c r="O17" s="108" t="s">
        <v>27</v>
      </c>
      <c r="P17" s="108" t="s">
        <v>27</v>
      </c>
      <c r="Q17" s="3"/>
      <c r="R17" s="3"/>
    </row>
    <row r="18" spans="1:18" ht="14.45" customHeight="1" x14ac:dyDescent="0.25">
      <c r="A18" s="48" t="s">
        <v>89</v>
      </c>
      <c r="B18" s="19">
        <v>4.5154165127314627E-4</v>
      </c>
      <c r="C18" s="19">
        <v>3.5172884236089885E-4</v>
      </c>
      <c r="D18" s="19">
        <v>0</v>
      </c>
      <c r="E18" s="19">
        <v>0</v>
      </c>
      <c r="F18" s="19">
        <v>0</v>
      </c>
      <c r="G18" s="19">
        <v>0</v>
      </c>
      <c r="H18" s="19">
        <v>0</v>
      </c>
      <c r="I18" s="19">
        <v>0</v>
      </c>
      <c r="J18" s="19">
        <v>0</v>
      </c>
      <c r="K18" s="106">
        <v>0</v>
      </c>
      <c r="L18" s="106">
        <v>0</v>
      </c>
      <c r="M18" s="106">
        <v>1.1146067408844829E-3</v>
      </c>
      <c r="N18" s="106">
        <v>6.1293103499338031E-4</v>
      </c>
      <c r="O18" s="106">
        <v>3.6618162994273007E-4</v>
      </c>
      <c r="P18" s="107">
        <v>0.41024824976921082</v>
      </c>
      <c r="Q18" s="3"/>
      <c r="R18" s="3"/>
    </row>
    <row r="19" spans="1:18" ht="14.45" customHeight="1" x14ac:dyDescent="0.25">
      <c r="A19" s="47" t="s">
        <v>67</v>
      </c>
      <c r="B19" s="21">
        <v>0</v>
      </c>
      <c r="C19" s="21">
        <v>0</v>
      </c>
      <c r="D19" s="21">
        <v>1.4824976678937674E-3</v>
      </c>
      <c r="E19" s="21">
        <v>0</v>
      </c>
      <c r="F19" s="21">
        <v>0</v>
      </c>
      <c r="G19" s="21">
        <v>0</v>
      </c>
      <c r="H19" s="21">
        <v>0</v>
      </c>
      <c r="I19" s="21">
        <v>0</v>
      </c>
      <c r="J19" s="21">
        <v>4.6355550875887275E-4</v>
      </c>
      <c r="K19" s="108">
        <v>0</v>
      </c>
      <c r="L19" s="108">
        <v>6.0674955602735281E-4</v>
      </c>
      <c r="M19" s="108">
        <v>0</v>
      </c>
      <c r="N19" s="108">
        <v>7.4727140599861741E-4</v>
      </c>
      <c r="O19" s="108">
        <v>9.9049403797835112E-4</v>
      </c>
      <c r="P19" s="109">
        <v>0.30278247594833374</v>
      </c>
      <c r="Q19" s="3"/>
      <c r="R19" s="3"/>
    </row>
    <row r="20" spans="1:18" ht="14.45" customHeight="1" x14ac:dyDescent="0.25">
      <c r="A20" s="48" t="s">
        <v>29</v>
      </c>
      <c r="B20" s="19">
        <v>0</v>
      </c>
      <c r="C20" s="19">
        <v>0</v>
      </c>
      <c r="D20" s="19">
        <v>0</v>
      </c>
      <c r="E20" s="19">
        <v>0</v>
      </c>
      <c r="F20" s="19">
        <v>0</v>
      </c>
      <c r="G20" s="19">
        <v>0</v>
      </c>
      <c r="H20" s="19">
        <v>0</v>
      </c>
      <c r="I20" s="19">
        <v>0</v>
      </c>
      <c r="J20" s="19">
        <v>0</v>
      </c>
      <c r="K20" s="106">
        <v>2.7017819229513407E-4</v>
      </c>
      <c r="L20" s="106">
        <v>4.4083478860557079E-4</v>
      </c>
      <c r="M20" s="106">
        <v>4.6207287232391536E-4</v>
      </c>
      <c r="N20" s="106">
        <v>5.3297285921871662E-4</v>
      </c>
      <c r="O20" s="106">
        <v>2.3210982326418161E-3</v>
      </c>
      <c r="P20" s="107">
        <v>0.20271234214305878</v>
      </c>
      <c r="Q20" s="3"/>
      <c r="R20" s="3"/>
    </row>
    <row r="21" spans="1:18" ht="14.45" customHeight="1" x14ac:dyDescent="0.25">
      <c r="A21" s="47" t="s">
        <v>68</v>
      </c>
      <c r="B21" s="21">
        <v>0</v>
      </c>
      <c r="C21" s="21">
        <v>0</v>
      </c>
      <c r="D21" s="21">
        <v>0</v>
      </c>
      <c r="E21" s="21">
        <v>0</v>
      </c>
      <c r="F21" s="21">
        <v>0</v>
      </c>
      <c r="G21" s="21">
        <v>0</v>
      </c>
      <c r="H21" s="21">
        <v>0</v>
      </c>
      <c r="I21" s="21">
        <v>0</v>
      </c>
      <c r="J21" s="21">
        <v>0</v>
      </c>
      <c r="K21" s="108">
        <v>0</v>
      </c>
      <c r="L21" s="108">
        <v>0</v>
      </c>
      <c r="M21" s="108">
        <v>0</v>
      </c>
      <c r="N21" s="108">
        <v>0</v>
      </c>
      <c r="O21" s="108">
        <v>0</v>
      </c>
      <c r="P21" s="109">
        <v>0.14842230081558228</v>
      </c>
      <c r="Q21" s="3"/>
      <c r="R21" s="3"/>
    </row>
    <row r="22" spans="1:18" ht="14.45" customHeight="1" x14ac:dyDescent="0.25">
      <c r="A22" s="53" t="s">
        <v>90</v>
      </c>
      <c r="B22" s="44">
        <v>0</v>
      </c>
      <c r="C22" s="44">
        <v>0</v>
      </c>
      <c r="D22" s="44">
        <v>0</v>
      </c>
      <c r="E22" s="44">
        <v>0</v>
      </c>
      <c r="F22" s="44">
        <v>0</v>
      </c>
      <c r="G22" s="44">
        <v>0</v>
      </c>
      <c r="H22" s="44">
        <v>0</v>
      </c>
      <c r="I22" s="44">
        <v>0</v>
      </c>
      <c r="J22" s="44">
        <v>0</v>
      </c>
      <c r="K22" s="110">
        <v>0</v>
      </c>
      <c r="L22" s="110">
        <v>0</v>
      </c>
      <c r="M22" s="110">
        <v>0</v>
      </c>
      <c r="N22" s="110">
        <v>0</v>
      </c>
      <c r="O22" s="110">
        <v>0</v>
      </c>
      <c r="P22" s="111">
        <v>7.4055954813957214E-2</v>
      </c>
      <c r="Q22" s="3"/>
      <c r="R22" s="3"/>
    </row>
    <row r="23" spans="1:18" ht="14.45" customHeight="1" x14ac:dyDescent="0.25">
      <c r="A23" s="26" t="s">
        <v>28</v>
      </c>
      <c r="B23" s="21" t="s">
        <v>27</v>
      </c>
      <c r="C23" s="21" t="s">
        <v>27</v>
      </c>
      <c r="D23" s="21" t="s">
        <v>27</v>
      </c>
      <c r="E23" s="21" t="s">
        <v>27</v>
      </c>
      <c r="F23" s="21" t="s">
        <v>27</v>
      </c>
      <c r="G23" s="21" t="s">
        <v>27</v>
      </c>
      <c r="H23" s="21" t="s">
        <v>27</v>
      </c>
      <c r="I23" s="21" t="s">
        <v>27</v>
      </c>
      <c r="J23" s="21" t="s">
        <v>27</v>
      </c>
      <c r="K23" s="108" t="s">
        <v>27</v>
      </c>
      <c r="L23" s="108" t="s">
        <v>27</v>
      </c>
      <c r="M23" s="108" t="s">
        <v>27</v>
      </c>
      <c r="N23" s="108" t="s">
        <v>27</v>
      </c>
      <c r="O23" s="108" t="s">
        <v>27</v>
      </c>
      <c r="P23" s="108" t="s">
        <v>27</v>
      </c>
      <c r="Q23" s="3"/>
      <c r="R23" s="3"/>
    </row>
    <row r="24" spans="1:18" ht="14.45" customHeight="1" x14ac:dyDescent="0.25">
      <c r="A24" s="48" t="s">
        <v>89</v>
      </c>
      <c r="B24" s="19" t="s">
        <v>27</v>
      </c>
      <c r="C24" s="19" t="s">
        <v>27</v>
      </c>
      <c r="D24" s="19" t="s">
        <v>27</v>
      </c>
      <c r="E24" s="19" t="s">
        <v>27</v>
      </c>
      <c r="F24" s="19" t="s">
        <v>27</v>
      </c>
      <c r="G24" s="19" t="s">
        <v>27</v>
      </c>
      <c r="H24" s="19">
        <v>5.9265691787004471E-2</v>
      </c>
      <c r="I24" s="19">
        <v>5.7726241648197174E-2</v>
      </c>
      <c r="J24" s="19">
        <v>6.1669290065765381E-2</v>
      </c>
      <c r="K24" s="106">
        <v>5.2145786583423615E-2</v>
      </c>
      <c r="L24" s="106">
        <v>4.9537643790245056E-2</v>
      </c>
      <c r="M24" s="106">
        <v>5.5761087685823441E-2</v>
      </c>
      <c r="N24" s="106">
        <v>3.8895972073078156E-2</v>
      </c>
      <c r="O24" s="106">
        <v>7.2723798453807831E-2</v>
      </c>
      <c r="P24" s="106">
        <v>9.3127809464931488E-2</v>
      </c>
      <c r="Q24" s="3"/>
      <c r="R24" s="3"/>
    </row>
    <row r="25" spans="1:18" ht="14.45" customHeight="1" x14ac:dyDescent="0.25">
      <c r="A25" s="47" t="s">
        <v>67</v>
      </c>
      <c r="B25" s="21" t="s">
        <v>27</v>
      </c>
      <c r="C25" s="21" t="s">
        <v>27</v>
      </c>
      <c r="D25" s="21" t="s">
        <v>27</v>
      </c>
      <c r="E25" s="21" t="s">
        <v>27</v>
      </c>
      <c r="F25" s="21" t="s">
        <v>27</v>
      </c>
      <c r="G25" s="21" t="s">
        <v>27</v>
      </c>
      <c r="H25" s="21">
        <v>1.3447788543999195E-2</v>
      </c>
      <c r="I25" s="21">
        <v>1.2806873768568039E-2</v>
      </c>
      <c r="J25" s="21">
        <v>1.9127437844872475E-2</v>
      </c>
      <c r="K25" s="108">
        <v>6.592081394046545E-3</v>
      </c>
      <c r="L25" s="108">
        <v>8.4316451102495193E-3</v>
      </c>
      <c r="M25" s="108">
        <v>8.3129573613405228E-3</v>
      </c>
      <c r="N25" s="108">
        <v>8.2919364795088768E-3</v>
      </c>
      <c r="O25" s="108">
        <v>5.5699612945318222E-2</v>
      </c>
      <c r="P25" s="108">
        <v>4.4865168631076813E-2</v>
      </c>
      <c r="Q25" s="3"/>
      <c r="R25" s="3"/>
    </row>
    <row r="26" spans="1:18" ht="14.45" customHeight="1" x14ac:dyDescent="0.25">
      <c r="A26" s="48" t="s">
        <v>29</v>
      </c>
      <c r="B26" s="19" t="s">
        <v>27</v>
      </c>
      <c r="C26" s="19" t="s">
        <v>27</v>
      </c>
      <c r="D26" s="19" t="s">
        <v>27</v>
      </c>
      <c r="E26" s="19" t="s">
        <v>27</v>
      </c>
      <c r="F26" s="19" t="s">
        <v>27</v>
      </c>
      <c r="G26" s="19" t="s">
        <v>27</v>
      </c>
      <c r="H26" s="19">
        <v>3.0144450720399618E-3</v>
      </c>
      <c r="I26" s="19">
        <v>7.6844273135066032E-3</v>
      </c>
      <c r="J26" s="19">
        <v>5.0013675354421139E-3</v>
      </c>
      <c r="K26" s="106">
        <v>5.3005078807473183E-3</v>
      </c>
      <c r="L26" s="106">
        <v>2.2925699595361948E-3</v>
      </c>
      <c r="M26" s="106">
        <v>2.3529669269919395E-3</v>
      </c>
      <c r="N26" s="106">
        <v>2.1699210628867149E-3</v>
      </c>
      <c r="O26" s="106">
        <v>2.5323329493403435E-2</v>
      </c>
      <c r="P26" s="106">
        <v>3.3487401902675629E-2</v>
      </c>
      <c r="Q26" s="3"/>
      <c r="R26" s="3"/>
    </row>
    <row r="27" spans="1:18" ht="14.45" customHeight="1" x14ac:dyDescent="0.25">
      <c r="A27" s="47" t="s">
        <v>68</v>
      </c>
      <c r="B27" s="21" t="s">
        <v>27</v>
      </c>
      <c r="C27" s="21" t="s">
        <v>27</v>
      </c>
      <c r="D27" s="21" t="s">
        <v>27</v>
      </c>
      <c r="E27" s="21" t="s">
        <v>27</v>
      </c>
      <c r="F27" s="21" t="s">
        <v>27</v>
      </c>
      <c r="G27" s="21" t="s">
        <v>27</v>
      </c>
      <c r="H27" s="21">
        <v>1.8045877804979682E-3</v>
      </c>
      <c r="I27" s="21">
        <v>9.1193575644865632E-4</v>
      </c>
      <c r="J27" s="21">
        <v>1.2900664005428553E-3</v>
      </c>
      <c r="K27" s="108">
        <v>2.5669268798083067E-3</v>
      </c>
      <c r="L27" s="108">
        <v>0</v>
      </c>
      <c r="M27" s="108">
        <v>1.9908588728867471E-4</v>
      </c>
      <c r="N27" s="108">
        <v>2.6900388766080141E-3</v>
      </c>
      <c r="O27" s="108">
        <v>2.5233646854758263E-2</v>
      </c>
      <c r="P27" s="108">
        <v>2.7246935293078423E-2</v>
      </c>
      <c r="Q27" s="3"/>
      <c r="R27" s="3"/>
    </row>
    <row r="28" spans="1:18" ht="14.45" customHeight="1" x14ac:dyDescent="0.25">
      <c r="A28" s="53" t="s">
        <v>90</v>
      </c>
      <c r="B28" s="44" t="s">
        <v>27</v>
      </c>
      <c r="C28" s="44" t="s">
        <v>27</v>
      </c>
      <c r="D28" s="44" t="s">
        <v>27</v>
      </c>
      <c r="E28" s="44" t="s">
        <v>27</v>
      </c>
      <c r="F28" s="44" t="s">
        <v>27</v>
      </c>
      <c r="G28" s="44" t="s">
        <v>27</v>
      </c>
      <c r="H28" s="44">
        <v>2.535734383855015E-4</v>
      </c>
      <c r="I28" s="44">
        <v>4.0933066047728062E-3</v>
      </c>
      <c r="J28" s="44">
        <v>2.2342375013977289E-3</v>
      </c>
      <c r="K28" s="110">
        <v>1.8548498628661036E-3</v>
      </c>
      <c r="L28" s="110">
        <v>1.2765906285494566E-3</v>
      </c>
      <c r="M28" s="110">
        <v>1.4558557886630297E-3</v>
      </c>
      <c r="N28" s="110">
        <v>0</v>
      </c>
      <c r="O28" s="110">
        <v>1.8964784219861031E-2</v>
      </c>
      <c r="P28" s="110">
        <v>1.9873755052685738E-2</v>
      </c>
      <c r="Q28" s="3"/>
      <c r="R28" s="3"/>
    </row>
    <row r="29" spans="1:18" ht="14.45" customHeight="1" x14ac:dyDescent="0.25">
      <c r="A29" s="26" t="s">
        <v>98</v>
      </c>
      <c r="B29" s="21" t="s">
        <v>27</v>
      </c>
      <c r="C29" s="21" t="s">
        <v>27</v>
      </c>
      <c r="D29" s="21" t="s">
        <v>27</v>
      </c>
      <c r="E29" s="21" t="s">
        <v>27</v>
      </c>
      <c r="F29" s="21" t="s">
        <v>27</v>
      </c>
      <c r="G29" s="21" t="s">
        <v>27</v>
      </c>
      <c r="H29" s="21" t="s">
        <v>27</v>
      </c>
      <c r="I29" s="21" t="s">
        <v>27</v>
      </c>
      <c r="J29" s="21" t="s">
        <v>27</v>
      </c>
      <c r="K29" s="108" t="s">
        <v>27</v>
      </c>
      <c r="L29" s="108" t="s">
        <v>27</v>
      </c>
      <c r="M29" s="108" t="s">
        <v>27</v>
      </c>
      <c r="N29" s="108" t="s">
        <v>27</v>
      </c>
      <c r="O29" s="108" t="s">
        <v>27</v>
      </c>
      <c r="P29" s="108" t="s">
        <v>27</v>
      </c>
      <c r="Q29" s="3"/>
      <c r="R29" s="3"/>
    </row>
    <row r="30" spans="1:18" ht="14.45" customHeight="1" x14ac:dyDescent="0.25">
      <c r="A30" s="48" t="s">
        <v>89</v>
      </c>
      <c r="B30" s="19">
        <v>2.2811815142631531E-2</v>
      </c>
      <c r="C30" s="19">
        <v>3.4987185150384903E-2</v>
      </c>
      <c r="D30" s="19">
        <v>3.6336574703454971E-2</v>
      </c>
      <c r="E30" s="19">
        <v>4.404006153345108E-2</v>
      </c>
      <c r="F30" s="19">
        <v>3.9336796849966049E-2</v>
      </c>
      <c r="G30" s="19">
        <v>5.5489081889390945E-2</v>
      </c>
      <c r="H30" s="19">
        <v>6.9566063582897186E-2</v>
      </c>
      <c r="I30" s="19">
        <v>7.4399136006832123E-2</v>
      </c>
      <c r="J30" s="19">
        <v>6.2488831579685211E-2</v>
      </c>
      <c r="K30" s="106">
        <v>6.695207953453064E-2</v>
      </c>
      <c r="L30" s="106">
        <v>7.9467393457889557E-2</v>
      </c>
      <c r="M30" s="106">
        <v>6.2851771712303162E-2</v>
      </c>
      <c r="N30" s="106">
        <v>6.1822175979614258E-2</v>
      </c>
      <c r="O30" s="106">
        <v>5.8332458138465881E-2</v>
      </c>
      <c r="P30" s="106">
        <v>5.5988021194934845E-2</v>
      </c>
      <c r="Q30" s="3"/>
      <c r="R30" s="3"/>
    </row>
    <row r="31" spans="1:18" ht="14.45" customHeight="1" x14ac:dyDescent="0.25">
      <c r="A31" s="47" t="s">
        <v>67</v>
      </c>
      <c r="B31" s="21">
        <v>3.9921402931213379E-2</v>
      </c>
      <c r="C31" s="21">
        <v>6.183663010597229E-2</v>
      </c>
      <c r="D31" s="21">
        <v>3.4416437149047852E-2</v>
      </c>
      <c r="E31" s="21">
        <v>3.1076906248927116E-2</v>
      </c>
      <c r="F31" s="21">
        <v>3.3323381096124649E-2</v>
      </c>
      <c r="G31" s="21">
        <v>4.7509539872407913E-2</v>
      </c>
      <c r="H31" s="21">
        <v>4.9836333841085434E-2</v>
      </c>
      <c r="I31" s="21">
        <v>5.5848918855190277E-2</v>
      </c>
      <c r="J31" s="21">
        <v>5.8244328945875168E-2</v>
      </c>
      <c r="K31" s="108">
        <v>5.5550124496221542E-2</v>
      </c>
      <c r="L31" s="108">
        <v>7.1263641119003296E-2</v>
      </c>
      <c r="M31" s="108">
        <v>7.9245425760746002E-2</v>
      </c>
      <c r="N31" s="108">
        <v>5.5880099534988403E-2</v>
      </c>
      <c r="O31" s="108">
        <v>4.5887716114521027E-2</v>
      </c>
      <c r="P31" s="108">
        <v>6.6768892109394073E-2</v>
      </c>
      <c r="Q31" s="3"/>
      <c r="R31" s="3"/>
    </row>
    <row r="32" spans="1:18" ht="14.45" customHeight="1" x14ac:dyDescent="0.25">
      <c r="A32" s="48" t="s">
        <v>29</v>
      </c>
      <c r="B32" s="19">
        <v>2.1406913176178932E-2</v>
      </c>
      <c r="C32" s="19">
        <v>2.3587640374898911E-2</v>
      </c>
      <c r="D32" s="19">
        <v>1.093391515314579E-2</v>
      </c>
      <c r="E32" s="19">
        <v>2.8100673109292984E-2</v>
      </c>
      <c r="F32" s="19">
        <v>3.3384811133146286E-2</v>
      </c>
      <c r="G32" s="19">
        <v>4.0372774004936218E-2</v>
      </c>
      <c r="H32" s="19">
        <v>5.0114572048187256E-2</v>
      </c>
      <c r="I32" s="19">
        <v>5.9384901076555252E-2</v>
      </c>
      <c r="J32" s="19">
        <v>3.6386918276548386E-2</v>
      </c>
      <c r="K32" s="106">
        <v>4.7712609171867371E-2</v>
      </c>
      <c r="L32" s="106">
        <v>5.436750128865242E-2</v>
      </c>
      <c r="M32" s="106">
        <v>4.9709305167198181E-2</v>
      </c>
      <c r="N32" s="106">
        <v>4.3291933834552765E-2</v>
      </c>
      <c r="O32" s="106">
        <v>5.8877084404230118E-2</v>
      </c>
      <c r="P32" s="106">
        <v>3.7840016186237335E-2</v>
      </c>
      <c r="Q32" s="3"/>
      <c r="R32" s="3"/>
    </row>
    <row r="33" spans="1:18" ht="14.45" customHeight="1" x14ac:dyDescent="0.25">
      <c r="A33" s="52" t="s">
        <v>68</v>
      </c>
      <c r="B33" s="42">
        <v>2.1666441112756729E-2</v>
      </c>
      <c r="C33" s="42">
        <v>4.0503870695829391E-2</v>
      </c>
      <c r="D33" s="42">
        <v>1.9494025036692619E-2</v>
      </c>
      <c r="E33" s="42">
        <v>1.2407142668962479E-2</v>
      </c>
      <c r="F33" s="42">
        <v>1.6232481226325035E-2</v>
      </c>
      <c r="G33" s="42">
        <v>3.6317914724349976E-2</v>
      </c>
      <c r="H33" s="42">
        <v>4.3648764491081238E-2</v>
      </c>
      <c r="I33" s="42">
        <v>3.8824860006570816E-2</v>
      </c>
      <c r="J33" s="42">
        <v>5.4025817662477493E-2</v>
      </c>
      <c r="K33" s="112">
        <v>5.826510488986969E-2</v>
      </c>
      <c r="L33" s="112">
        <v>8.0919943749904633E-2</v>
      </c>
      <c r="M33" s="112">
        <v>7.0451296865940094E-2</v>
      </c>
      <c r="N33" s="112">
        <v>5.8164667338132858E-2</v>
      </c>
      <c r="O33" s="112">
        <v>5.1157724112272263E-2</v>
      </c>
      <c r="P33" s="112">
        <v>4.3992713093757629E-2</v>
      </c>
      <c r="Q33" s="3"/>
      <c r="R33" s="3"/>
    </row>
    <row r="34" spans="1:18" ht="14.45" customHeight="1" x14ac:dyDescent="0.25">
      <c r="A34" s="53" t="s">
        <v>90</v>
      </c>
      <c r="B34" s="44">
        <v>3.2555606216192245E-2</v>
      </c>
      <c r="C34" s="44">
        <v>6.4846426248550415E-2</v>
      </c>
      <c r="D34" s="44">
        <v>3.131561353802681E-2</v>
      </c>
      <c r="E34" s="44">
        <v>3.5795994102954865E-2</v>
      </c>
      <c r="F34" s="44">
        <v>2.0344741642475128E-2</v>
      </c>
      <c r="G34" s="44">
        <v>3.2902836799621582E-2</v>
      </c>
      <c r="H34" s="44">
        <v>4.5022446662187576E-2</v>
      </c>
      <c r="I34" s="44">
        <v>5.6632649153470993E-2</v>
      </c>
      <c r="J34" s="44">
        <v>4.4709611684083939E-2</v>
      </c>
      <c r="K34" s="110">
        <v>2.9822856187820435E-2</v>
      </c>
      <c r="L34" s="110">
        <v>3.3843684941530228E-2</v>
      </c>
      <c r="M34" s="110">
        <v>4.1182853281497955E-2</v>
      </c>
      <c r="N34" s="110">
        <v>4.025670513510704E-2</v>
      </c>
      <c r="O34" s="110">
        <v>4.344983771443367E-2</v>
      </c>
      <c r="P34" s="110">
        <v>4.7200851142406464E-2</v>
      </c>
      <c r="Q34" s="3"/>
      <c r="R34" s="3"/>
    </row>
    <row r="35" spans="1:18" ht="14.45" customHeight="1" x14ac:dyDescent="0.25">
      <c r="A35" s="26" t="s">
        <v>103</v>
      </c>
      <c r="B35" s="21" t="s">
        <v>27</v>
      </c>
      <c r="C35" s="21" t="s">
        <v>27</v>
      </c>
      <c r="D35" s="21" t="s">
        <v>27</v>
      </c>
      <c r="E35" s="21" t="s">
        <v>27</v>
      </c>
      <c r="F35" s="21" t="s">
        <v>27</v>
      </c>
      <c r="G35" s="21" t="s">
        <v>27</v>
      </c>
      <c r="H35" s="21" t="s">
        <v>27</v>
      </c>
      <c r="I35" s="21" t="s">
        <v>27</v>
      </c>
      <c r="J35" s="21" t="s">
        <v>27</v>
      </c>
      <c r="K35" s="108" t="s">
        <v>27</v>
      </c>
      <c r="L35" s="108" t="s">
        <v>27</v>
      </c>
      <c r="M35" s="108" t="s">
        <v>27</v>
      </c>
      <c r="N35" s="108" t="s">
        <v>27</v>
      </c>
      <c r="O35" s="108" t="s">
        <v>27</v>
      </c>
      <c r="P35" s="108" t="s">
        <v>27</v>
      </c>
      <c r="Q35" s="3"/>
      <c r="R35" s="3"/>
    </row>
    <row r="36" spans="1:18" ht="14.45" customHeight="1" x14ac:dyDescent="0.25">
      <c r="A36" s="48" t="s">
        <v>89</v>
      </c>
      <c r="B36" s="19">
        <v>7.6131440699100494E-2</v>
      </c>
      <c r="C36" s="19">
        <v>8.783586323261261E-2</v>
      </c>
      <c r="D36" s="19">
        <v>0.10041821002960205</v>
      </c>
      <c r="E36" s="19">
        <v>9.2877872288227081E-2</v>
      </c>
      <c r="F36" s="19">
        <v>0.13761976361274719</v>
      </c>
      <c r="G36" s="19">
        <v>0.13526031374931335</v>
      </c>
      <c r="H36" s="19">
        <v>0.14175458252429962</v>
      </c>
      <c r="I36" s="19">
        <v>0.12548193335533142</v>
      </c>
      <c r="J36" s="18">
        <v>0.10602846741676331</v>
      </c>
      <c r="K36" s="113">
        <v>0.10189885646104813</v>
      </c>
      <c r="L36" s="113">
        <v>0.10570386052131653</v>
      </c>
      <c r="M36" s="113">
        <v>0.10022372007369995</v>
      </c>
      <c r="N36" s="113">
        <v>8.3344288170337677E-2</v>
      </c>
      <c r="O36" s="113">
        <v>0.11652255058288574</v>
      </c>
      <c r="P36" s="113">
        <v>0.14089611172676086</v>
      </c>
    </row>
    <row r="37" spans="1:18" ht="14.45" customHeight="1" x14ac:dyDescent="0.25">
      <c r="A37" s="47" t="s">
        <v>67</v>
      </c>
      <c r="B37" s="21">
        <v>8.824152871966362E-3</v>
      </c>
      <c r="C37" s="21">
        <v>1.4953757636249065E-2</v>
      </c>
      <c r="D37" s="21">
        <v>1.924583874642849E-2</v>
      </c>
      <c r="E37" s="21">
        <v>2.900867722928524E-2</v>
      </c>
      <c r="F37" s="21">
        <v>3.2875608652830124E-2</v>
      </c>
      <c r="G37" s="21">
        <v>3.3566005527973175E-2</v>
      </c>
      <c r="H37" s="21">
        <v>3.4222457557916641E-2</v>
      </c>
      <c r="I37" s="21">
        <v>2.4630635976791382E-2</v>
      </c>
      <c r="J37" s="20">
        <v>2.9921108856797218E-2</v>
      </c>
      <c r="K37" s="114">
        <v>2.1220505237579346E-2</v>
      </c>
      <c r="L37" s="114">
        <v>1.9903743639588356E-2</v>
      </c>
      <c r="M37" s="114">
        <v>1.6977755352854729E-2</v>
      </c>
      <c r="N37" s="114">
        <v>1.5970854088664055E-2</v>
      </c>
      <c r="O37" s="114">
        <v>1.9706092774868011E-2</v>
      </c>
      <c r="P37" s="114">
        <v>2.8934959322214127E-2</v>
      </c>
    </row>
    <row r="38" spans="1:18" ht="14.45" customHeight="1" x14ac:dyDescent="0.25">
      <c r="A38" s="48" t="s">
        <v>29</v>
      </c>
      <c r="B38" s="19">
        <v>4.8135695978999138E-3</v>
      </c>
      <c r="C38" s="19">
        <v>9.0771699324250221E-3</v>
      </c>
      <c r="D38" s="19">
        <v>6.2876967713236809E-3</v>
      </c>
      <c r="E38" s="19">
        <v>1.0452018119394779E-2</v>
      </c>
      <c r="F38" s="19">
        <v>1.2402563355863094E-2</v>
      </c>
      <c r="G38" s="19">
        <v>1.393002737313509E-2</v>
      </c>
      <c r="H38" s="19">
        <v>1.1011548340320587E-2</v>
      </c>
      <c r="I38" s="19">
        <v>1.349626574665308E-2</v>
      </c>
      <c r="J38" s="18">
        <v>1.1110293678939342E-2</v>
      </c>
      <c r="K38" s="113">
        <v>9.3581490218639374E-3</v>
      </c>
      <c r="L38" s="113">
        <v>7.3070633225142956E-3</v>
      </c>
      <c r="M38" s="113">
        <v>6.0599078424274921E-3</v>
      </c>
      <c r="N38" s="113">
        <v>5.1685688085854053E-3</v>
      </c>
      <c r="O38" s="113">
        <v>8.1210276111960411E-3</v>
      </c>
      <c r="P38" s="113">
        <v>1.8469631671905518E-2</v>
      </c>
    </row>
    <row r="39" spans="1:18" ht="14.45" customHeight="1" x14ac:dyDescent="0.25">
      <c r="A39" s="47" t="s">
        <v>68</v>
      </c>
      <c r="B39" s="21">
        <v>3.4680049866437912E-3</v>
      </c>
      <c r="C39" s="21">
        <v>3.4964662045240402E-3</v>
      </c>
      <c r="D39" s="21">
        <v>3.0406340956687927E-3</v>
      </c>
      <c r="E39" s="21">
        <v>3.732392331585288E-3</v>
      </c>
      <c r="F39" s="21">
        <v>8.3259567618370056E-3</v>
      </c>
      <c r="G39" s="21">
        <v>4.0704268030822277E-3</v>
      </c>
      <c r="H39" s="21">
        <v>2.2265526931732893E-3</v>
      </c>
      <c r="I39" s="21">
        <v>3.787272609770298E-3</v>
      </c>
      <c r="J39" s="20">
        <v>3.6261032801121473E-3</v>
      </c>
      <c r="K39" s="114">
        <v>1.3197492808103561E-3</v>
      </c>
      <c r="L39" s="114">
        <v>2.0541462581604719E-3</v>
      </c>
      <c r="M39" s="114">
        <v>3.2711287494748831E-3</v>
      </c>
      <c r="N39" s="114">
        <v>2.8518913313746452E-3</v>
      </c>
      <c r="O39" s="114">
        <v>3.5548186860978603E-3</v>
      </c>
      <c r="P39" s="114">
        <v>2.0550996996462345E-3</v>
      </c>
    </row>
    <row r="40" spans="1:18" ht="14.45" customHeight="1" x14ac:dyDescent="0.25">
      <c r="A40" s="53" t="s">
        <v>90</v>
      </c>
      <c r="B40" s="44">
        <v>4.6400902792811394E-3</v>
      </c>
      <c r="C40" s="44">
        <v>2.8083920478820801E-3</v>
      </c>
      <c r="D40" s="44">
        <v>2.0551588386297226E-3</v>
      </c>
      <c r="E40" s="44">
        <v>0</v>
      </c>
      <c r="F40" s="44">
        <v>1.3586810091510415E-3</v>
      </c>
      <c r="G40" s="44">
        <v>0</v>
      </c>
      <c r="H40" s="44">
        <v>1.2013921514153481E-3</v>
      </c>
      <c r="I40" s="44">
        <v>1.4734170399606228E-3</v>
      </c>
      <c r="J40" s="45">
        <v>7.0510304067283869E-4</v>
      </c>
      <c r="K40" s="115">
        <v>0</v>
      </c>
      <c r="L40" s="115">
        <v>0</v>
      </c>
      <c r="M40" s="115">
        <v>0</v>
      </c>
      <c r="N40" s="115">
        <v>8.5402006516233087E-4</v>
      </c>
      <c r="O40" s="115">
        <v>2.3514246277045459E-4</v>
      </c>
      <c r="P40" s="115">
        <v>6.9528305903077126E-4</v>
      </c>
    </row>
    <row r="41" spans="1:18" ht="14.45" customHeight="1" x14ac:dyDescent="0.25">
      <c r="A41" s="26" t="s">
        <v>3</v>
      </c>
      <c r="B41" s="21" t="s">
        <v>27</v>
      </c>
      <c r="C41" s="21" t="s">
        <v>27</v>
      </c>
      <c r="D41" s="21" t="s">
        <v>27</v>
      </c>
      <c r="E41" s="21" t="s">
        <v>27</v>
      </c>
      <c r="F41" s="21" t="s">
        <v>27</v>
      </c>
      <c r="G41" s="21" t="s">
        <v>27</v>
      </c>
      <c r="H41" s="21" t="s">
        <v>27</v>
      </c>
      <c r="I41" s="21" t="s">
        <v>27</v>
      </c>
      <c r="J41" s="20" t="s">
        <v>27</v>
      </c>
      <c r="K41" s="114" t="s">
        <v>27</v>
      </c>
      <c r="L41" s="114" t="s">
        <v>27</v>
      </c>
      <c r="M41" s="114" t="s">
        <v>27</v>
      </c>
      <c r="N41" s="114" t="s">
        <v>27</v>
      </c>
      <c r="O41" s="114" t="s">
        <v>27</v>
      </c>
      <c r="P41" s="114" t="s">
        <v>27</v>
      </c>
    </row>
    <row r="42" spans="1:18" ht="14.45" customHeight="1" x14ac:dyDescent="0.25">
      <c r="A42" s="48" t="s">
        <v>89</v>
      </c>
      <c r="B42" s="19">
        <v>0.28864648938179016</v>
      </c>
      <c r="C42" s="19">
        <v>0.3303641676902771</v>
      </c>
      <c r="D42" s="19">
        <v>0.29981222748756409</v>
      </c>
      <c r="E42" s="19">
        <v>0.34328293800354004</v>
      </c>
      <c r="F42" s="19">
        <v>0.3542829155921936</v>
      </c>
      <c r="G42" s="19">
        <v>0.37040776014328003</v>
      </c>
      <c r="H42" s="19">
        <v>0.36283013224601746</v>
      </c>
      <c r="I42" s="19">
        <v>0.40801474452018738</v>
      </c>
      <c r="J42" s="18">
        <v>0.4078163206577301</v>
      </c>
      <c r="K42" s="113">
        <v>0.41498836874961853</v>
      </c>
      <c r="L42" s="113">
        <v>0.37455695867538452</v>
      </c>
      <c r="M42" s="113">
        <v>0.41066434979438782</v>
      </c>
      <c r="N42" s="113">
        <v>0.39368769526481628</v>
      </c>
      <c r="O42" s="113">
        <v>0.3871128261089325</v>
      </c>
      <c r="P42" s="113">
        <v>0.36710739135742188</v>
      </c>
    </row>
    <row r="43" spans="1:18" ht="14.45" customHeight="1" x14ac:dyDescent="0.25">
      <c r="A43" s="47" t="s">
        <v>67</v>
      </c>
      <c r="B43" s="21">
        <v>0.40856993198394775</v>
      </c>
      <c r="C43" s="21">
        <v>0.38421282172203064</v>
      </c>
      <c r="D43" s="21">
        <v>0.38513383269309998</v>
      </c>
      <c r="E43" s="21">
        <v>0.3823184072971344</v>
      </c>
      <c r="F43" s="21">
        <v>0.35510799288749695</v>
      </c>
      <c r="G43" s="21">
        <v>0.37931302189826965</v>
      </c>
      <c r="H43" s="21">
        <v>0.38366049528121948</v>
      </c>
      <c r="I43" s="21">
        <v>0.39385166764259338</v>
      </c>
      <c r="J43" s="20">
        <v>0.3897118866443634</v>
      </c>
      <c r="K43" s="114">
        <v>0.39927476644515991</v>
      </c>
      <c r="L43" s="114">
        <v>0.42640218138694763</v>
      </c>
      <c r="M43" s="114">
        <v>0.45301270484924316</v>
      </c>
      <c r="N43" s="114">
        <v>0.40724927186965942</v>
      </c>
      <c r="O43" s="114">
        <v>0.40001371502876282</v>
      </c>
      <c r="P43" s="114">
        <v>0.39479288458824158</v>
      </c>
    </row>
    <row r="44" spans="1:18" ht="14.45" customHeight="1" x14ac:dyDescent="0.25">
      <c r="A44" s="48" t="s">
        <v>29</v>
      </c>
      <c r="B44" s="19">
        <v>7.897987961769104E-2</v>
      </c>
      <c r="C44" s="19">
        <v>8.7347060441970825E-2</v>
      </c>
      <c r="D44" s="19">
        <v>8.2145430147647858E-2</v>
      </c>
      <c r="E44" s="19">
        <v>8.0590568482875824E-2</v>
      </c>
      <c r="F44" s="19">
        <v>9.3488290905952454E-2</v>
      </c>
      <c r="G44" s="19">
        <v>0.10504195839166641</v>
      </c>
      <c r="H44" s="19">
        <v>0.10272285342216492</v>
      </c>
      <c r="I44" s="19">
        <v>0.10095461457967758</v>
      </c>
      <c r="J44" s="18">
        <v>9.7092516720294952E-2</v>
      </c>
      <c r="K44" s="113">
        <v>0.11365560442209244</v>
      </c>
      <c r="L44" s="113">
        <v>0.12642802298069</v>
      </c>
      <c r="M44" s="113">
        <v>0.11432038247585297</v>
      </c>
      <c r="N44" s="113">
        <v>0.12768170237541199</v>
      </c>
      <c r="O44" s="113">
        <v>9.9641144275665283E-2</v>
      </c>
      <c r="P44" s="113">
        <v>9.4518832862377167E-2</v>
      </c>
    </row>
    <row r="45" spans="1:18" ht="14.45" customHeight="1" x14ac:dyDescent="0.25">
      <c r="A45" s="47" t="s">
        <v>68</v>
      </c>
      <c r="B45" s="21">
        <v>2.536015585064888E-2</v>
      </c>
      <c r="C45" s="21">
        <v>1.9634637981653214E-2</v>
      </c>
      <c r="D45" s="21">
        <v>4.7588523477315903E-2</v>
      </c>
      <c r="E45" s="21">
        <v>1.3777858577668667E-2</v>
      </c>
      <c r="F45" s="21">
        <v>2.0279115065932274E-2</v>
      </c>
      <c r="G45" s="21">
        <v>2.1354975178837776E-2</v>
      </c>
      <c r="H45" s="21">
        <v>2.4982945993542671E-2</v>
      </c>
      <c r="I45" s="21">
        <v>2.8678653761744499E-2</v>
      </c>
      <c r="J45" s="20">
        <v>2.6312995702028275E-2</v>
      </c>
      <c r="K45" s="114">
        <v>2.9013529419898987E-2</v>
      </c>
      <c r="L45" s="114">
        <v>3.4175936132669449E-2</v>
      </c>
      <c r="M45" s="114">
        <v>4.1271649301052094E-2</v>
      </c>
      <c r="N45" s="114">
        <v>2.8996789827942848E-2</v>
      </c>
      <c r="O45" s="114">
        <v>4.1084203869104385E-2</v>
      </c>
      <c r="P45" s="114">
        <v>3.5541154444217682E-2</v>
      </c>
    </row>
    <row r="46" spans="1:18" ht="14.45" customHeight="1" x14ac:dyDescent="0.25">
      <c r="A46" s="53" t="s">
        <v>90</v>
      </c>
      <c r="B46" s="44">
        <v>1.5735458582639694E-2</v>
      </c>
      <c r="C46" s="44">
        <v>6.761627271771431E-3</v>
      </c>
      <c r="D46" s="44">
        <v>1.2252533808350563E-2</v>
      </c>
      <c r="E46" s="44">
        <v>9.8760593682527542E-3</v>
      </c>
      <c r="F46" s="44">
        <v>7.8065111301839352E-3</v>
      </c>
      <c r="G46" s="44">
        <v>5.9600891545414925E-3</v>
      </c>
      <c r="H46" s="44">
        <v>7.9698283225297928E-3</v>
      </c>
      <c r="I46" s="44">
        <v>1.4880718663334846E-2</v>
      </c>
      <c r="J46" s="45">
        <v>1.246233657002449E-2</v>
      </c>
      <c r="K46" s="115">
        <v>1.3642528094351292E-2</v>
      </c>
      <c r="L46" s="115">
        <v>1.1714586988091469E-2</v>
      </c>
      <c r="M46" s="115">
        <v>1.4802242629230022E-2</v>
      </c>
      <c r="N46" s="115">
        <v>1.8152844160795212E-2</v>
      </c>
      <c r="O46" s="115">
        <v>1.596963033080101E-2</v>
      </c>
      <c r="P46" s="115">
        <v>1.5640629455447197E-2</v>
      </c>
    </row>
    <row r="47" spans="1:18" ht="14.45" customHeight="1" x14ac:dyDescent="0.25">
      <c r="A47" s="26" t="s">
        <v>4</v>
      </c>
      <c r="B47" s="21" t="s">
        <v>27</v>
      </c>
      <c r="C47" s="21" t="s">
        <v>27</v>
      </c>
      <c r="D47" s="21" t="s">
        <v>27</v>
      </c>
      <c r="E47" s="21" t="s">
        <v>27</v>
      </c>
      <c r="F47" s="21" t="s">
        <v>27</v>
      </c>
      <c r="G47" s="21" t="s">
        <v>27</v>
      </c>
      <c r="H47" s="21" t="s">
        <v>27</v>
      </c>
      <c r="I47" s="21" t="s">
        <v>27</v>
      </c>
      <c r="J47" s="20" t="s">
        <v>27</v>
      </c>
      <c r="K47" s="114" t="s">
        <v>27</v>
      </c>
      <c r="L47" s="114" t="s">
        <v>27</v>
      </c>
      <c r="M47" s="114" t="s">
        <v>27</v>
      </c>
      <c r="N47" s="114" t="s">
        <v>27</v>
      </c>
      <c r="O47" s="114" t="s">
        <v>27</v>
      </c>
      <c r="P47" s="114" t="s">
        <v>27</v>
      </c>
    </row>
    <row r="48" spans="1:18" ht="14.45" customHeight="1" x14ac:dyDescent="0.25">
      <c r="A48" s="48" t="s">
        <v>89</v>
      </c>
      <c r="B48" s="19">
        <v>5.4430469870567322E-2</v>
      </c>
      <c r="C48" s="19">
        <v>6.9064944982528687E-2</v>
      </c>
      <c r="D48" s="19">
        <v>5.3049076348543167E-2</v>
      </c>
      <c r="E48" s="19">
        <v>5.2055805921554565E-2</v>
      </c>
      <c r="F48" s="19">
        <v>5.5733866989612579E-2</v>
      </c>
      <c r="G48" s="19">
        <v>3.7479333579540253E-2</v>
      </c>
      <c r="H48" s="19">
        <v>3.5887159407138824E-2</v>
      </c>
      <c r="I48" s="19">
        <v>4.5464366674423218E-2</v>
      </c>
      <c r="J48" s="18">
        <v>4.1923139244318008E-2</v>
      </c>
      <c r="K48" s="113">
        <v>3.0648829415440559E-2</v>
      </c>
      <c r="L48" s="113">
        <v>3.2125987112522125E-2</v>
      </c>
      <c r="M48" s="113">
        <v>2.5853179395198822E-2</v>
      </c>
      <c r="N48" s="113">
        <v>2.6858014985918999E-2</v>
      </c>
      <c r="O48" s="113">
        <v>0.23746874928474426</v>
      </c>
      <c r="P48" s="113">
        <v>5.2531015127897263E-2</v>
      </c>
    </row>
    <row r="49" spans="1:16" ht="14.45" customHeight="1" x14ac:dyDescent="0.25">
      <c r="A49" s="47" t="s">
        <v>67</v>
      </c>
      <c r="B49" s="21">
        <v>1.5784883871674538E-2</v>
      </c>
      <c r="C49" s="21">
        <v>1.0772788897156715E-2</v>
      </c>
      <c r="D49" s="21">
        <v>1.8451148644089699E-2</v>
      </c>
      <c r="E49" s="21">
        <v>1.3689232990145683E-2</v>
      </c>
      <c r="F49" s="21">
        <v>1.8319979310035706E-2</v>
      </c>
      <c r="G49" s="21">
        <v>8.3754332736134529E-3</v>
      </c>
      <c r="H49" s="21">
        <v>1.1742182075977325E-2</v>
      </c>
      <c r="I49" s="21">
        <v>1.2366605922579765E-2</v>
      </c>
      <c r="J49" s="20">
        <v>8.5995374247431755E-3</v>
      </c>
      <c r="K49" s="114">
        <v>1.6964564099907875E-2</v>
      </c>
      <c r="L49" s="114">
        <v>1.1349073611199856E-2</v>
      </c>
      <c r="M49" s="114">
        <v>8.9091742411255836E-3</v>
      </c>
      <c r="N49" s="114">
        <v>5.0817015580832958E-3</v>
      </c>
      <c r="O49" s="114">
        <v>0.17001938819885254</v>
      </c>
      <c r="P49" s="114">
        <v>1.6352133825421333E-2</v>
      </c>
    </row>
    <row r="50" spans="1:16" ht="14.45" customHeight="1" x14ac:dyDescent="0.25">
      <c r="A50" s="48" t="s">
        <v>29</v>
      </c>
      <c r="B50" s="19">
        <v>1.0898418724536896E-2</v>
      </c>
      <c r="C50" s="19">
        <v>7.280910387635231E-3</v>
      </c>
      <c r="D50" s="19">
        <v>9.0127987787127495E-3</v>
      </c>
      <c r="E50" s="19">
        <v>3.6147572100162506E-3</v>
      </c>
      <c r="F50" s="19">
        <v>1.3544811867177486E-2</v>
      </c>
      <c r="G50" s="19">
        <v>4.7594085335731506E-3</v>
      </c>
      <c r="H50" s="19">
        <v>2.8358083218336105E-3</v>
      </c>
      <c r="I50" s="19">
        <v>8.2834316417574883E-3</v>
      </c>
      <c r="J50" s="18">
        <v>6.4123226329684258E-3</v>
      </c>
      <c r="K50" s="113">
        <v>3.2845588866621256E-3</v>
      </c>
      <c r="L50" s="113">
        <v>2.1386542357504368E-3</v>
      </c>
      <c r="M50" s="113">
        <v>1.3336400734260678E-3</v>
      </c>
      <c r="N50" s="113">
        <v>6.0529271140694618E-3</v>
      </c>
      <c r="O50" s="113">
        <v>0.11571163684129715</v>
      </c>
      <c r="P50" s="113">
        <v>6.9505446590483189E-3</v>
      </c>
    </row>
    <row r="51" spans="1:16" ht="14.45" customHeight="1" x14ac:dyDescent="0.25">
      <c r="A51" s="47" t="s">
        <v>68</v>
      </c>
      <c r="B51" s="21">
        <v>4.4412845745682716E-3</v>
      </c>
      <c r="C51" s="21">
        <v>2.4818496312946081E-3</v>
      </c>
      <c r="D51" s="21">
        <v>3.6980349104851484E-3</v>
      </c>
      <c r="E51" s="21">
        <v>1.474856398999691E-3</v>
      </c>
      <c r="F51" s="21">
        <v>6.5539227798581123E-3</v>
      </c>
      <c r="G51" s="21">
        <v>1.1571316281333566E-3</v>
      </c>
      <c r="H51" s="21">
        <v>2.499846275895834E-3</v>
      </c>
      <c r="I51" s="21">
        <v>1.6925452509894967E-3</v>
      </c>
      <c r="J51" s="20">
        <v>3.2976067159324884E-3</v>
      </c>
      <c r="K51" s="114">
        <v>4.6241092495620251E-3</v>
      </c>
      <c r="L51" s="114">
        <v>2.0323146600276232E-3</v>
      </c>
      <c r="M51" s="114">
        <v>9.7464188002049923E-4</v>
      </c>
      <c r="N51" s="114">
        <v>9.8450761288404465E-4</v>
      </c>
      <c r="O51" s="114">
        <v>5.8580931276082993E-2</v>
      </c>
      <c r="P51" s="114">
        <v>1.4843284152448177E-3</v>
      </c>
    </row>
    <row r="52" spans="1:16" ht="14.45" customHeight="1" x14ac:dyDescent="0.25">
      <c r="A52" s="53" t="s">
        <v>90</v>
      </c>
      <c r="B52" s="44">
        <v>9.9997723009437323E-4</v>
      </c>
      <c r="C52" s="44">
        <v>1.6032595885917544E-4</v>
      </c>
      <c r="D52" s="44">
        <v>1.2730945600196719E-3</v>
      </c>
      <c r="E52" s="44">
        <v>1.9555399194359779E-3</v>
      </c>
      <c r="F52" s="44">
        <v>3.4279795363545418E-3</v>
      </c>
      <c r="G52" s="44">
        <v>1.3866045628674328E-4</v>
      </c>
      <c r="H52" s="44">
        <v>8.2072668010368943E-4</v>
      </c>
      <c r="I52" s="44">
        <v>2.7105777990072966E-3</v>
      </c>
      <c r="J52" s="45">
        <v>0</v>
      </c>
      <c r="K52" s="115">
        <v>2.7158486773259938E-4</v>
      </c>
      <c r="L52" s="115">
        <v>1.2428605987224728E-4</v>
      </c>
      <c r="M52" s="115">
        <v>9.2667125863954425E-4</v>
      </c>
      <c r="N52" s="115">
        <v>4.5129816862754524E-4</v>
      </c>
      <c r="O52" s="115">
        <v>1.7668021842837334E-2</v>
      </c>
      <c r="P52" s="115">
        <v>5.4014811757951975E-4</v>
      </c>
    </row>
    <row r="53" spans="1:16" ht="14.45" customHeight="1" x14ac:dyDescent="0.25">
      <c r="A53" s="26" t="s">
        <v>5</v>
      </c>
      <c r="B53" s="21" t="s">
        <v>27</v>
      </c>
      <c r="C53" s="21" t="s">
        <v>27</v>
      </c>
      <c r="D53" s="21" t="s">
        <v>27</v>
      </c>
      <c r="E53" s="21" t="s">
        <v>27</v>
      </c>
      <c r="F53" s="21" t="s">
        <v>27</v>
      </c>
      <c r="G53" s="21" t="s">
        <v>27</v>
      </c>
      <c r="H53" s="21" t="s">
        <v>27</v>
      </c>
      <c r="I53" s="21" t="s">
        <v>27</v>
      </c>
      <c r="J53" s="20" t="s">
        <v>27</v>
      </c>
      <c r="K53" s="114" t="s">
        <v>27</v>
      </c>
      <c r="L53" s="114" t="s">
        <v>27</v>
      </c>
      <c r="M53" s="114" t="s">
        <v>27</v>
      </c>
      <c r="N53" s="114" t="s">
        <v>27</v>
      </c>
      <c r="O53" s="114" t="s">
        <v>27</v>
      </c>
      <c r="P53" s="114" t="s">
        <v>27</v>
      </c>
    </row>
    <row r="54" spans="1:16" ht="14.45" customHeight="1" x14ac:dyDescent="0.25">
      <c r="A54" s="48" t="s">
        <v>89</v>
      </c>
      <c r="B54" s="19">
        <v>0.50353443622589111</v>
      </c>
      <c r="C54" s="19">
        <v>0.4955214262008667</v>
      </c>
      <c r="D54" s="19">
        <v>0.48153448104858398</v>
      </c>
      <c r="E54" s="19">
        <v>0.49458110332489014</v>
      </c>
      <c r="F54" s="19">
        <v>0.53176921606063843</v>
      </c>
      <c r="G54" s="19">
        <v>0.52889031171798706</v>
      </c>
      <c r="H54" s="19">
        <v>0.56081682443618774</v>
      </c>
      <c r="I54" s="19">
        <v>0.57272911071777344</v>
      </c>
      <c r="J54" s="18">
        <v>0.54738074541091919</v>
      </c>
      <c r="K54" s="113">
        <v>0.54635083675384521</v>
      </c>
      <c r="L54" s="113">
        <v>0.53579407930374146</v>
      </c>
      <c r="M54" s="113">
        <v>0.51974397897720337</v>
      </c>
      <c r="N54" s="113">
        <v>0.54494446516036987</v>
      </c>
      <c r="O54" s="113">
        <v>0.56033414602279663</v>
      </c>
      <c r="P54" s="113">
        <v>0.58784663677215576</v>
      </c>
    </row>
    <row r="55" spans="1:16" ht="14.45" customHeight="1" x14ac:dyDescent="0.25">
      <c r="A55" s="47" t="s">
        <v>67</v>
      </c>
      <c r="B55" s="21">
        <v>0.15923790633678436</v>
      </c>
      <c r="C55" s="21">
        <v>0.17937813699245453</v>
      </c>
      <c r="D55" s="21">
        <v>0.17688016593456268</v>
      </c>
      <c r="E55" s="21">
        <v>0.18621519207954407</v>
      </c>
      <c r="F55" s="21">
        <v>0.17207759618759155</v>
      </c>
      <c r="G55" s="21">
        <v>0.18582643568515778</v>
      </c>
      <c r="H55" s="21">
        <v>0.20246423780918121</v>
      </c>
      <c r="I55" s="21">
        <v>0.2129349410533905</v>
      </c>
      <c r="J55" s="20">
        <v>0.2162688821554184</v>
      </c>
      <c r="K55" s="114">
        <v>0.19915956258773804</v>
      </c>
      <c r="L55" s="114">
        <v>0.20762233436107635</v>
      </c>
      <c r="M55" s="114">
        <v>0.23398630321025848</v>
      </c>
      <c r="N55" s="114">
        <v>0.22912545502185822</v>
      </c>
      <c r="O55" s="114">
        <v>0.19554713368415833</v>
      </c>
      <c r="P55" s="114">
        <v>0.21323218941688538</v>
      </c>
    </row>
    <row r="56" spans="1:16" ht="14.45" customHeight="1" x14ac:dyDescent="0.25">
      <c r="A56" s="48" t="s">
        <v>29</v>
      </c>
      <c r="B56" s="19">
        <v>7.8125163912773132E-2</v>
      </c>
      <c r="C56" s="19">
        <v>7.0695348083972931E-2</v>
      </c>
      <c r="D56" s="19">
        <v>7.5666971504688263E-2</v>
      </c>
      <c r="E56" s="19">
        <v>7.8214459121227264E-2</v>
      </c>
      <c r="F56" s="19">
        <v>8.6562171578407288E-2</v>
      </c>
      <c r="G56" s="19">
        <v>7.8474923968315125E-2</v>
      </c>
      <c r="H56" s="19">
        <v>7.8703813254833221E-2</v>
      </c>
      <c r="I56" s="19">
        <v>8.5221849381923676E-2</v>
      </c>
      <c r="J56" s="18">
        <v>9.7352348268032074E-2</v>
      </c>
      <c r="K56" s="113">
        <v>6.1939463019371033E-2</v>
      </c>
      <c r="L56" s="113">
        <v>6.8781077861785889E-2</v>
      </c>
      <c r="M56" s="113">
        <v>6.8471215665340424E-2</v>
      </c>
      <c r="N56" s="113">
        <v>6.0603544116020203E-2</v>
      </c>
      <c r="O56" s="113">
        <v>7.1243405342102051E-2</v>
      </c>
      <c r="P56" s="113">
        <v>6.4024902880191803E-2</v>
      </c>
    </row>
    <row r="57" spans="1:16" ht="14.45" customHeight="1" x14ac:dyDescent="0.25">
      <c r="A57" s="47" t="s">
        <v>68</v>
      </c>
      <c r="B57" s="21">
        <v>4.9313891679048538E-2</v>
      </c>
      <c r="C57" s="21">
        <v>5.2246112376451492E-2</v>
      </c>
      <c r="D57" s="21">
        <v>4.9168087542057037E-2</v>
      </c>
      <c r="E57" s="21">
        <v>5.2378594875335693E-2</v>
      </c>
      <c r="F57" s="21">
        <v>4.8670500516891479E-2</v>
      </c>
      <c r="G57" s="21">
        <v>5.6337878108024597E-2</v>
      </c>
      <c r="H57" s="21">
        <v>4.6241011470556259E-2</v>
      </c>
      <c r="I57" s="21">
        <v>4.4038146734237671E-2</v>
      </c>
      <c r="J57" s="20">
        <v>4.0944948792457581E-2</v>
      </c>
      <c r="K57" s="114">
        <v>2.9095320031046867E-2</v>
      </c>
      <c r="L57" s="114">
        <v>3.5200715065002441E-2</v>
      </c>
      <c r="M57" s="114">
        <v>4.3298058211803436E-2</v>
      </c>
      <c r="N57" s="114">
        <v>3.36008220911026E-2</v>
      </c>
      <c r="O57" s="114">
        <v>3.2455559819936752E-2</v>
      </c>
      <c r="P57" s="114">
        <v>3.2615136355161667E-2</v>
      </c>
    </row>
    <row r="58" spans="1:16" ht="14.45" customHeight="1" x14ac:dyDescent="0.25">
      <c r="A58" s="53" t="s">
        <v>90</v>
      </c>
      <c r="B58" s="44">
        <v>2.9284166172146797E-2</v>
      </c>
      <c r="C58" s="44">
        <v>2.2262385115027428E-2</v>
      </c>
      <c r="D58" s="44">
        <v>2.7924727648496628E-2</v>
      </c>
      <c r="E58" s="44">
        <v>2.419176883995533E-2</v>
      </c>
      <c r="F58" s="44">
        <v>2.0556548610329628E-2</v>
      </c>
      <c r="G58" s="44">
        <v>2.7807971462607384E-2</v>
      </c>
      <c r="H58" s="44">
        <v>2.589200995862484E-2</v>
      </c>
      <c r="I58" s="44">
        <v>2.8756437823176384E-2</v>
      </c>
      <c r="J58" s="45">
        <v>2.308189868927002E-2</v>
      </c>
      <c r="K58" s="115">
        <v>2.4811919778585434E-2</v>
      </c>
      <c r="L58" s="115">
        <v>2.3635171353816986E-2</v>
      </c>
      <c r="M58" s="115">
        <v>1.6131525859236717E-2</v>
      </c>
      <c r="N58" s="115">
        <v>1.8328290432691574E-2</v>
      </c>
      <c r="O58" s="115">
        <v>2.1119799464941025E-2</v>
      </c>
      <c r="P58" s="115">
        <v>2.0671835169196129E-2</v>
      </c>
    </row>
    <row r="59" spans="1:16" ht="14.45" customHeight="1" x14ac:dyDescent="0.25">
      <c r="A59" s="26" t="s">
        <v>6</v>
      </c>
      <c r="B59" s="21" t="s">
        <v>27</v>
      </c>
      <c r="C59" s="21" t="s">
        <v>27</v>
      </c>
      <c r="D59" s="21" t="s">
        <v>27</v>
      </c>
      <c r="E59" s="21" t="s">
        <v>27</v>
      </c>
      <c r="F59" s="21" t="s">
        <v>27</v>
      </c>
      <c r="G59" s="21" t="s">
        <v>27</v>
      </c>
      <c r="H59" s="21" t="s">
        <v>27</v>
      </c>
      <c r="I59" s="21" t="s">
        <v>27</v>
      </c>
      <c r="J59" s="20" t="s">
        <v>27</v>
      </c>
      <c r="K59" s="114" t="s">
        <v>27</v>
      </c>
      <c r="L59" s="114" t="s">
        <v>27</v>
      </c>
      <c r="M59" s="114" t="s">
        <v>27</v>
      </c>
      <c r="N59" s="114" t="s">
        <v>27</v>
      </c>
      <c r="O59" s="114" t="s">
        <v>27</v>
      </c>
      <c r="P59" s="114" t="s">
        <v>27</v>
      </c>
    </row>
    <row r="60" spans="1:16" ht="14.45" customHeight="1" x14ac:dyDescent="0.25">
      <c r="A60" s="48" t="s">
        <v>89</v>
      </c>
      <c r="B60" s="19">
        <v>0.63401538133621216</v>
      </c>
      <c r="C60" s="19">
        <v>0.5447380542755127</v>
      </c>
      <c r="D60" s="19">
        <v>0.52063405513763428</v>
      </c>
      <c r="E60" s="19">
        <v>0.52139955759048462</v>
      </c>
      <c r="F60" s="19">
        <v>0.49433770775794983</v>
      </c>
      <c r="G60" s="19">
        <v>0.5162276029586792</v>
      </c>
      <c r="H60" s="19">
        <v>0.52089184522628784</v>
      </c>
      <c r="I60" s="19">
        <v>0.55660980939865112</v>
      </c>
      <c r="J60" s="18">
        <v>0.54783791303634644</v>
      </c>
      <c r="K60" s="113">
        <v>0.54394948482513428</v>
      </c>
      <c r="L60" s="113">
        <v>0.54275071620941162</v>
      </c>
      <c r="M60" s="113">
        <v>0.53246688842773438</v>
      </c>
      <c r="N60" s="113">
        <v>0.52343529462814331</v>
      </c>
      <c r="O60" s="113">
        <v>0.51255035400390625</v>
      </c>
      <c r="P60" s="113">
        <v>0.5264124870300293</v>
      </c>
    </row>
    <row r="61" spans="1:16" ht="14.45" customHeight="1" x14ac:dyDescent="0.25">
      <c r="A61" s="47" t="s">
        <v>67</v>
      </c>
      <c r="B61" s="21">
        <v>0.29072234034538269</v>
      </c>
      <c r="C61" s="21">
        <v>0.31114590167999268</v>
      </c>
      <c r="D61" s="21">
        <v>0.33477896451950073</v>
      </c>
      <c r="E61" s="21">
        <v>0.27475935220718384</v>
      </c>
      <c r="F61" s="21">
        <v>0.2594180703163147</v>
      </c>
      <c r="G61" s="21">
        <v>0.27901914715766907</v>
      </c>
      <c r="H61" s="21">
        <v>0.31161212921142578</v>
      </c>
      <c r="I61" s="21">
        <v>0.36992812156677246</v>
      </c>
      <c r="J61" s="20">
        <v>0.3803686797618866</v>
      </c>
      <c r="K61" s="114">
        <v>0.25684267282485962</v>
      </c>
      <c r="L61" s="114">
        <v>0.25363722443580627</v>
      </c>
      <c r="M61" s="114">
        <v>0.24143753945827484</v>
      </c>
      <c r="N61" s="114">
        <v>0.21134339272975922</v>
      </c>
      <c r="O61" s="114">
        <v>0.19668182730674744</v>
      </c>
      <c r="P61" s="114">
        <v>0.20299519598484039</v>
      </c>
    </row>
    <row r="62" spans="1:16" ht="14.45" customHeight="1" x14ac:dyDescent="0.25">
      <c r="A62" s="48" t="s">
        <v>29</v>
      </c>
      <c r="B62" s="19">
        <v>0.1366531103849411</v>
      </c>
      <c r="C62" s="19">
        <v>0.1764349639415741</v>
      </c>
      <c r="D62" s="19">
        <v>0.19539913535118103</v>
      </c>
      <c r="E62" s="19">
        <v>0.17305721342563629</v>
      </c>
      <c r="F62" s="19">
        <v>0.17770324647426605</v>
      </c>
      <c r="G62" s="19">
        <v>0.17874976992607117</v>
      </c>
      <c r="H62" s="19">
        <v>0.23158223927021027</v>
      </c>
      <c r="I62" s="19">
        <v>0.22146116197109222</v>
      </c>
      <c r="J62" s="18">
        <v>0.25340253114700317</v>
      </c>
      <c r="K62" s="113">
        <v>0.14449575543403625</v>
      </c>
      <c r="L62" s="113">
        <v>0.1117863655090332</v>
      </c>
      <c r="M62" s="113">
        <v>8.8877268135547638E-2</v>
      </c>
      <c r="N62" s="113">
        <v>9.3411408364772797E-2</v>
      </c>
      <c r="O62" s="113">
        <v>0.10031475126743317</v>
      </c>
      <c r="P62" s="113">
        <v>8.2564786076545715E-2</v>
      </c>
    </row>
    <row r="63" spans="1:16" ht="14.45" customHeight="1" x14ac:dyDescent="0.25">
      <c r="A63" s="47" t="s">
        <v>68</v>
      </c>
      <c r="B63" s="21">
        <v>5.8908127248287201E-2</v>
      </c>
      <c r="C63" s="21">
        <v>0.10164287686347961</v>
      </c>
      <c r="D63" s="21">
        <v>0.10759829729795456</v>
      </c>
      <c r="E63" s="21">
        <v>0.10846796631813049</v>
      </c>
      <c r="F63" s="21">
        <v>7.7103249728679657E-2</v>
      </c>
      <c r="G63" s="21">
        <v>0.10977593809366226</v>
      </c>
      <c r="H63" s="21">
        <v>0.11373905837535858</v>
      </c>
      <c r="I63" s="21">
        <v>0.14572504162788391</v>
      </c>
      <c r="J63" s="20">
        <v>0.14199590682983398</v>
      </c>
      <c r="K63" s="114">
        <v>6.0399774461984634E-2</v>
      </c>
      <c r="L63" s="114">
        <v>7.1056954562664032E-2</v>
      </c>
      <c r="M63" s="114">
        <v>4.7708507627248764E-2</v>
      </c>
      <c r="N63" s="114">
        <v>7.3763683438301086E-2</v>
      </c>
      <c r="O63" s="114">
        <v>7.0971712470054626E-2</v>
      </c>
      <c r="P63" s="114">
        <v>5.1627565175294876E-2</v>
      </c>
    </row>
    <row r="64" spans="1:16" ht="14.45" customHeight="1" x14ac:dyDescent="0.25">
      <c r="A64" s="53" t="s">
        <v>90</v>
      </c>
      <c r="B64" s="44">
        <v>4.1292760521173477E-2</v>
      </c>
      <c r="C64" s="44">
        <v>8.0327443778514862E-2</v>
      </c>
      <c r="D64" s="44">
        <v>7.1697428822517395E-2</v>
      </c>
      <c r="E64" s="44">
        <v>6.3359953463077545E-2</v>
      </c>
      <c r="F64" s="44">
        <v>4.8663787543773651E-2</v>
      </c>
      <c r="G64" s="44">
        <v>6.7727133631706238E-2</v>
      </c>
      <c r="H64" s="44">
        <v>5.7424485683441162E-2</v>
      </c>
      <c r="I64" s="44">
        <v>7.7380485832691193E-2</v>
      </c>
      <c r="J64" s="45">
        <v>8.5683993995189667E-2</v>
      </c>
      <c r="K64" s="115">
        <v>3.8692865520715714E-2</v>
      </c>
      <c r="L64" s="115">
        <v>6.63885697722435E-2</v>
      </c>
      <c r="M64" s="115">
        <v>5.2744470536708832E-2</v>
      </c>
      <c r="N64" s="115">
        <v>8.4746994078159332E-2</v>
      </c>
      <c r="O64" s="115">
        <v>6.7192181944847107E-2</v>
      </c>
      <c r="P64" s="115">
        <v>6.2930278480052948E-2</v>
      </c>
    </row>
    <row r="65" spans="1:16" ht="14.45" customHeight="1" x14ac:dyDescent="0.25">
      <c r="A65" s="26" t="s">
        <v>39</v>
      </c>
      <c r="B65" s="21" t="s">
        <v>27</v>
      </c>
      <c r="C65" s="21" t="s">
        <v>27</v>
      </c>
      <c r="D65" s="21" t="s">
        <v>27</v>
      </c>
      <c r="E65" s="21" t="s">
        <v>27</v>
      </c>
      <c r="F65" s="21" t="s">
        <v>27</v>
      </c>
      <c r="G65" s="21" t="s">
        <v>27</v>
      </c>
      <c r="H65" s="21" t="s">
        <v>27</v>
      </c>
      <c r="I65" s="21" t="s">
        <v>27</v>
      </c>
      <c r="J65" s="20" t="s">
        <v>27</v>
      </c>
      <c r="K65" s="114" t="s">
        <v>27</v>
      </c>
      <c r="L65" s="114" t="s">
        <v>27</v>
      </c>
      <c r="M65" s="114" t="s">
        <v>27</v>
      </c>
      <c r="N65" s="114" t="s">
        <v>27</v>
      </c>
      <c r="O65" s="114" t="s">
        <v>27</v>
      </c>
      <c r="P65" s="114" t="s">
        <v>27</v>
      </c>
    </row>
    <row r="66" spans="1:16" ht="14.45" customHeight="1" x14ac:dyDescent="0.25">
      <c r="A66" s="48" t="s">
        <v>89</v>
      </c>
      <c r="B66" s="19" t="s">
        <v>27</v>
      </c>
      <c r="C66" s="19" t="s">
        <v>27</v>
      </c>
      <c r="D66" s="19" t="s">
        <v>27</v>
      </c>
      <c r="E66" s="19" t="s">
        <v>27</v>
      </c>
      <c r="F66" s="19" t="s">
        <v>27</v>
      </c>
      <c r="G66" s="19">
        <v>0.33078345656394958</v>
      </c>
      <c r="H66" s="19">
        <v>0.3054938018321991</v>
      </c>
      <c r="I66" s="19">
        <v>0.27793201804161072</v>
      </c>
      <c r="J66" s="18">
        <v>0.28322485089302063</v>
      </c>
      <c r="K66" s="113">
        <v>0.2591274082660675</v>
      </c>
      <c r="L66" s="113">
        <v>0.19706371426582336</v>
      </c>
      <c r="M66" s="113">
        <v>0.19973368942737579</v>
      </c>
      <c r="N66" s="113">
        <v>0.18120947480201721</v>
      </c>
      <c r="O66" s="113">
        <v>0.23605501651763916</v>
      </c>
      <c r="P66" s="113">
        <v>0.33211302757263184</v>
      </c>
    </row>
    <row r="67" spans="1:16" ht="14.45" customHeight="1" x14ac:dyDescent="0.25">
      <c r="A67" s="47" t="s">
        <v>67</v>
      </c>
      <c r="B67" s="21" t="s">
        <v>27</v>
      </c>
      <c r="C67" s="21" t="s">
        <v>27</v>
      </c>
      <c r="D67" s="21" t="s">
        <v>27</v>
      </c>
      <c r="E67" s="21" t="s">
        <v>27</v>
      </c>
      <c r="F67" s="21" t="s">
        <v>27</v>
      </c>
      <c r="G67" s="21">
        <v>6.1131712049245834E-2</v>
      </c>
      <c r="H67" s="21">
        <v>6.1052758246660233E-2</v>
      </c>
      <c r="I67" s="21">
        <v>5.6304555386304855E-2</v>
      </c>
      <c r="J67" s="20">
        <v>4.627995565533638E-2</v>
      </c>
      <c r="K67" s="114">
        <v>3.6092489957809448E-2</v>
      </c>
      <c r="L67" s="114">
        <v>9.3035697937011719E-2</v>
      </c>
      <c r="M67" s="114">
        <v>0.11454026401042938</v>
      </c>
      <c r="N67" s="114">
        <v>0.10475983470678329</v>
      </c>
      <c r="O67" s="114">
        <v>0.11317251622676849</v>
      </c>
      <c r="P67" s="114">
        <v>0.12455089390277863</v>
      </c>
    </row>
    <row r="68" spans="1:16" ht="14.45" customHeight="1" x14ac:dyDescent="0.25">
      <c r="A68" s="48" t="s">
        <v>29</v>
      </c>
      <c r="B68" s="19" t="s">
        <v>27</v>
      </c>
      <c r="C68" s="19" t="s">
        <v>27</v>
      </c>
      <c r="D68" s="19" t="s">
        <v>27</v>
      </c>
      <c r="E68" s="19" t="s">
        <v>27</v>
      </c>
      <c r="F68" s="19" t="s">
        <v>27</v>
      </c>
      <c r="G68" s="19">
        <v>1.5207120217382908E-2</v>
      </c>
      <c r="H68" s="19">
        <v>1.3935219496488571E-2</v>
      </c>
      <c r="I68" s="19">
        <v>1.4251123182475567E-2</v>
      </c>
      <c r="J68" s="18">
        <v>1.3379181735217571E-2</v>
      </c>
      <c r="K68" s="113">
        <v>9.6965683624148369E-3</v>
      </c>
      <c r="L68" s="113">
        <v>4.3225903064012527E-2</v>
      </c>
      <c r="M68" s="113">
        <v>5.2493084222078323E-2</v>
      </c>
      <c r="N68" s="113">
        <v>5.1364857703447342E-2</v>
      </c>
      <c r="O68" s="113">
        <v>6.6801205277442932E-2</v>
      </c>
      <c r="P68" s="113">
        <v>6.8326123058795929E-2</v>
      </c>
    </row>
    <row r="69" spans="1:16" ht="14.45" customHeight="1" x14ac:dyDescent="0.25">
      <c r="A69" s="47" t="s">
        <v>68</v>
      </c>
      <c r="B69" s="21" t="s">
        <v>27</v>
      </c>
      <c r="C69" s="21" t="s">
        <v>27</v>
      </c>
      <c r="D69" s="21" t="s">
        <v>27</v>
      </c>
      <c r="E69" s="21" t="s">
        <v>27</v>
      </c>
      <c r="F69" s="21" t="s">
        <v>27</v>
      </c>
      <c r="G69" s="21">
        <v>3.2383732032030821E-3</v>
      </c>
      <c r="H69" s="21">
        <v>5.2007636986672878E-3</v>
      </c>
      <c r="I69" s="21">
        <v>6.5496368333697319E-3</v>
      </c>
      <c r="J69" s="20">
        <v>4.8065022565424442E-3</v>
      </c>
      <c r="K69" s="114">
        <v>4.0559219196438789E-3</v>
      </c>
      <c r="L69" s="114">
        <v>4.0360335260629654E-2</v>
      </c>
      <c r="M69" s="114">
        <v>3.7457127124071121E-2</v>
      </c>
      <c r="N69" s="114">
        <v>2.5141764432191849E-2</v>
      </c>
      <c r="O69" s="114">
        <v>3.4340187907218933E-2</v>
      </c>
      <c r="P69" s="114">
        <v>5.2497632801532745E-2</v>
      </c>
    </row>
    <row r="70" spans="1:16" ht="14.45" customHeight="1" x14ac:dyDescent="0.25">
      <c r="A70" s="53" t="s">
        <v>90</v>
      </c>
      <c r="B70" s="44" t="s">
        <v>27</v>
      </c>
      <c r="C70" s="44" t="s">
        <v>27</v>
      </c>
      <c r="D70" s="44" t="s">
        <v>27</v>
      </c>
      <c r="E70" s="44" t="s">
        <v>27</v>
      </c>
      <c r="F70" s="44" t="s">
        <v>27</v>
      </c>
      <c r="G70" s="44">
        <v>2.9881743248552084E-3</v>
      </c>
      <c r="H70" s="44">
        <v>5.0319284200668335E-3</v>
      </c>
      <c r="I70" s="44">
        <v>7.2715519927442074E-3</v>
      </c>
      <c r="J70" s="45">
        <v>4.203207790851593E-3</v>
      </c>
      <c r="K70" s="115">
        <v>1.7306403024122119E-3</v>
      </c>
      <c r="L70" s="115">
        <v>3.0359113588929176E-2</v>
      </c>
      <c r="M70" s="115">
        <v>2.344115637242794E-2</v>
      </c>
      <c r="N70" s="115">
        <v>1.6268206760287285E-2</v>
      </c>
      <c r="O70" s="115">
        <v>2.2752190008759499E-2</v>
      </c>
      <c r="P70" s="115">
        <v>4.7615185379981995E-2</v>
      </c>
    </row>
    <row r="71" spans="1:16" ht="14.45" customHeight="1" x14ac:dyDescent="0.25">
      <c r="A71" s="26" t="s">
        <v>7</v>
      </c>
      <c r="B71" s="21" t="s">
        <v>27</v>
      </c>
      <c r="C71" s="21" t="s">
        <v>27</v>
      </c>
      <c r="D71" s="21" t="s">
        <v>27</v>
      </c>
      <c r="E71" s="21" t="s">
        <v>27</v>
      </c>
      <c r="F71" s="21" t="s">
        <v>27</v>
      </c>
      <c r="G71" s="21" t="s">
        <v>27</v>
      </c>
      <c r="H71" s="21" t="s">
        <v>27</v>
      </c>
      <c r="I71" s="21" t="s">
        <v>27</v>
      </c>
      <c r="J71" s="20" t="s">
        <v>27</v>
      </c>
      <c r="K71" s="114" t="s">
        <v>27</v>
      </c>
      <c r="L71" s="114" t="s">
        <v>27</v>
      </c>
      <c r="M71" s="114" t="s">
        <v>27</v>
      </c>
      <c r="N71" s="114" t="s">
        <v>27</v>
      </c>
      <c r="O71" s="114" t="s">
        <v>27</v>
      </c>
      <c r="P71" s="114" t="s">
        <v>27</v>
      </c>
    </row>
    <row r="72" spans="1:16" ht="14.45" customHeight="1" x14ac:dyDescent="0.25">
      <c r="A72" s="48" t="s">
        <v>89</v>
      </c>
      <c r="B72" s="19">
        <v>8.974151685833931E-3</v>
      </c>
      <c r="C72" s="19">
        <v>8.3560356870293617E-3</v>
      </c>
      <c r="D72" s="19">
        <v>7.7191309537738562E-4</v>
      </c>
      <c r="E72" s="19">
        <v>2.3213562089949846E-3</v>
      </c>
      <c r="F72" s="19">
        <v>0</v>
      </c>
      <c r="G72" s="19">
        <v>1.3571252347901464E-3</v>
      </c>
      <c r="H72" s="19">
        <v>1.8086596392095089E-3</v>
      </c>
      <c r="I72" s="19">
        <v>0</v>
      </c>
      <c r="J72" s="18">
        <v>0</v>
      </c>
      <c r="K72" s="113">
        <v>9.7507694736123085E-3</v>
      </c>
      <c r="L72" s="113">
        <v>5.0326308701187372E-4</v>
      </c>
      <c r="M72" s="113">
        <v>8.0542033538222313E-4</v>
      </c>
      <c r="N72" s="113">
        <v>2.3595495149493217E-3</v>
      </c>
      <c r="O72" s="113">
        <v>2.3023053072392941E-3</v>
      </c>
      <c r="P72" s="113">
        <v>2.4871486239135265E-3</v>
      </c>
    </row>
    <row r="73" spans="1:16" ht="14.45" customHeight="1" x14ac:dyDescent="0.25">
      <c r="A73" s="47" t="s">
        <v>67</v>
      </c>
      <c r="B73" s="21">
        <v>2.3067189380526543E-2</v>
      </c>
      <c r="C73" s="21">
        <v>1.0994289070367813E-2</v>
      </c>
      <c r="D73" s="21">
        <v>2.1461318247020245E-3</v>
      </c>
      <c r="E73" s="21">
        <v>2.7335050981491804E-3</v>
      </c>
      <c r="F73" s="21">
        <v>5.2979942411184311E-3</v>
      </c>
      <c r="G73" s="21">
        <v>2.8328611515462399E-3</v>
      </c>
      <c r="H73" s="21">
        <v>3.6294832825660706E-3</v>
      </c>
      <c r="I73" s="21">
        <v>0</v>
      </c>
      <c r="J73" s="20">
        <v>5.3824966016691178E-5</v>
      </c>
      <c r="K73" s="114">
        <v>5.9671537019312382E-3</v>
      </c>
      <c r="L73" s="114">
        <v>1.2101861648261547E-3</v>
      </c>
      <c r="M73" s="114">
        <v>2.7416078373789787E-3</v>
      </c>
      <c r="N73" s="114">
        <v>1.9047466339543462E-3</v>
      </c>
      <c r="O73" s="114">
        <v>3.6111762747168541E-3</v>
      </c>
      <c r="P73" s="114">
        <v>2.0807231776416302E-3</v>
      </c>
    </row>
    <row r="74" spans="1:16" ht="14.45" customHeight="1" x14ac:dyDescent="0.25">
      <c r="A74" s="48" t="s">
        <v>29</v>
      </c>
      <c r="B74" s="19">
        <v>2.2241044789552689E-2</v>
      </c>
      <c r="C74" s="19">
        <v>5.5306386202573776E-3</v>
      </c>
      <c r="D74" s="19">
        <v>4.334667231887579E-3</v>
      </c>
      <c r="E74" s="19">
        <v>2.1132098045200109E-3</v>
      </c>
      <c r="F74" s="19">
        <v>6.9932360202074051E-4</v>
      </c>
      <c r="G74" s="19">
        <v>7.4800837319344282E-4</v>
      </c>
      <c r="H74" s="19">
        <v>8.1282161409035325E-4</v>
      </c>
      <c r="I74" s="19">
        <v>7.6704920502379537E-5</v>
      </c>
      <c r="J74" s="18">
        <v>0</v>
      </c>
      <c r="K74" s="113">
        <v>2.9380405321717262E-3</v>
      </c>
      <c r="L74" s="113">
        <v>1.5015876851975918E-3</v>
      </c>
      <c r="M74" s="113">
        <v>6.5786123741418123E-4</v>
      </c>
      <c r="N74" s="113">
        <v>5.0504511455073953E-4</v>
      </c>
      <c r="O74" s="113">
        <v>3.1878047157078981E-3</v>
      </c>
      <c r="P74" s="113">
        <v>8.6641917005181313E-4</v>
      </c>
    </row>
    <row r="75" spans="1:16" ht="14.45" customHeight="1" x14ac:dyDescent="0.25">
      <c r="A75" s="47" t="s">
        <v>68</v>
      </c>
      <c r="B75" s="21">
        <v>7.331514498218894E-4</v>
      </c>
      <c r="C75" s="21">
        <v>8.016916923224926E-3</v>
      </c>
      <c r="D75" s="21">
        <v>1.9771927036345005E-3</v>
      </c>
      <c r="E75" s="21">
        <v>1.5436963876709342E-3</v>
      </c>
      <c r="F75" s="21">
        <v>0</v>
      </c>
      <c r="G75" s="21">
        <v>8.1676305853761733E-5</v>
      </c>
      <c r="H75" s="21">
        <v>0</v>
      </c>
      <c r="I75" s="21">
        <v>3.6760940565727651E-4</v>
      </c>
      <c r="J75" s="20">
        <v>0</v>
      </c>
      <c r="K75" s="114">
        <v>6.2347506172955036E-3</v>
      </c>
      <c r="L75" s="114">
        <v>0</v>
      </c>
      <c r="M75" s="114">
        <v>3.1421537278220057E-4</v>
      </c>
      <c r="N75" s="114">
        <v>1.643503550440073E-3</v>
      </c>
      <c r="O75" s="114">
        <v>5.4075999651104212E-4</v>
      </c>
      <c r="P75" s="114">
        <v>1.9130596192553639E-3</v>
      </c>
    </row>
    <row r="76" spans="1:16" ht="14.45" customHeight="1" x14ac:dyDescent="0.25">
      <c r="A76" s="53" t="s">
        <v>90</v>
      </c>
      <c r="B76" s="44">
        <v>5.6680990383028984E-3</v>
      </c>
      <c r="C76" s="44">
        <v>3.3469649497419596E-3</v>
      </c>
      <c r="D76" s="44">
        <v>9.9167635198682547E-4</v>
      </c>
      <c r="E76" s="44">
        <v>1.9963185768574476E-3</v>
      </c>
      <c r="F76" s="44">
        <v>1.4038968365639448E-3</v>
      </c>
      <c r="G76" s="44">
        <v>1.3064916711300611E-3</v>
      </c>
      <c r="H76" s="44">
        <v>1.5483900206163526E-3</v>
      </c>
      <c r="I76" s="44">
        <v>1.3333965325728059E-3</v>
      </c>
      <c r="J76" s="45">
        <v>4.3382757576182485E-4</v>
      </c>
      <c r="K76" s="115">
        <v>8.4011005237698555E-3</v>
      </c>
      <c r="L76" s="115">
        <v>3.8102001417428255E-4</v>
      </c>
      <c r="M76" s="115">
        <v>1.5456865075975657E-3</v>
      </c>
      <c r="N76" s="115">
        <v>2.2294577211141586E-3</v>
      </c>
      <c r="O76" s="115">
        <v>5.2288349252194166E-4</v>
      </c>
      <c r="P76" s="115">
        <v>6.0110463527962565E-4</v>
      </c>
    </row>
    <row r="77" spans="1:16" ht="14.45" customHeight="1" x14ac:dyDescent="0.25">
      <c r="A77" s="26" t="s">
        <v>8</v>
      </c>
      <c r="B77" s="21" t="s">
        <v>27</v>
      </c>
      <c r="C77" s="21" t="s">
        <v>27</v>
      </c>
      <c r="D77" s="21" t="s">
        <v>27</v>
      </c>
      <c r="E77" s="21" t="s">
        <v>27</v>
      </c>
      <c r="F77" s="21" t="s">
        <v>27</v>
      </c>
      <c r="G77" s="21" t="s">
        <v>27</v>
      </c>
      <c r="H77" s="21" t="s">
        <v>27</v>
      </c>
      <c r="I77" s="21" t="s">
        <v>27</v>
      </c>
      <c r="J77" s="20" t="s">
        <v>27</v>
      </c>
      <c r="K77" s="114" t="s">
        <v>27</v>
      </c>
      <c r="L77" s="114" t="s">
        <v>27</v>
      </c>
      <c r="M77" s="114" t="s">
        <v>27</v>
      </c>
      <c r="N77" s="114" t="s">
        <v>27</v>
      </c>
      <c r="O77" s="114" t="s">
        <v>27</v>
      </c>
      <c r="P77" s="114" t="s">
        <v>27</v>
      </c>
    </row>
    <row r="78" spans="1:16" ht="14.45" customHeight="1" x14ac:dyDescent="0.25">
      <c r="A78" s="48" t="s">
        <v>89</v>
      </c>
      <c r="B78" s="19">
        <v>0.20334292948246002</v>
      </c>
      <c r="C78" s="19">
        <v>0.17392207682132721</v>
      </c>
      <c r="D78" s="19">
        <v>0.20240549743175507</v>
      </c>
      <c r="E78" s="19">
        <v>0.21543531119823456</v>
      </c>
      <c r="F78" s="19">
        <v>0.28051549196243286</v>
      </c>
      <c r="G78" s="19">
        <v>0.2097388356924057</v>
      </c>
      <c r="H78" s="19">
        <v>0.16571196913719177</v>
      </c>
      <c r="I78" s="19">
        <v>0.11324150860309601</v>
      </c>
      <c r="J78" s="18">
        <v>0.111554354429245</v>
      </c>
      <c r="K78" s="113"/>
      <c r="L78" s="113"/>
      <c r="M78" s="113"/>
      <c r="N78" s="113"/>
      <c r="O78" s="113"/>
      <c r="P78" s="113"/>
    </row>
    <row r="79" spans="1:16" ht="14.45" customHeight="1" x14ac:dyDescent="0.25">
      <c r="A79" s="47" t="s">
        <v>67</v>
      </c>
      <c r="B79" s="21">
        <v>0.10786549746990204</v>
      </c>
      <c r="C79" s="21">
        <v>8.7417274713516235E-2</v>
      </c>
      <c r="D79" s="21">
        <v>6.8913362920284271E-2</v>
      </c>
      <c r="E79" s="21">
        <v>7.0552356541156769E-2</v>
      </c>
      <c r="F79" s="21">
        <v>0.10634454339742661</v>
      </c>
      <c r="G79" s="21">
        <v>7.0650719106197357E-2</v>
      </c>
      <c r="H79" s="21">
        <v>5.5717121809720993E-2</v>
      </c>
      <c r="I79" s="21">
        <v>5.79233318567276E-2</v>
      </c>
      <c r="J79" s="20">
        <v>3.373144194483757E-2</v>
      </c>
      <c r="K79" s="114"/>
      <c r="L79" s="114"/>
      <c r="M79" s="114"/>
      <c r="N79" s="114"/>
      <c r="O79" s="114"/>
      <c r="P79" s="114"/>
    </row>
    <row r="80" spans="1:16" ht="14.45" customHeight="1" x14ac:dyDescent="0.25">
      <c r="A80" s="48" t="s">
        <v>29</v>
      </c>
      <c r="B80" s="19">
        <v>5.5616650730371475E-2</v>
      </c>
      <c r="C80" s="19">
        <v>3.944174200296402E-2</v>
      </c>
      <c r="D80" s="19">
        <v>3.5974301397800446E-2</v>
      </c>
      <c r="E80" s="19">
        <v>3.8180246949195862E-2</v>
      </c>
      <c r="F80" s="19">
        <v>5.54974265396595E-2</v>
      </c>
      <c r="G80" s="19">
        <v>2.4404088035225868E-2</v>
      </c>
      <c r="H80" s="19">
        <v>9.8728630691766739E-3</v>
      </c>
      <c r="I80" s="19">
        <v>2.3009916767477989E-2</v>
      </c>
      <c r="J80" s="18">
        <v>1.195652037858963E-2</v>
      </c>
      <c r="K80" s="113"/>
      <c r="L80" s="113"/>
      <c r="M80" s="113"/>
      <c r="N80" s="113"/>
      <c r="O80" s="113"/>
      <c r="P80" s="113"/>
    </row>
    <row r="81" spans="1:16" ht="14.45" customHeight="1" x14ac:dyDescent="0.25">
      <c r="A81" s="47" t="s">
        <v>68</v>
      </c>
      <c r="B81" s="21">
        <v>4.0272533893585205E-2</v>
      </c>
      <c r="C81" s="21">
        <v>2.4753574281930923E-2</v>
      </c>
      <c r="D81" s="21">
        <v>1.5021144412457943E-2</v>
      </c>
      <c r="E81" s="21">
        <v>8.2020377740263939E-3</v>
      </c>
      <c r="F81" s="21">
        <v>1.7952736467123032E-2</v>
      </c>
      <c r="G81" s="21">
        <v>9.7395880147814751E-3</v>
      </c>
      <c r="H81" s="21">
        <v>9.2632751911878586E-3</v>
      </c>
      <c r="I81" s="21">
        <v>6.6764717921614647E-3</v>
      </c>
      <c r="J81" s="20">
        <v>4.9657025374472141E-3</v>
      </c>
      <c r="K81" s="114"/>
      <c r="L81" s="114"/>
      <c r="M81" s="114"/>
      <c r="N81" s="114"/>
      <c r="O81" s="114"/>
      <c r="P81" s="114"/>
    </row>
    <row r="82" spans="1:16" ht="14.45" customHeight="1" x14ac:dyDescent="0.25">
      <c r="A82" s="53" t="s">
        <v>90</v>
      </c>
      <c r="B82" s="44">
        <v>1.5845753252506256E-2</v>
      </c>
      <c r="C82" s="44">
        <v>1.3115972280502319E-2</v>
      </c>
      <c r="D82" s="44">
        <v>8.6022168397903442E-3</v>
      </c>
      <c r="E82" s="44">
        <v>5.7790041901171207E-3</v>
      </c>
      <c r="F82" s="44">
        <v>2.1964183077216148E-2</v>
      </c>
      <c r="G82" s="44">
        <v>4.1162054985761642E-3</v>
      </c>
      <c r="H82" s="44">
        <v>4.889671690762043E-3</v>
      </c>
      <c r="I82" s="44">
        <v>5.5502583272755146E-3</v>
      </c>
      <c r="J82" s="45">
        <v>2.9412317089736462E-3</v>
      </c>
      <c r="K82" s="115"/>
      <c r="L82" s="115"/>
      <c r="M82" s="115"/>
      <c r="N82" s="115"/>
      <c r="O82" s="115"/>
      <c r="P82" s="115"/>
    </row>
    <row r="83" spans="1:16" ht="14.45" customHeight="1" x14ac:dyDescent="0.25">
      <c r="A83" s="26" t="s">
        <v>9</v>
      </c>
      <c r="B83" s="21" t="s">
        <v>27</v>
      </c>
      <c r="C83" s="21" t="s">
        <v>27</v>
      </c>
      <c r="D83" s="21" t="s">
        <v>27</v>
      </c>
      <c r="E83" s="21" t="s">
        <v>27</v>
      </c>
      <c r="F83" s="21" t="s">
        <v>27</v>
      </c>
      <c r="G83" s="21" t="s">
        <v>27</v>
      </c>
      <c r="H83" s="21" t="s">
        <v>27</v>
      </c>
      <c r="I83" s="21" t="s">
        <v>27</v>
      </c>
      <c r="J83" s="20" t="s">
        <v>27</v>
      </c>
      <c r="K83" s="114" t="s">
        <v>27</v>
      </c>
      <c r="L83" s="114" t="s">
        <v>27</v>
      </c>
      <c r="M83" s="114" t="s">
        <v>27</v>
      </c>
      <c r="N83" s="114" t="s">
        <v>27</v>
      </c>
      <c r="O83" s="114" t="s">
        <v>27</v>
      </c>
      <c r="P83" s="114" t="s">
        <v>27</v>
      </c>
    </row>
    <row r="84" spans="1:16" ht="14.45" customHeight="1" x14ac:dyDescent="0.25">
      <c r="A84" s="48" t="s">
        <v>89</v>
      </c>
      <c r="B84" s="19">
        <v>0.45869642496109009</v>
      </c>
      <c r="C84" s="19">
        <v>0.42666956782341003</v>
      </c>
      <c r="D84" s="19">
        <v>0.46988996863365173</v>
      </c>
      <c r="E84" s="19">
        <v>0.48892176151275635</v>
      </c>
      <c r="F84" s="19">
        <v>0.37023332715034485</v>
      </c>
      <c r="G84" s="19">
        <v>0.3498769998550415</v>
      </c>
      <c r="H84" s="19">
        <v>0.39347895979881287</v>
      </c>
      <c r="I84" s="19" t="s">
        <v>27</v>
      </c>
      <c r="J84" s="18">
        <v>0.30815309286117554</v>
      </c>
      <c r="K84" s="113">
        <v>0.22406503558158875</v>
      </c>
      <c r="L84" s="113">
        <v>0.22595657408237457</v>
      </c>
      <c r="M84" s="113" t="s">
        <v>27</v>
      </c>
      <c r="N84" s="113" t="s">
        <v>27</v>
      </c>
      <c r="O84" s="113" t="s">
        <v>27</v>
      </c>
      <c r="P84" s="113" t="s">
        <v>27</v>
      </c>
    </row>
    <row r="85" spans="1:16" ht="14.45" customHeight="1" x14ac:dyDescent="0.25">
      <c r="A85" s="47" t="s">
        <v>67</v>
      </c>
      <c r="B85" s="21">
        <v>0.51959425210952759</v>
      </c>
      <c r="C85" s="21">
        <v>0.52370220422744751</v>
      </c>
      <c r="D85" s="21">
        <v>0.5773388147354126</v>
      </c>
      <c r="E85" s="21">
        <v>0.55862945318222046</v>
      </c>
      <c r="F85" s="21">
        <v>0.34692826867103577</v>
      </c>
      <c r="G85" s="21">
        <v>0.35240870714187622</v>
      </c>
      <c r="H85" s="21">
        <v>0.3583599328994751</v>
      </c>
      <c r="I85" s="21" t="s">
        <v>27</v>
      </c>
      <c r="J85" s="20">
        <v>0.25417500734329224</v>
      </c>
      <c r="K85" s="114">
        <v>0.20389476418495178</v>
      </c>
      <c r="L85" s="114">
        <v>0.2190416008234024</v>
      </c>
      <c r="M85" s="114" t="s">
        <v>27</v>
      </c>
      <c r="N85" s="114" t="s">
        <v>27</v>
      </c>
      <c r="O85" s="114" t="s">
        <v>27</v>
      </c>
      <c r="P85" s="114" t="s">
        <v>27</v>
      </c>
    </row>
    <row r="86" spans="1:16" ht="14.45" customHeight="1" x14ac:dyDescent="0.25">
      <c r="A86" s="48" t="s">
        <v>29</v>
      </c>
      <c r="B86" s="19">
        <v>0.4383603036403656</v>
      </c>
      <c r="C86" s="19">
        <v>0.46620967984199524</v>
      </c>
      <c r="D86" s="19">
        <v>0.6441044807434082</v>
      </c>
      <c r="E86" s="19">
        <v>0.61172908544540405</v>
      </c>
      <c r="F86" s="19">
        <v>0.31287699937820435</v>
      </c>
      <c r="G86" s="19">
        <v>0.3374098539352417</v>
      </c>
      <c r="H86" s="19">
        <v>0.29209330677986145</v>
      </c>
      <c r="I86" s="19" t="s">
        <v>27</v>
      </c>
      <c r="J86" s="18">
        <v>0.20681212842464447</v>
      </c>
      <c r="K86" s="113">
        <v>0.15467990934848785</v>
      </c>
      <c r="L86" s="113">
        <v>0.14835920929908752</v>
      </c>
      <c r="M86" s="113" t="s">
        <v>27</v>
      </c>
      <c r="N86" s="113" t="s">
        <v>27</v>
      </c>
      <c r="O86" s="113" t="s">
        <v>27</v>
      </c>
      <c r="P86" s="113" t="s">
        <v>27</v>
      </c>
    </row>
    <row r="87" spans="1:16" ht="14.45" customHeight="1" x14ac:dyDescent="0.25">
      <c r="A87" s="47" t="s">
        <v>68</v>
      </c>
      <c r="B87" s="21">
        <v>0.44721493124961853</v>
      </c>
      <c r="C87" s="21">
        <v>0.46186599135398865</v>
      </c>
      <c r="D87" s="21">
        <v>0.6756056547164917</v>
      </c>
      <c r="E87" s="21">
        <v>0.64159709215164185</v>
      </c>
      <c r="F87" s="21">
        <v>0.25701630115509033</v>
      </c>
      <c r="G87" s="21">
        <v>0.29274678230285645</v>
      </c>
      <c r="H87" s="21">
        <v>0.2398090660572052</v>
      </c>
      <c r="I87" s="21" t="s">
        <v>27</v>
      </c>
      <c r="J87" s="20">
        <v>0.12543341517448425</v>
      </c>
      <c r="K87" s="114">
        <v>8.6403883993625641E-2</v>
      </c>
      <c r="L87" s="114">
        <v>7.8611835837364197E-2</v>
      </c>
      <c r="M87" s="114" t="s">
        <v>27</v>
      </c>
      <c r="N87" s="114" t="s">
        <v>27</v>
      </c>
      <c r="O87" s="114" t="s">
        <v>27</v>
      </c>
      <c r="P87" s="114" t="s">
        <v>27</v>
      </c>
    </row>
    <row r="88" spans="1:16" ht="14.45" customHeight="1" x14ac:dyDescent="0.25">
      <c r="A88" s="53" t="s">
        <v>90</v>
      </c>
      <c r="B88" s="44">
        <v>0.22647581994533539</v>
      </c>
      <c r="C88" s="44">
        <v>0.29059082269668579</v>
      </c>
      <c r="D88" s="44">
        <v>0.58291780948638916</v>
      </c>
      <c r="E88" s="44">
        <v>0.58013606071472168</v>
      </c>
      <c r="F88" s="44">
        <v>0.14820866286754608</v>
      </c>
      <c r="G88" s="44">
        <v>0.13858470320701599</v>
      </c>
      <c r="H88" s="44">
        <v>9.3010440468788147E-2</v>
      </c>
      <c r="I88" s="44" t="s">
        <v>27</v>
      </c>
      <c r="J88" s="45">
        <v>6.4079895615577698E-2</v>
      </c>
      <c r="K88" s="115">
        <v>4.9938354641199112E-2</v>
      </c>
      <c r="L88" s="115">
        <v>1.5021292492747307E-2</v>
      </c>
      <c r="M88" s="115" t="s">
        <v>27</v>
      </c>
      <c r="N88" s="115" t="s">
        <v>27</v>
      </c>
      <c r="O88" s="115" t="s">
        <v>27</v>
      </c>
      <c r="P88" s="115" t="s">
        <v>27</v>
      </c>
    </row>
    <row r="89" spans="1:16" ht="14.45" customHeight="1" x14ac:dyDescent="0.25">
      <c r="A89" s="26" t="s">
        <v>10</v>
      </c>
      <c r="B89" s="21" t="s">
        <v>27</v>
      </c>
      <c r="C89" s="21" t="s">
        <v>27</v>
      </c>
      <c r="D89" s="21" t="s">
        <v>27</v>
      </c>
      <c r="E89" s="21" t="s">
        <v>27</v>
      </c>
      <c r="F89" s="21" t="s">
        <v>27</v>
      </c>
      <c r="G89" s="21" t="s">
        <v>27</v>
      </c>
      <c r="H89" s="21" t="s">
        <v>27</v>
      </c>
      <c r="I89" s="21" t="s">
        <v>27</v>
      </c>
      <c r="J89" s="20" t="s">
        <v>27</v>
      </c>
      <c r="K89" s="114" t="s">
        <v>27</v>
      </c>
      <c r="L89" s="114" t="s">
        <v>27</v>
      </c>
      <c r="M89" s="114" t="s">
        <v>27</v>
      </c>
      <c r="N89" s="114" t="s">
        <v>27</v>
      </c>
      <c r="O89" s="114" t="s">
        <v>27</v>
      </c>
      <c r="P89" s="114" t="s">
        <v>27</v>
      </c>
    </row>
    <row r="90" spans="1:16" ht="14.45" customHeight="1" x14ac:dyDescent="0.25">
      <c r="A90" s="48" t="s">
        <v>89</v>
      </c>
      <c r="B90" s="19">
        <v>0.50447201728820801</v>
      </c>
      <c r="C90" s="19">
        <v>0.52868461608886719</v>
      </c>
      <c r="D90" s="19">
        <v>0.54782354831695557</v>
      </c>
      <c r="E90" s="19">
        <v>0.53121852874755859</v>
      </c>
      <c r="F90" s="19">
        <v>0.49495288729667664</v>
      </c>
      <c r="G90" s="19">
        <v>0.53745031356811523</v>
      </c>
      <c r="H90" s="19">
        <v>0.76394283771514893</v>
      </c>
      <c r="I90" s="19">
        <v>0.60820841789245605</v>
      </c>
      <c r="J90" s="18">
        <v>0.60670483112335205</v>
      </c>
      <c r="K90" s="113">
        <v>0.54892075061798096</v>
      </c>
      <c r="L90" s="113">
        <v>0.68073391914367676</v>
      </c>
      <c r="M90" s="113">
        <v>0.70464944839477539</v>
      </c>
      <c r="N90" s="113">
        <v>0.66880607604980469</v>
      </c>
      <c r="O90" s="113">
        <v>0.60668271780014038</v>
      </c>
      <c r="P90" s="113">
        <v>0.65603071451187134</v>
      </c>
    </row>
    <row r="91" spans="1:16" ht="14.45" customHeight="1" x14ac:dyDescent="0.25">
      <c r="A91" s="47" t="s">
        <v>67</v>
      </c>
      <c r="B91" s="21">
        <v>0.49426373839378357</v>
      </c>
      <c r="C91" s="21">
        <v>0.55152714252471924</v>
      </c>
      <c r="D91" s="21">
        <v>0.51888573169708252</v>
      </c>
      <c r="E91" s="21">
        <v>0.50483858585357666</v>
      </c>
      <c r="F91" s="21">
        <v>0.43684619665145874</v>
      </c>
      <c r="G91" s="21">
        <v>0.43078368902206421</v>
      </c>
      <c r="H91" s="21">
        <v>0.6823735237121582</v>
      </c>
      <c r="I91" s="21">
        <v>0.51468324661254883</v>
      </c>
      <c r="J91" s="20">
        <v>0.43411579728126526</v>
      </c>
      <c r="K91" s="114">
        <v>0.41305872797966003</v>
      </c>
      <c r="L91" s="114">
        <v>0.40976160764694214</v>
      </c>
      <c r="M91" s="114">
        <v>0.44732183218002319</v>
      </c>
      <c r="N91" s="114">
        <v>0.40190976858139038</v>
      </c>
      <c r="O91" s="114">
        <v>0.44460207223892212</v>
      </c>
      <c r="P91" s="114">
        <v>0.40453100204467773</v>
      </c>
    </row>
    <row r="92" spans="1:16" ht="14.45" customHeight="1" x14ac:dyDescent="0.25">
      <c r="A92" s="48" t="s">
        <v>29</v>
      </c>
      <c r="B92" s="19">
        <v>0.25363194942474365</v>
      </c>
      <c r="C92" s="19">
        <v>0.28868556022644043</v>
      </c>
      <c r="D92" s="19">
        <v>0.31204086542129517</v>
      </c>
      <c r="E92" s="19">
        <v>0.30430793762207031</v>
      </c>
      <c r="F92" s="19">
        <v>0.24963776767253876</v>
      </c>
      <c r="G92" s="19">
        <v>0.21645598113536835</v>
      </c>
      <c r="H92" s="19">
        <v>0.58784270286560059</v>
      </c>
      <c r="I92" s="19">
        <v>0.35695195198059082</v>
      </c>
      <c r="J92" s="18">
        <v>0.21723060309886932</v>
      </c>
      <c r="K92" s="113">
        <v>0.25046843290328979</v>
      </c>
      <c r="L92" s="113">
        <v>0.26092952489852905</v>
      </c>
      <c r="M92" s="113">
        <v>0.26188340783119202</v>
      </c>
      <c r="N92" s="113">
        <v>0.26222020387649536</v>
      </c>
      <c r="O92" s="113">
        <v>0.26862141489982605</v>
      </c>
      <c r="P92" s="113">
        <v>0.29247748851776123</v>
      </c>
    </row>
    <row r="93" spans="1:16" ht="14.45" customHeight="1" x14ac:dyDescent="0.25">
      <c r="A93" s="47" t="s">
        <v>68</v>
      </c>
      <c r="B93" s="21">
        <v>0.18302938342094421</v>
      </c>
      <c r="C93" s="21">
        <v>0.18522237241268158</v>
      </c>
      <c r="D93" s="21">
        <v>0.14639553427696228</v>
      </c>
      <c r="E93" s="21">
        <v>0.18501166999340057</v>
      </c>
      <c r="F93" s="21">
        <v>0.15068593621253967</v>
      </c>
      <c r="G93" s="21">
        <v>0.13225775957107544</v>
      </c>
      <c r="H93" s="21">
        <v>0.66632819175720215</v>
      </c>
      <c r="I93" s="21">
        <v>0.34023615717887878</v>
      </c>
      <c r="J93" s="20">
        <v>0.15987695753574371</v>
      </c>
      <c r="K93" s="114">
        <v>0.15652650594711304</v>
      </c>
      <c r="L93" s="114">
        <v>0.1444062739610672</v>
      </c>
      <c r="M93" s="114">
        <v>0.13668181002140045</v>
      </c>
      <c r="N93" s="114">
        <v>0.13250306248664856</v>
      </c>
      <c r="O93" s="114">
        <v>0.17175422608852386</v>
      </c>
      <c r="P93" s="114">
        <v>0.21381142735481262</v>
      </c>
    </row>
    <row r="94" spans="1:16" ht="14.45" customHeight="1" x14ac:dyDescent="0.25">
      <c r="A94" s="53" t="s">
        <v>90</v>
      </c>
      <c r="B94" s="44">
        <v>8.4226600825786591E-2</v>
      </c>
      <c r="C94" s="44">
        <v>8.7576396763324738E-2</v>
      </c>
      <c r="D94" s="44">
        <v>0.10303184390068054</v>
      </c>
      <c r="E94" s="44">
        <v>8.7379790842533112E-2</v>
      </c>
      <c r="F94" s="44">
        <v>7.0340193808078766E-2</v>
      </c>
      <c r="G94" s="44">
        <v>7.5514174997806549E-2</v>
      </c>
      <c r="H94" s="44">
        <v>0.73619318008422852</v>
      </c>
      <c r="I94" s="44">
        <v>0.32500481605529785</v>
      </c>
      <c r="J94" s="45">
        <v>6.1661109328269958E-2</v>
      </c>
      <c r="K94" s="115">
        <v>8.5983350872993469E-2</v>
      </c>
      <c r="L94" s="115">
        <v>0.10078151524066925</v>
      </c>
      <c r="M94" s="115">
        <v>0.10165096819400787</v>
      </c>
      <c r="N94" s="115">
        <v>0.11805896461009979</v>
      </c>
      <c r="O94" s="115">
        <v>0.1376417875289917</v>
      </c>
      <c r="P94" s="115">
        <v>0.13568104803562164</v>
      </c>
    </row>
    <row r="95" spans="1:16" ht="14.45" customHeight="1" x14ac:dyDescent="0.25">
      <c r="A95" s="26" t="s">
        <v>11</v>
      </c>
      <c r="B95" s="21" t="s">
        <v>27</v>
      </c>
      <c r="C95" s="21" t="s">
        <v>27</v>
      </c>
      <c r="D95" s="21" t="s">
        <v>27</v>
      </c>
      <c r="E95" s="21" t="s">
        <v>27</v>
      </c>
      <c r="F95" s="21" t="s">
        <v>27</v>
      </c>
      <c r="G95" s="21" t="s">
        <v>27</v>
      </c>
      <c r="H95" s="21" t="s">
        <v>27</v>
      </c>
      <c r="I95" s="21" t="s">
        <v>27</v>
      </c>
      <c r="J95" s="20" t="s">
        <v>27</v>
      </c>
      <c r="K95" s="114" t="s">
        <v>27</v>
      </c>
      <c r="L95" s="114" t="s">
        <v>27</v>
      </c>
      <c r="M95" s="114" t="s">
        <v>27</v>
      </c>
      <c r="N95" s="114" t="s">
        <v>27</v>
      </c>
      <c r="O95" s="114" t="s">
        <v>27</v>
      </c>
      <c r="P95" s="114" t="s">
        <v>27</v>
      </c>
    </row>
    <row r="96" spans="1:16" ht="14.45" customHeight="1" x14ac:dyDescent="0.25">
      <c r="A96" s="48" t="s">
        <v>89</v>
      </c>
      <c r="B96" s="19">
        <v>3.7692654877901077E-2</v>
      </c>
      <c r="C96" s="19">
        <v>4.3351881206035614E-2</v>
      </c>
      <c r="D96" s="19">
        <v>2.4612825363874435E-2</v>
      </c>
      <c r="E96" s="19">
        <v>2.4908248335123062E-2</v>
      </c>
      <c r="F96" s="19">
        <v>2.9422486200928688E-2</v>
      </c>
      <c r="G96" s="19">
        <v>2.8962265700101852E-2</v>
      </c>
      <c r="H96" s="19">
        <v>2.2364785894751549E-2</v>
      </c>
      <c r="I96" s="19">
        <v>1.8471337854862213E-2</v>
      </c>
      <c r="J96" s="18">
        <v>2.2450951859354973E-2</v>
      </c>
      <c r="K96" s="113">
        <v>9.8874596878886223E-3</v>
      </c>
      <c r="L96" s="113">
        <v>1.4036428183317184E-2</v>
      </c>
      <c r="M96" s="113">
        <v>3.0499594286084175E-2</v>
      </c>
      <c r="N96" s="113">
        <v>2.0319966599345207E-2</v>
      </c>
      <c r="O96" s="113">
        <v>5.0402071326971054E-2</v>
      </c>
      <c r="P96" s="113">
        <v>6.185493990778923E-2</v>
      </c>
    </row>
    <row r="97" spans="1:16" ht="14.45" customHeight="1" x14ac:dyDescent="0.25">
      <c r="A97" s="47" t="s">
        <v>67</v>
      </c>
      <c r="B97" s="21">
        <v>3.4009046852588654E-2</v>
      </c>
      <c r="C97" s="21">
        <v>3.4785915166139603E-2</v>
      </c>
      <c r="D97" s="21">
        <v>1.7107525840401649E-2</v>
      </c>
      <c r="E97" s="21">
        <v>1.7560064792633057E-2</v>
      </c>
      <c r="F97" s="21">
        <v>1.3918631710112095E-2</v>
      </c>
      <c r="G97" s="21">
        <v>1.7216837033629417E-2</v>
      </c>
      <c r="H97" s="21">
        <v>1.5272459015250206E-2</v>
      </c>
      <c r="I97" s="21">
        <v>6.2176869250833988E-3</v>
      </c>
      <c r="J97" s="20">
        <v>1.0384829714894295E-2</v>
      </c>
      <c r="K97" s="114">
        <v>1.1617807671427727E-2</v>
      </c>
      <c r="L97" s="114">
        <v>7.4019674211740494E-3</v>
      </c>
      <c r="M97" s="114">
        <v>2.0356019958853722E-2</v>
      </c>
      <c r="N97" s="114">
        <v>1.6656512394547462E-2</v>
      </c>
      <c r="O97" s="114">
        <v>3.2996635884046555E-2</v>
      </c>
      <c r="P97" s="114">
        <v>4.0373411029577255E-2</v>
      </c>
    </row>
    <row r="98" spans="1:16" ht="14.45" customHeight="1" x14ac:dyDescent="0.25">
      <c r="A98" s="48" t="s">
        <v>29</v>
      </c>
      <c r="B98" s="19">
        <v>2.0126607269048691E-2</v>
      </c>
      <c r="C98" s="19">
        <v>2.1970251575112343E-2</v>
      </c>
      <c r="D98" s="19">
        <v>1.1221252381801605E-2</v>
      </c>
      <c r="E98" s="19">
        <v>9.8439240828156471E-3</v>
      </c>
      <c r="F98" s="19">
        <v>1.1436152271926403E-2</v>
      </c>
      <c r="G98" s="19">
        <v>1.1397178284823895E-2</v>
      </c>
      <c r="H98" s="19">
        <v>8.141850121319294E-3</v>
      </c>
      <c r="I98" s="19">
        <v>3.1262817792594433E-3</v>
      </c>
      <c r="J98" s="18">
        <v>2.9802350327372551E-3</v>
      </c>
      <c r="K98" s="113">
        <v>5.0633097998797894E-3</v>
      </c>
      <c r="L98" s="113">
        <v>6.5317270345985889E-3</v>
      </c>
      <c r="M98" s="113">
        <v>1.3089688494801521E-2</v>
      </c>
      <c r="N98" s="113">
        <v>1.2561023235321045E-2</v>
      </c>
      <c r="O98" s="113">
        <v>2.3897996172308922E-2</v>
      </c>
      <c r="P98" s="113">
        <v>2.2372160106897354E-2</v>
      </c>
    </row>
    <row r="99" spans="1:16" ht="14.45" customHeight="1" x14ac:dyDescent="0.25">
      <c r="A99" s="47" t="s">
        <v>68</v>
      </c>
      <c r="B99" s="21">
        <v>1.4972707256674767E-2</v>
      </c>
      <c r="C99" s="21">
        <v>1.1631829664111137E-2</v>
      </c>
      <c r="D99" s="21">
        <v>9.1982390731573105E-3</v>
      </c>
      <c r="E99" s="21">
        <v>1.2531418353319168E-2</v>
      </c>
      <c r="F99" s="21">
        <v>1.0117223486304283E-2</v>
      </c>
      <c r="G99" s="21">
        <v>8.6327791213989258E-3</v>
      </c>
      <c r="H99" s="21">
        <v>5.8222985826432705E-3</v>
      </c>
      <c r="I99" s="21">
        <v>3.1904354691505432E-3</v>
      </c>
      <c r="J99" s="20">
        <v>5.0786039792001247E-3</v>
      </c>
      <c r="K99" s="114">
        <v>4.7729541547596455E-3</v>
      </c>
      <c r="L99" s="114">
        <v>7.8358845785260201E-3</v>
      </c>
      <c r="M99" s="114">
        <v>9.5024649053812027E-3</v>
      </c>
      <c r="N99" s="114">
        <v>1.0507122613489628E-2</v>
      </c>
      <c r="O99" s="114">
        <v>1.344003714621067E-2</v>
      </c>
      <c r="P99" s="114">
        <v>1.3437976129353046E-2</v>
      </c>
    </row>
    <row r="100" spans="1:16" ht="14.45" customHeight="1" x14ac:dyDescent="0.25">
      <c r="A100" s="53" t="s">
        <v>90</v>
      </c>
      <c r="B100" s="44">
        <v>8.0407606437802315E-3</v>
      </c>
      <c r="C100" s="44">
        <v>1.4275017194449902E-2</v>
      </c>
      <c r="D100" s="44">
        <v>1.1335069313645363E-2</v>
      </c>
      <c r="E100" s="44">
        <v>5.293975118547678E-3</v>
      </c>
      <c r="F100" s="44">
        <v>7.9872654750943184E-3</v>
      </c>
      <c r="G100" s="44">
        <v>4.4863335788249969E-3</v>
      </c>
      <c r="H100" s="44">
        <v>6.7352508194744587E-3</v>
      </c>
      <c r="I100" s="44">
        <v>3.0636892188340425E-3</v>
      </c>
      <c r="J100" s="45">
        <v>1.4370790449902415E-3</v>
      </c>
      <c r="K100" s="115">
        <v>3.3548723440617323E-3</v>
      </c>
      <c r="L100" s="115">
        <v>3.5274771507829428E-3</v>
      </c>
      <c r="M100" s="115">
        <v>9.6166692674160004E-3</v>
      </c>
      <c r="N100" s="115">
        <v>1.5727797290310264E-3</v>
      </c>
      <c r="O100" s="115">
        <v>1.4444852247834206E-2</v>
      </c>
      <c r="P100" s="115">
        <v>7.0445872843265533E-3</v>
      </c>
    </row>
    <row r="101" spans="1:16" ht="14.45" customHeight="1" x14ac:dyDescent="0.25">
      <c r="A101" s="26" t="s">
        <v>12</v>
      </c>
      <c r="B101" s="21" t="s">
        <v>27</v>
      </c>
      <c r="C101" s="21" t="s">
        <v>27</v>
      </c>
      <c r="D101" s="21" t="s">
        <v>27</v>
      </c>
      <c r="E101" s="21" t="s">
        <v>27</v>
      </c>
      <c r="F101" s="21" t="s">
        <v>27</v>
      </c>
      <c r="G101" s="21" t="s">
        <v>27</v>
      </c>
      <c r="H101" s="21" t="s">
        <v>27</v>
      </c>
      <c r="I101" s="21" t="s">
        <v>27</v>
      </c>
      <c r="J101" s="20" t="s">
        <v>27</v>
      </c>
      <c r="K101" s="114" t="s">
        <v>27</v>
      </c>
      <c r="L101" s="114" t="s">
        <v>27</v>
      </c>
      <c r="M101" s="114" t="s">
        <v>27</v>
      </c>
      <c r="N101" s="114" t="s">
        <v>27</v>
      </c>
      <c r="O101" s="114" t="s">
        <v>27</v>
      </c>
      <c r="P101" s="114" t="s">
        <v>27</v>
      </c>
    </row>
    <row r="102" spans="1:16" ht="14.45" customHeight="1" x14ac:dyDescent="0.25">
      <c r="A102" s="48" t="s">
        <v>89</v>
      </c>
      <c r="B102" s="19">
        <v>0.13912074267864227</v>
      </c>
      <c r="C102" s="19">
        <v>0.19547390937805176</v>
      </c>
      <c r="D102" s="19">
        <v>0.19070753455162048</v>
      </c>
      <c r="E102" s="19">
        <v>0.26623395085334778</v>
      </c>
      <c r="F102" s="19">
        <v>0.23018422722816467</v>
      </c>
      <c r="G102" s="19">
        <v>0.24791893362998962</v>
      </c>
      <c r="H102" s="19">
        <v>0.20991271734237671</v>
      </c>
      <c r="I102" s="19">
        <v>0.17975553870201111</v>
      </c>
      <c r="J102" s="18">
        <v>0.19441030919551849</v>
      </c>
      <c r="K102" s="113">
        <v>0.18205071985721588</v>
      </c>
      <c r="L102" s="113">
        <v>0.1554609090089798</v>
      </c>
      <c r="M102" s="113">
        <v>0.13596644997596741</v>
      </c>
      <c r="N102" s="113">
        <v>0.14856548607349396</v>
      </c>
      <c r="O102" s="113">
        <v>0.39470323920249939</v>
      </c>
      <c r="P102" s="113">
        <v>0.16820062696933746</v>
      </c>
    </row>
    <row r="103" spans="1:16" ht="14.45" customHeight="1" x14ac:dyDescent="0.25">
      <c r="A103" s="47" t="s">
        <v>67</v>
      </c>
      <c r="B103" s="21">
        <v>8.2437813282012939E-2</v>
      </c>
      <c r="C103" s="21">
        <v>0.12252651154994965</v>
      </c>
      <c r="D103" s="21">
        <v>0.11239483207464218</v>
      </c>
      <c r="E103" s="21">
        <v>0.14777207374572754</v>
      </c>
      <c r="F103" s="21">
        <v>9.8618879914283752E-2</v>
      </c>
      <c r="G103" s="21">
        <v>6.7969277501106262E-2</v>
      </c>
      <c r="H103" s="21">
        <v>6.0049399733543396E-2</v>
      </c>
      <c r="I103" s="21">
        <v>4.5295923948287964E-2</v>
      </c>
      <c r="J103" s="20">
        <v>5.3550489246845245E-2</v>
      </c>
      <c r="K103" s="114">
        <v>3.4137431532144547E-2</v>
      </c>
      <c r="L103" s="114">
        <v>2.9056569561362267E-2</v>
      </c>
      <c r="M103" s="114">
        <v>3.2853368669748306E-2</v>
      </c>
      <c r="N103" s="114">
        <v>2.1972429007291794E-2</v>
      </c>
      <c r="O103" s="114">
        <v>0.26277646422386169</v>
      </c>
      <c r="P103" s="114">
        <v>3.0081396922469139E-2</v>
      </c>
    </row>
    <row r="104" spans="1:16" ht="14.45" customHeight="1" x14ac:dyDescent="0.25">
      <c r="A104" s="48" t="s">
        <v>29</v>
      </c>
      <c r="B104" s="19">
        <v>3.5319887101650238E-2</v>
      </c>
      <c r="C104" s="19">
        <v>4.1446052491664886E-2</v>
      </c>
      <c r="D104" s="19">
        <v>3.2953731715679169E-2</v>
      </c>
      <c r="E104" s="19">
        <v>6.3955299556255341E-2</v>
      </c>
      <c r="F104" s="19">
        <v>4.6342920511960983E-2</v>
      </c>
      <c r="G104" s="19">
        <v>2.0385187119245529E-2</v>
      </c>
      <c r="H104" s="19">
        <v>1.6144735738635063E-2</v>
      </c>
      <c r="I104" s="19">
        <v>1.40799256041646E-2</v>
      </c>
      <c r="J104" s="18">
        <v>2.6631806045770645E-2</v>
      </c>
      <c r="K104" s="113">
        <v>8.0825872719287872E-3</v>
      </c>
      <c r="L104" s="113">
        <v>3.2848892733454704E-3</v>
      </c>
      <c r="M104" s="113">
        <v>7.9723978415131569E-3</v>
      </c>
      <c r="N104" s="113">
        <v>7.4926614761352539E-3</v>
      </c>
      <c r="O104" s="113">
        <v>0.29603412747383118</v>
      </c>
      <c r="P104" s="113">
        <v>2.9352353885769844E-2</v>
      </c>
    </row>
    <row r="105" spans="1:16" ht="14.45" customHeight="1" x14ac:dyDescent="0.25">
      <c r="A105" s="47" t="s">
        <v>68</v>
      </c>
      <c r="B105" s="21">
        <v>1.4816134236752987E-2</v>
      </c>
      <c r="C105" s="21">
        <v>1.4512843452394009E-2</v>
      </c>
      <c r="D105" s="21">
        <v>1.0328188538551331E-2</v>
      </c>
      <c r="E105" s="21">
        <v>2.1816376596689224E-2</v>
      </c>
      <c r="F105" s="21">
        <v>2.1946053951978683E-2</v>
      </c>
      <c r="G105" s="21">
        <v>1.0971021838486195E-2</v>
      </c>
      <c r="H105" s="21">
        <v>4.6413843519985676E-3</v>
      </c>
      <c r="I105" s="21">
        <v>5.9096259064972401E-3</v>
      </c>
      <c r="J105" s="20">
        <v>9.8317267838865519E-4</v>
      </c>
      <c r="K105" s="114">
        <v>2.2123358212411404E-3</v>
      </c>
      <c r="L105" s="114">
        <v>3.3797929063439369E-3</v>
      </c>
      <c r="M105" s="114">
        <v>4.0172119624912739E-3</v>
      </c>
      <c r="N105" s="114">
        <v>3.1880144961178303E-3</v>
      </c>
      <c r="O105" s="114">
        <v>0.27526479959487915</v>
      </c>
      <c r="P105" s="114">
        <v>2.4345537647604942E-2</v>
      </c>
    </row>
    <row r="106" spans="1:16" ht="14.45" customHeight="1" x14ac:dyDescent="0.25">
      <c r="A106" s="53" t="s">
        <v>90</v>
      </c>
      <c r="B106" s="44">
        <v>2.4654383305460215E-3</v>
      </c>
      <c r="C106" s="44">
        <v>2.1519300062209368E-3</v>
      </c>
      <c r="D106" s="44">
        <v>4.5467633754014969E-3</v>
      </c>
      <c r="E106" s="44">
        <v>7.0214206352829933E-3</v>
      </c>
      <c r="F106" s="44">
        <v>9.9051333963871002E-3</v>
      </c>
      <c r="G106" s="44">
        <v>1.5244529349729419E-3</v>
      </c>
      <c r="H106" s="44">
        <v>5.4095946252346039E-3</v>
      </c>
      <c r="I106" s="44">
        <v>2.4873912334442139E-3</v>
      </c>
      <c r="J106" s="45">
        <v>3.9028744213283062E-3</v>
      </c>
      <c r="K106" s="115">
        <v>4.6834582462906837E-4</v>
      </c>
      <c r="L106" s="115">
        <v>3.0161670292727649E-4</v>
      </c>
      <c r="M106" s="115">
        <v>5.7267415104433894E-4</v>
      </c>
      <c r="N106" s="115">
        <v>3.1949167605489492E-3</v>
      </c>
      <c r="O106" s="115">
        <v>0.19753319025039673</v>
      </c>
      <c r="P106" s="115">
        <v>3.523249551653862E-2</v>
      </c>
    </row>
    <row r="107" spans="1:16" ht="14.45" customHeight="1" x14ac:dyDescent="0.25">
      <c r="A107" s="26" t="s">
        <v>13</v>
      </c>
      <c r="B107" s="21" t="s">
        <v>27</v>
      </c>
      <c r="C107" s="21" t="s">
        <v>27</v>
      </c>
      <c r="D107" s="21" t="s">
        <v>27</v>
      </c>
      <c r="E107" s="21" t="s">
        <v>27</v>
      </c>
      <c r="F107" s="21" t="s">
        <v>27</v>
      </c>
      <c r="G107" s="21" t="s">
        <v>27</v>
      </c>
      <c r="H107" s="21" t="s">
        <v>27</v>
      </c>
      <c r="I107" s="21" t="s">
        <v>27</v>
      </c>
      <c r="J107" s="20" t="s">
        <v>27</v>
      </c>
      <c r="K107" s="114" t="s">
        <v>27</v>
      </c>
      <c r="L107" s="114" t="s">
        <v>27</v>
      </c>
      <c r="M107" s="114" t="s">
        <v>27</v>
      </c>
      <c r="N107" s="114" t="s">
        <v>27</v>
      </c>
      <c r="O107" s="114" t="s">
        <v>27</v>
      </c>
      <c r="P107" s="114" t="s">
        <v>27</v>
      </c>
    </row>
    <row r="108" spans="1:16" ht="14.45" customHeight="1" x14ac:dyDescent="0.25">
      <c r="A108" s="48" t="s">
        <v>89</v>
      </c>
      <c r="B108" s="19">
        <v>8.3756469190120697E-2</v>
      </c>
      <c r="C108" s="19">
        <v>5.5734600871801376E-2</v>
      </c>
      <c r="D108" s="19">
        <v>7.8513957560062408E-2</v>
      </c>
      <c r="E108" s="19">
        <v>8.2580827176570892E-2</v>
      </c>
      <c r="F108" s="19">
        <v>6.8294286727905273E-2</v>
      </c>
      <c r="G108" s="19">
        <v>7.7426448464393616E-2</v>
      </c>
      <c r="H108" s="19">
        <v>7.4937835335731506E-2</v>
      </c>
      <c r="I108" s="19">
        <v>5.9035666286945343E-2</v>
      </c>
      <c r="J108" s="18">
        <v>8.6699448525905609E-2</v>
      </c>
      <c r="K108" s="113">
        <v>9.6958272159099579E-2</v>
      </c>
      <c r="L108" s="113">
        <v>0.10381777584552765</v>
      </c>
      <c r="M108" s="113">
        <v>9.3175396323204041E-2</v>
      </c>
      <c r="N108" s="113">
        <v>0.11475604772567749</v>
      </c>
      <c r="O108" s="113">
        <v>0.16801540553569794</v>
      </c>
      <c r="P108" s="113">
        <v>0.20861935615539551</v>
      </c>
    </row>
    <row r="109" spans="1:16" ht="14.45" customHeight="1" x14ac:dyDescent="0.25">
      <c r="A109" s="47" t="s">
        <v>67</v>
      </c>
      <c r="B109" s="21">
        <v>0.1294260174036026</v>
      </c>
      <c r="C109" s="21">
        <v>3.5175617784261703E-2</v>
      </c>
      <c r="D109" s="21">
        <v>3.8270920515060425E-2</v>
      </c>
      <c r="E109" s="21">
        <v>4.5446645468473434E-2</v>
      </c>
      <c r="F109" s="21">
        <v>2.2877436131238937E-2</v>
      </c>
      <c r="G109" s="21">
        <v>2.6730282232165337E-2</v>
      </c>
      <c r="H109" s="21">
        <v>9.4987927004694939E-3</v>
      </c>
      <c r="I109" s="21">
        <v>1.0036244057118893E-2</v>
      </c>
      <c r="J109" s="20">
        <v>1.3925877399742603E-2</v>
      </c>
      <c r="K109" s="114">
        <v>2.8458047658205032E-2</v>
      </c>
      <c r="L109" s="114">
        <v>2.4045191705226898E-2</v>
      </c>
      <c r="M109" s="114">
        <v>2.1107051521539688E-2</v>
      </c>
      <c r="N109" s="114">
        <v>2.4832706898450851E-2</v>
      </c>
      <c r="O109" s="114">
        <v>0.10527428984642029</v>
      </c>
      <c r="P109" s="114">
        <v>0.15458834171295166</v>
      </c>
    </row>
    <row r="110" spans="1:16" ht="14.45" customHeight="1" x14ac:dyDescent="0.25">
      <c r="A110" s="48" t="s">
        <v>29</v>
      </c>
      <c r="B110" s="19">
        <v>4.3471962213516235E-2</v>
      </c>
      <c r="C110" s="19">
        <v>1.400347612798214E-2</v>
      </c>
      <c r="D110" s="19">
        <v>1.538590993732214E-2</v>
      </c>
      <c r="E110" s="19">
        <v>1.7454009503126144E-2</v>
      </c>
      <c r="F110" s="19">
        <v>1.4525186270475388E-2</v>
      </c>
      <c r="G110" s="19">
        <v>5.1915370859205723E-3</v>
      </c>
      <c r="H110" s="19">
        <v>2.9675348196178675E-3</v>
      </c>
      <c r="I110" s="19">
        <v>3.8598158862441778E-3</v>
      </c>
      <c r="J110" s="18">
        <v>4.3536252342164516E-3</v>
      </c>
      <c r="K110" s="113">
        <v>8.6253415793180466E-3</v>
      </c>
      <c r="L110" s="113">
        <v>5.8036562986671925E-3</v>
      </c>
      <c r="M110" s="113">
        <v>3.6292910226620734E-4</v>
      </c>
      <c r="N110" s="113">
        <v>2.7587132062762976E-3</v>
      </c>
      <c r="O110" s="113">
        <v>4.8139631748199463E-2</v>
      </c>
      <c r="P110" s="113">
        <v>0.10631429404020309</v>
      </c>
    </row>
    <row r="111" spans="1:16" ht="14.45" customHeight="1" x14ac:dyDescent="0.25">
      <c r="A111" s="47" t="s">
        <v>68</v>
      </c>
      <c r="B111" s="21">
        <v>9.6901291981339455E-3</v>
      </c>
      <c r="C111" s="21">
        <v>6.1488398350775242E-3</v>
      </c>
      <c r="D111" s="21">
        <v>1.3193660415709019E-3</v>
      </c>
      <c r="E111" s="21">
        <v>1.0451894486322999E-3</v>
      </c>
      <c r="F111" s="21">
        <v>3.0414012144319713E-4</v>
      </c>
      <c r="G111" s="21">
        <v>0</v>
      </c>
      <c r="H111" s="21">
        <v>0</v>
      </c>
      <c r="I111" s="21">
        <v>7.329986896365881E-3</v>
      </c>
      <c r="J111" s="20">
        <v>6.2669150065630674E-4</v>
      </c>
      <c r="K111" s="114">
        <v>0</v>
      </c>
      <c r="L111" s="114">
        <v>1.394233200699091E-3</v>
      </c>
      <c r="M111" s="114">
        <v>0</v>
      </c>
      <c r="N111" s="114">
        <v>7.4780819704756141E-4</v>
      </c>
      <c r="O111" s="114">
        <v>7.620654534548521E-3</v>
      </c>
      <c r="P111" s="114">
        <v>4.110398143529892E-2</v>
      </c>
    </row>
    <row r="112" spans="1:16" ht="14.45" customHeight="1" x14ac:dyDescent="0.25">
      <c r="A112" s="53" t="s">
        <v>90</v>
      </c>
      <c r="B112" s="44">
        <v>1.5737592475488782E-3</v>
      </c>
      <c r="C112" s="44">
        <v>2.7559949085116386E-3</v>
      </c>
      <c r="D112" s="44">
        <v>1.3581374660134315E-3</v>
      </c>
      <c r="E112" s="44">
        <v>9.6885982202365994E-4</v>
      </c>
      <c r="F112" s="44">
        <v>0</v>
      </c>
      <c r="G112" s="44">
        <v>0</v>
      </c>
      <c r="H112" s="44">
        <v>0</v>
      </c>
      <c r="I112" s="44">
        <v>0</v>
      </c>
      <c r="J112" s="45">
        <v>0</v>
      </c>
      <c r="K112" s="115">
        <v>2.9484180267900229E-3</v>
      </c>
      <c r="L112" s="115">
        <v>0</v>
      </c>
      <c r="M112" s="115">
        <v>0</v>
      </c>
      <c r="N112" s="115">
        <v>0</v>
      </c>
      <c r="O112" s="115">
        <v>2.6788641698658466E-3</v>
      </c>
      <c r="P112" s="115">
        <v>6.2308637425303459E-3</v>
      </c>
    </row>
    <row r="113" spans="1:16" ht="14.45" customHeight="1" x14ac:dyDescent="0.25">
      <c r="A113" s="26" t="s">
        <v>14</v>
      </c>
      <c r="B113" s="21" t="s">
        <v>27</v>
      </c>
      <c r="C113" s="21" t="s">
        <v>27</v>
      </c>
      <c r="D113" s="21" t="s">
        <v>27</v>
      </c>
      <c r="E113" s="21" t="s">
        <v>27</v>
      </c>
      <c r="F113" s="21" t="s">
        <v>27</v>
      </c>
      <c r="G113" s="21" t="s">
        <v>27</v>
      </c>
      <c r="H113" s="21" t="s">
        <v>27</v>
      </c>
      <c r="I113" s="21" t="s">
        <v>27</v>
      </c>
      <c r="J113" s="20" t="s">
        <v>27</v>
      </c>
      <c r="K113" s="114" t="s">
        <v>27</v>
      </c>
      <c r="L113" s="114" t="s">
        <v>27</v>
      </c>
      <c r="M113" s="114" t="s">
        <v>27</v>
      </c>
      <c r="N113" s="114" t="s">
        <v>27</v>
      </c>
      <c r="O113" s="114" t="s">
        <v>27</v>
      </c>
      <c r="P113" s="114" t="s">
        <v>27</v>
      </c>
    </row>
    <row r="114" spans="1:16" ht="14.45" customHeight="1" x14ac:dyDescent="0.25">
      <c r="A114" s="48" t="s">
        <v>89</v>
      </c>
      <c r="B114" s="19">
        <v>0.12058373540639877</v>
      </c>
      <c r="C114" s="19">
        <v>0.11734219640493393</v>
      </c>
      <c r="D114" s="19">
        <v>0.12549979984760284</v>
      </c>
      <c r="E114" s="19">
        <v>0.12486430257558823</v>
      </c>
      <c r="F114" s="19">
        <v>9.6910305321216583E-2</v>
      </c>
      <c r="G114" s="19">
        <v>8.6923748254776001E-2</v>
      </c>
      <c r="H114" s="19">
        <v>8.4521286189556122E-2</v>
      </c>
      <c r="I114" s="19">
        <v>9.5134273171424866E-2</v>
      </c>
      <c r="J114" s="18">
        <v>9.1409057378768921E-2</v>
      </c>
      <c r="K114" s="113">
        <v>9.6502602100372314E-2</v>
      </c>
      <c r="L114" s="113">
        <v>0.12222707271575928</v>
      </c>
      <c r="M114" s="113">
        <v>0.11084818094968796</v>
      </c>
      <c r="N114" s="113">
        <v>0.13597424328327179</v>
      </c>
      <c r="O114" s="113">
        <v>0.14851899445056915</v>
      </c>
      <c r="P114" s="113">
        <v>0.19559988379478455</v>
      </c>
    </row>
    <row r="115" spans="1:16" ht="14.45" customHeight="1" x14ac:dyDescent="0.25">
      <c r="A115" s="47" t="s">
        <v>67</v>
      </c>
      <c r="B115" s="21">
        <v>0.14024287462234497</v>
      </c>
      <c r="C115" s="21">
        <v>0.12616607546806335</v>
      </c>
      <c r="D115" s="21">
        <v>0.16048796474933624</v>
      </c>
      <c r="E115" s="21">
        <v>0.1777653694152832</v>
      </c>
      <c r="F115" s="21">
        <v>0.16087593138217926</v>
      </c>
      <c r="G115" s="21">
        <v>0.14601574838161469</v>
      </c>
      <c r="H115" s="21">
        <v>0.13486030697822571</v>
      </c>
      <c r="I115" s="21">
        <v>0.12213944643735886</v>
      </c>
      <c r="J115" s="20">
        <v>0.11214850097894669</v>
      </c>
      <c r="K115" s="114">
        <v>0.12171852588653564</v>
      </c>
      <c r="L115" s="114">
        <v>0.13187885284423828</v>
      </c>
      <c r="M115" s="114">
        <v>0.12510985136032104</v>
      </c>
      <c r="N115" s="114">
        <v>0.15020063519477844</v>
      </c>
      <c r="O115" s="114">
        <v>9.3637861311435699E-2</v>
      </c>
      <c r="P115" s="114">
        <v>0.10537108778953552</v>
      </c>
    </row>
    <row r="116" spans="1:16" ht="14.45" customHeight="1" x14ac:dyDescent="0.25">
      <c r="A116" s="48" t="s">
        <v>29</v>
      </c>
      <c r="B116" s="19">
        <v>0.12375859171152115</v>
      </c>
      <c r="C116" s="19">
        <v>0.12806196510791779</v>
      </c>
      <c r="D116" s="19">
        <v>0.13676521182060242</v>
      </c>
      <c r="E116" s="19">
        <v>0.1462404876947403</v>
      </c>
      <c r="F116" s="19">
        <v>0.12384193390607834</v>
      </c>
      <c r="G116" s="19">
        <v>9.8411954939365387E-2</v>
      </c>
      <c r="H116" s="19">
        <v>0.14696617424488068</v>
      </c>
      <c r="I116" s="19">
        <v>0.1089605838060379</v>
      </c>
      <c r="J116" s="18">
        <v>0.11158841848373413</v>
      </c>
      <c r="K116" s="113">
        <v>7.0784881711006165E-2</v>
      </c>
      <c r="L116" s="113">
        <v>9.9473215639591217E-2</v>
      </c>
      <c r="M116" s="113">
        <v>0.10042616724967957</v>
      </c>
      <c r="N116" s="113">
        <v>4.9905907362699509E-2</v>
      </c>
      <c r="O116" s="113">
        <v>7.0674203336238861E-2</v>
      </c>
      <c r="P116" s="113">
        <v>6.7149005830287933E-2</v>
      </c>
    </row>
    <row r="117" spans="1:16" ht="14.45" customHeight="1" x14ac:dyDescent="0.25">
      <c r="A117" s="47" t="s">
        <v>68</v>
      </c>
      <c r="B117" s="21">
        <v>0.12772159278392792</v>
      </c>
      <c r="C117" s="21">
        <v>0.13318684697151184</v>
      </c>
      <c r="D117" s="21">
        <v>0.11590076237916946</v>
      </c>
      <c r="E117" s="21">
        <v>9.7259432077407837E-2</v>
      </c>
      <c r="F117" s="21">
        <v>9.1459676623344421E-2</v>
      </c>
      <c r="G117" s="21">
        <v>0.11679923534393311</v>
      </c>
      <c r="H117" s="21">
        <v>0.12987634539604187</v>
      </c>
      <c r="I117" s="21">
        <v>0.11604804545640945</v>
      </c>
      <c r="J117" s="20">
        <v>9.8164431750774384E-2</v>
      </c>
      <c r="K117" s="114">
        <v>5.7051576673984528E-2</v>
      </c>
      <c r="L117" s="114">
        <v>6.5395765006542206E-2</v>
      </c>
      <c r="M117" s="114">
        <v>7.6041042804718018E-2</v>
      </c>
      <c r="N117" s="114">
        <v>6.2254894524812698E-2</v>
      </c>
      <c r="O117" s="114">
        <v>9.2033453285694122E-2</v>
      </c>
      <c r="P117" s="114">
        <v>6.9188013672828674E-2</v>
      </c>
    </row>
    <row r="118" spans="1:16" ht="14.45" customHeight="1" x14ac:dyDescent="0.25">
      <c r="A118" s="53" t="s">
        <v>90</v>
      </c>
      <c r="B118" s="44">
        <v>9.0868182480335236E-2</v>
      </c>
      <c r="C118" s="44">
        <v>9.1951236128807068E-2</v>
      </c>
      <c r="D118" s="44">
        <v>8.2589007914066315E-2</v>
      </c>
      <c r="E118" s="44">
        <v>9.7095325589179993E-2</v>
      </c>
      <c r="F118" s="44">
        <v>8.5333220660686493E-2</v>
      </c>
      <c r="G118" s="44">
        <v>8.6518019437789917E-2</v>
      </c>
      <c r="H118" s="44">
        <v>7.3726862668991089E-2</v>
      </c>
      <c r="I118" s="44">
        <v>6.9984667003154755E-2</v>
      </c>
      <c r="J118" s="45">
        <v>7.5592607259750366E-2</v>
      </c>
      <c r="K118" s="115">
        <v>8.2564771175384521E-2</v>
      </c>
      <c r="L118" s="115">
        <v>5.8868337422609329E-2</v>
      </c>
      <c r="M118" s="115">
        <v>5.3029868751764297E-2</v>
      </c>
      <c r="N118" s="115">
        <v>6.606726348400116E-2</v>
      </c>
      <c r="O118" s="115">
        <v>7.3345586657524109E-2</v>
      </c>
      <c r="P118" s="115">
        <v>6.5942056477069855E-2</v>
      </c>
    </row>
    <row r="119" spans="1:16" ht="14.45" customHeight="1" x14ac:dyDescent="0.25">
      <c r="A119" s="26" t="s">
        <v>15</v>
      </c>
      <c r="B119" s="21" t="s">
        <v>27</v>
      </c>
      <c r="C119" s="21" t="s">
        <v>27</v>
      </c>
      <c r="D119" s="21" t="s">
        <v>27</v>
      </c>
      <c r="E119" s="21" t="s">
        <v>27</v>
      </c>
      <c r="F119" s="21" t="s">
        <v>27</v>
      </c>
      <c r="G119" s="21" t="s">
        <v>27</v>
      </c>
      <c r="H119" s="21" t="s">
        <v>27</v>
      </c>
      <c r="I119" s="21" t="s">
        <v>27</v>
      </c>
      <c r="J119" s="20" t="s">
        <v>27</v>
      </c>
      <c r="K119" s="114" t="s">
        <v>27</v>
      </c>
      <c r="L119" s="114" t="s">
        <v>27</v>
      </c>
      <c r="M119" s="114" t="s">
        <v>27</v>
      </c>
      <c r="N119" s="114" t="s">
        <v>27</v>
      </c>
      <c r="O119" s="114" t="s">
        <v>27</v>
      </c>
      <c r="P119" s="114" t="s">
        <v>27</v>
      </c>
    </row>
    <row r="120" spans="1:16" ht="14.45" customHeight="1" x14ac:dyDescent="0.25">
      <c r="A120" s="48" t="s">
        <v>89</v>
      </c>
      <c r="B120" s="19">
        <v>0.26896446943283081</v>
      </c>
      <c r="C120" s="19">
        <v>0.27762299776077271</v>
      </c>
      <c r="D120" s="19">
        <v>0.30381050705909729</v>
      </c>
      <c r="E120" s="19">
        <v>0.34483161568641663</v>
      </c>
      <c r="F120" s="19">
        <v>0.34891489148139954</v>
      </c>
      <c r="G120" s="19">
        <v>0.37185594439506531</v>
      </c>
      <c r="H120" s="19">
        <v>0.34818419814109802</v>
      </c>
      <c r="I120" s="19">
        <v>0.31608453392982483</v>
      </c>
      <c r="J120" s="18">
        <v>0.30421414971351624</v>
      </c>
      <c r="K120" s="113">
        <v>0.27182498574256897</v>
      </c>
      <c r="L120" s="113">
        <v>0.2235473096370697</v>
      </c>
      <c r="M120" s="113">
        <v>0.21601234376430511</v>
      </c>
      <c r="N120" s="113">
        <v>0.19787172973155975</v>
      </c>
      <c r="O120" s="113">
        <v>0.16457049548625946</v>
      </c>
      <c r="P120" s="113">
        <v>0.17244014143943787</v>
      </c>
    </row>
    <row r="121" spans="1:16" ht="14.45" customHeight="1" x14ac:dyDescent="0.25">
      <c r="A121" s="47" t="s">
        <v>67</v>
      </c>
      <c r="B121" s="21">
        <v>0.16594387590885162</v>
      </c>
      <c r="C121" s="21">
        <v>0.18113361299037933</v>
      </c>
      <c r="D121" s="21">
        <v>0.19511564075946808</v>
      </c>
      <c r="E121" s="21">
        <v>0.16283786296844482</v>
      </c>
      <c r="F121" s="21">
        <v>0.17523786425590515</v>
      </c>
      <c r="G121" s="21">
        <v>0.16481557488441467</v>
      </c>
      <c r="H121" s="21">
        <v>0.14681282639503479</v>
      </c>
      <c r="I121" s="21">
        <v>0.15638568997383118</v>
      </c>
      <c r="J121" s="20">
        <v>0.14396573603153229</v>
      </c>
      <c r="K121" s="114">
        <v>0.15923158824443817</v>
      </c>
      <c r="L121" s="114">
        <v>0.11890455335378647</v>
      </c>
      <c r="M121" s="114">
        <v>0.12958605587482452</v>
      </c>
      <c r="N121" s="114">
        <v>0.12781980633735657</v>
      </c>
      <c r="O121" s="114">
        <v>9.3315273523330688E-2</v>
      </c>
      <c r="P121" s="114">
        <v>0.10436887294054031</v>
      </c>
    </row>
    <row r="122" spans="1:16" ht="14.45" customHeight="1" x14ac:dyDescent="0.25">
      <c r="A122" s="48" t="s">
        <v>29</v>
      </c>
      <c r="B122" s="19">
        <v>0.12310118973255157</v>
      </c>
      <c r="C122" s="19">
        <v>0.1388600766658783</v>
      </c>
      <c r="D122" s="19">
        <v>0.13315126299858093</v>
      </c>
      <c r="E122" s="19">
        <v>0.13614319264888763</v>
      </c>
      <c r="F122" s="19">
        <v>0.11483640223741531</v>
      </c>
      <c r="G122" s="19">
        <v>0.12273003160953522</v>
      </c>
      <c r="H122" s="19">
        <v>0.12485308945178986</v>
      </c>
      <c r="I122" s="19">
        <v>0.12988555431365967</v>
      </c>
      <c r="J122" s="18">
        <v>9.5471516251564026E-2</v>
      </c>
      <c r="K122" s="113">
        <v>9.0341232717037201E-2</v>
      </c>
      <c r="L122" s="113">
        <v>0.10149472951889038</v>
      </c>
      <c r="M122" s="113">
        <v>9.2020422220230103E-2</v>
      </c>
      <c r="N122" s="113">
        <v>9.6354067325592041E-2</v>
      </c>
      <c r="O122" s="113">
        <v>6.8206228315830231E-2</v>
      </c>
      <c r="P122" s="113">
        <v>5.9776648879051208E-2</v>
      </c>
    </row>
    <row r="123" spans="1:16" ht="14.45" customHeight="1" x14ac:dyDescent="0.25">
      <c r="A123" s="47" t="s">
        <v>68</v>
      </c>
      <c r="B123" s="21">
        <v>7.0493631064891815E-2</v>
      </c>
      <c r="C123" s="21">
        <v>7.1936391294002533E-2</v>
      </c>
      <c r="D123" s="21">
        <v>8.830629289150238E-2</v>
      </c>
      <c r="E123" s="21">
        <v>6.6063582897186279E-2</v>
      </c>
      <c r="F123" s="21">
        <v>8.5258759558200836E-2</v>
      </c>
      <c r="G123" s="21">
        <v>8.1341005861759186E-2</v>
      </c>
      <c r="H123" s="21">
        <v>7.8565560281276703E-2</v>
      </c>
      <c r="I123" s="21">
        <v>5.3275354206562042E-2</v>
      </c>
      <c r="J123" s="20">
        <v>5.5114001035690308E-2</v>
      </c>
      <c r="K123" s="114">
        <v>2.6584791019558907E-2</v>
      </c>
      <c r="L123" s="114">
        <v>4.6730194240808487E-2</v>
      </c>
      <c r="M123" s="114">
        <v>6.4616657793521881E-2</v>
      </c>
      <c r="N123" s="114">
        <v>4.9591537564992905E-2</v>
      </c>
      <c r="O123" s="114">
        <v>3.4596003592014313E-2</v>
      </c>
      <c r="P123" s="114">
        <v>4.1483838111162186E-2</v>
      </c>
    </row>
    <row r="124" spans="1:16" ht="14.45" customHeight="1" x14ac:dyDescent="0.25">
      <c r="A124" s="53" t="s">
        <v>90</v>
      </c>
      <c r="B124" s="44">
        <v>3.2175123691558838E-2</v>
      </c>
      <c r="C124" s="44">
        <v>4.2039260268211365E-2</v>
      </c>
      <c r="D124" s="44">
        <v>3.3698488026857376E-2</v>
      </c>
      <c r="E124" s="44">
        <v>3.7374064326286316E-2</v>
      </c>
      <c r="F124" s="44">
        <v>2.5402979925274849E-2</v>
      </c>
      <c r="G124" s="44">
        <v>2.2747473791241646E-2</v>
      </c>
      <c r="H124" s="44">
        <v>3.7534523755311966E-2</v>
      </c>
      <c r="I124" s="44">
        <v>2.2580500692129135E-2</v>
      </c>
      <c r="J124" s="45">
        <v>1.7646465450525284E-2</v>
      </c>
      <c r="K124" s="115">
        <v>3.1985312700271606E-2</v>
      </c>
      <c r="L124" s="115">
        <v>2.9483821243047714E-2</v>
      </c>
      <c r="M124" s="115">
        <v>1.2009194120764732E-2</v>
      </c>
      <c r="N124" s="115">
        <v>1.855618879199028E-2</v>
      </c>
      <c r="O124" s="115">
        <v>1.2535452842712402E-2</v>
      </c>
      <c r="P124" s="115">
        <v>8.5093863308429718E-3</v>
      </c>
    </row>
    <row r="125" spans="1:16" ht="14.45" customHeight="1" x14ac:dyDescent="0.25">
      <c r="A125" s="26" t="s">
        <v>16</v>
      </c>
      <c r="B125" s="21" t="s">
        <v>27</v>
      </c>
      <c r="C125" s="21" t="s">
        <v>27</v>
      </c>
      <c r="D125" s="21" t="s">
        <v>27</v>
      </c>
      <c r="E125" s="21" t="s">
        <v>27</v>
      </c>
      <c r="F125" s="21" t="s">
        <v>27</v>
      </c>
      <c r="G125" s="21" t="s">
        <v>27</v>
      </c>
      <c r="H125" s="21" t="s">
        <v>27</v>
      </c>
      <c r="I125" s="21" t="s">
        <v>27</v>
      </c>
      <c r="J125" s="20" t="s">
        <v>27</v>
      </c>
      <c r="K125" s="114" t="s">
        <v>27</v>
      </c>
      <c r="L125" s="114" t="s">
        <v>27</v>
      </c>
      <c r="M125" s="114" t="s">
        <v>27</v>
      </c>
      <c r="N125" s="114" t="s">
        <v>27</v>
      </c>
      <c r="O125" s="114" t="s">
        <v>27</v>
      </c>
      <c r="P125" s="114" t="s">
        <v>27</v>
      </c>
    </row>
    <row r="126" spans="1:16" ht="14.45" customHeight="1" x14ac:dyDescent="0.25">
      <c r="A126" s="48" t="s">
        <v>89</v>
      </c>
      <c r="B126" s="19">
        <v>0.47646299004554749</v>
      </c>
      <c r="C126" s="19">
        <v>0.46933776140213013</v>
      </c>
      <c r="D126" s="19">
        <v>0.472817063331604</v>
      </c>
      <c r="E126" s="19">
        <v>0.48443439602851868</v>
      </c>
      <c r="F126" s="19">
        <v>0.44649282097816467</v>
      </c>
      <c r="G126" s="19">
        <v>0.46850988268852234</v>
      </c>
      <c r="H126" s="19">
        <v>0.46287387609481812</v>
      </c>
      <c r="I126" s="19">
        <v>0.45235010981559753</v>
      </c>
      <c r="J126" s="18">
        <v>0.45389306545257568</v>
      </c>
      <c r="K126" s="113">
        <v>0.45547851920127869</v>
      </c>
      <c r="L126" s="113">
        <v>0.46248161792755127</v>
      </c>
      <c r="M126" s="113">
        <v>0.45424503087997437</v>
      </c>
      <c r="N126" s="113">
        <v>0.45836153626441956</v>
      </c>
      <c r="O126" s="113">
        <v>0.62763279676437378</v>
      </c>
      <c r="P126" s="113">
        <v>0.616405189037323</v>
      </c>
    </row>
    <row r="127" spans="1:16" ht="14.45" customHeight="1" x14ac:dyDescent="0.25">
      <c r="A127" s="47" t="s">
        <v>67</v>
      </c>
      <c r="B127" s="21">
        <v>0.24790549278259277</v>
      </c>
      <c r="C127" s="21">
        <v>0.22096201777458191</v>
      </c>
      <c r="D127" s="21">
        <v>0.20361553132534027</v>
      </c>
      <c r="E127" s="21">
        <v>0.19265161454677582</v>
      </c>
      <c r="F127" s="21">
        <v>0.2159113734960556</v>
      </c>
      <c r="G127" s="21">
        <v>0.26909443736076355</v>
      </c>
      <c r="H127" s="21">
        <v>0.21675148606300354</v>
      </c>
      <c r="I127" s="21">
        <v>0.22789557278156281</v>
      </c>
      <c r="J127" s="20">
        <v>0.23049452900886536</v>
      </c>
      <c r="K127" s="114">
        <v>0.21882666647434235</v>
      </c>
      <c r="L127" s="114">
        <v>0.19212530553340912</v>
      </c>
      <c r="M127" s="114">
        <v>0.21917101740837097</v>
      </c>
      <c r="N127" s="114">
        <v>0.21437352895736694</v>
      </c>
      <c r="O127" s="114">
        <v>0.23600491881370544</v>
      </c>
      <c r="P127" s="114">
        <v>0.24226576089859009</v>
      </c>
    </row>
    <row r="128" spans="1:16" ht="14.45" customHeight="1" x14ac:dyDescent="0.25">
      <c r="A128" s="48" t="s">
        <v>29</v>
      </c>
      <c r="B128" s="19">
        <v>6.5283752977848053E-2</v>
      </c>
      <c r="C128" s="19">
        <v>2.5776751339435577E-2</v>
      </c>
      <c r="D128" s="19">
        <v>3.394719585776329E-2</v>
      </c>
      <c r="E128" s="19">
        <v>2.5532057508826256E-2</v>
      </c>
      <c r="F128" s="19">
        <v>1.8016492947936058E-2</v>
      </c>
      <c r="G128" s="19">
        <v>2.5288505479693413E-2</v>
      </c>
      <c r="H128" s="19">
        <v>1.9104992970824242E-2</v>
      </c>
      <c r="I128" s="19">
        <v>1.4753882773220539E-2</v>
      </c>
      <c r="J128" s="18">
        <v>1.3058098033070564E-2</v>
      </c>
      <c r="K128" s="113">
        <v>1.3849830254912376E-2</v>
      </c>
      <c r="L128" s="113">
        <v>1.4035813510417938E-2</v>
      </c>
      <c r="M128" s="113">
        <v>2.7826102450489998E-2</v>
      </c>
      <c r="N128" s="113">
        <v>2.5525601580739021E-2</v>
      </c>
      <c r="O128" s="113">
        <v>3.9136730134487152E-2</v>
      </c>
      <c r="P128" s="113">
        <v>2.6175700128078461E-2</v>
      </c>
    </row>
    <row r="129" spans="1:16" ht="14.45" customHeight="1" x14ac:dyDescent="0.25">
      <c r="A129" s="47" t="s">
        <v>68</v>
      </c>
      <c r="B129" s="21">
        <v>1.597621850669384E-2</v>
      </c>
      <c r="C129" s="21">
        <v>1.4241589233279228E-2</v>
      </c>
      <c r="D129" s="21">
        <v>1.7574384808540344E-2</v>
      </c>
      <c r="E129" s="21">
        <v>1.1845957487821579E-2</v>
      </c>
      <c r="F129" s="21">
        <v>1.066465862095356E-2</v>
      </c>
      <c r="G129" s="21">
        <v>1.17047019302845E-2</v>
      </c>
      <c r="H129" s="21">
        <v>1.1463887989521027E-2</v>
      </c>
      <c r="I129" s="21">
        <v>9.2869298532605171E-3</v>
      </c>
      <c r="J129" s="20">
        <v>5.7178321294486523E-3</v>
      </c>
      <c r="K129" s="114">
        <v>5.0155576318502426E-3</v>
      </c>
      <c r="L129" s="114">
        <v>1.0538848116993904E-2</v>
      </c>
      <c r="M129" s="114">
        <v>1.1726084165275097E-2</v>
      </c>
      <c r="N129" s="114">
        <v>8.0801118165254593E-3</v>
      </c>
      <c r="O129" s="114">
        <v>9.8263192921876907E-3</v>
      </c>
      <c r="P129" s="114">
        <v>1.0216353461146355E-2</v>
      </c>
    </row>
    <row r="130" spans="1:16" ht="14.45" customHeight="1" x14ac:dyDescent="0.25">
      <c r="A130" s="53" t="s">
        <v>90</v>
      </c>
      <c r="B130" s="44">
        <v>8.2089658826589584E-3</v>
      </c>
      <c r="C130" s="44">
        <v>5.4811532609164715E-3</v>
      </c>
      <c r="D130" s="44">
        <v>6.3036540523171425E-3</v>
      </c>
      <c r="E130" s="44">
        <v>7.960788905620575E-3</v>
      </c>
      <c r="F130" s="44">
        <v>4.7547756694257259E-3</v>
      </c>
      <c r="G130" s="44">
        <v>5.8636227622628212E-3</v>
      </c>
      <c r="H130" s="44">
        <v>3.5984376445412636E-3</v>
      </c>
      <c r="I130" s="44">
        <v>4.853508435189724E-3</v>
      </c>
      <c r="J130" s="45">
        <v>4.5196232385933399E-3</v>
      </c>
      <c r="K130" s="115">
        <v>4.0684114210307598E-3</v>
      </c>
      <c r="L130" s="115">
        <v>4.3868548236787319E-3</v>
      </c>
      <c r="M130" s="115">
        <v>1.105726882815361E-2</v>
      </c>
      <c r="N130" s="115">
        <v>1.1507310904562473E-2</v>
      </c>
      <c r="O130" s="115">
        <v>1.0294007370248437E-3</v>
      </c>
      <c r="P130" s="115">
        <v>4.8342295922338963E-3</v>
      </c>
    </row>
    <row r="131" spans="1:16" ht="14.45" customHeight="1" x14ac:dyDescent="0.25">
      <c r="A131" s="26" t="s">
        <v>17</v>
      </c>
      <c r="B131" s="21" t="s">
        <v>27</v>
      </c>
      <c r="C131" s="21" t="s">
        <v>27</v>
      </c>
      <c r="D131" s="21" t="s">
        <v>27</v>
      </c>
      <c r="E131" s="21" t="s">
        <v>27</v>
      </c>
      <c r="F131" s="21" t="s">
        <v>27</v>
      </c>
      <c r="G131" s="21" t="s">
        <v>27</v>
      </c>
      <c r="H131" s="21" t="s">
        <v>27</v>
      </c>
      <c r="I131" s="21" t="s">
        <v>27</v>
      </c>
      <c r="J131" s="20" t="s">
        <v>27</v>
      </c>
      <c r="K131" s="114" t="s">
        <v>27</v>
      </c>
      <c r="L131" s="114" t="s">
        <v>27</v>
      </c>
      <c r="M131" s="114" t="s">
        <v>27</v>
      </c>
      <c r="N131" s="114" t="s">
        <v>27</v>
      </c>
      <c r="O131" s="114" t="s">
        <v>27</v>
      </c>
      <c r="P131" s="114" t="s">
        <v>27</v>
      </c>
    </row>
    <row r="132" spans="1:16" ht="14.45" customHeight="1" x14ac:dyDescent="0.25">
      <c r="A132" s="48" t="s">
        <v>89</v>
      </c>
      <c r="B132" s="19">
        <v>0.13593411445617676</v>
      </c>
      <c r="C132" s="19">
        <v>0.14940708875656128</v>
      </c>
      <c r="D132" s="19">
        <v>0.15840217471122742</v>
      </c>
      <c r="E132" s="19">
        <v>0.15681841969490051</v>
      </c>
      <c r="F132" s="19">
        <v>0.11158828437328339</v>
      </c>
      <c r="G132" s="19">
        <v>0.1411907821893692</v>
      </c>
      <c r="H132" s="19">
        <v>0.15150390565395355</v>
      </c>
      <c r="I132" s="19">
        <v>0.14042529463768005</v>
      </c>
      <c r="J132" s="18">
        <v>0.14264728128910065</v>
      </c>
      <c r="K132" s="113">
        <v>0.12219732999801636</v>
      </c>
      <c r="L132" s="113">
        <v>0.11810819059610367</v>
      </c>
      <c r="M132" s="113" t="s">
        <v>27</v>
      </c>
      <c r="N132" s="113">
        <v>0.12488503009080887</v>
      </c>
      <c r="O132" s="113">
        <v>0.16024197638034821</v>
      </c>
      <c r="P132" s="113">
        <v>0.14687569439411163</v>
      </c>
    </row>
    <row r="133" spans="1:16" ht="14.45" customHeight="1" x14ac:dyDescent="0.25">
      <c r="A133" s="47" t="s">
        <v>67</v>
      </c>
      <c r="B133" s="21">
        <v>2.3014165461063385E-2</v>
      </c>
      <c r="C133" s="21">
        <v>2.7757452800869942E-2</v>
      </c>
      <c r="D133" s="21">
        <v>2.0790150389075279E-2</v>
      </c>
      <c r="E133" s="21">
        <v>2.5902628898620605E-2</v>
      </c>
      <c r="F133" s="21">
        <v>1.3602525927126408E-2</v>
      </c>
      <c r="G133" s="21">
        <v>1.1087143793702126E-2</v>
      </c>
      <c r="H133" s="21">
        <v>1.5680758282542229E-2</v>
      </c>
      <c r="I133" s="21">
        <v>2.0930858328938484E-2</v>
      </c>
      <c r="J133" s="20">
        <v>2.417493611574173E-2</v>
      </c>
      <c r="K133" s="114">
        <v>1.5528259798884392E-2</v>
      </c>
      <c r="L133" s="114">
        <v>1.3982944190502167E-2</v>
      </c>
      <c r="M133" s="114" t="s">
        <v>27</v>
      </c>
      <c r="N133" s="114">
        <v>1.4322456903755665E-2</v>
      </c>
      <c r="O133" s="114">
        <v>1.8103454262018204E-2</v>
      </c>
      <c r="P133" s="114">
        <v>2.5925071910023689E-2</v>
      </c>
    </row>
    <row r="134" spans="1:16" ht="14.45" customHeight="1" x14ac:dyDescent="0.25">
      <c r="A134" s="48" t="s">
        <v>29</v>
      </c>
      <c r="B134" s="19">
        <v>3.6786950659006834E-3</v>
      </c>
      <c r="C134" s="19">
        <v>4.2818738147616386E-3</v>
      </c>
      <c r="D134" s="19">
        <v>1.0515088215470314E-2</v>
      </c>
      <c r="E134" s="19">
        <v>3.3503174781799316E-3</v>
      </c>
      <c r="F134" s="19">
        <v>3.5274715628474951E-3</v>
      </c>
      <c r="G134" s="19">
        <v>6.9463695399463177E-3</v>
      </c>
      <c r="H134" s="19">
        <v>4.205876961350441E-3</v>
      </c>
      <c r="I134" s="19">
        <v>2.5480848271399736E-3</v>
      </c>
      <c r="J134" s="18">
        <v>5.5223344825208187E-3</v>
      </c>
      <c r="K134" s="113">
        <v>5.9898588806390762E-3</v>
      </c>
      <c r="L134" s="113">
        <v>5.0324331969022751E-3</v>
      </c>
      <c r="M134" s="113" t="s">
        <v>27</v>
      </c>
      <c r="N134" s="113">
        <v>7.5383419170975685E-3</v>
      </c>
      <c r="O134" s="113">
        <v>6.2054838053882122E-3</v>
      </c>
      <c r="P134" s="113">
        <v>9.5831853104755282E-4</v>
      </c>
    </row>
    <row r="135" spans="1:16" ht="14.45" customHeight="1" x14ac:dyDescent="0.25">
      <c r="A135" s="47" t="s">
        <v>68</v>
      </c>
      <c r="B135" s="21">
        <v>5.7167238555848598E-3</v>
      </c>
      <c r="C135" s="21">
        <v>6.4151273109018803E-3</v>
      </c>
      <c r="D135" s="21">
        <v>4.5789615251123905E-3</v>
      </c>
      <c r="E135" s="21">
        <v>2.6377765461802483E-3</v>
      </c>
      <c r="F135" s="21">
        <v>3.6701133940368891E-3</v>
      </c>
      <c r="G135" s="21">
        <v>3.1218794174492359E-3</v>
      </c>
      <c r="H135" s="21">
        <v>2.0453149918466806E-3</v>
      </c>
      <c r="I135" s="21">
        <v>2.7157515287399292E-3</v>
      </c>
      <c r="J135" s="20">
        <v>2.9215947724878788E-3</v>
      </c>
      <c r="K135" s="114">
        <v>2.8972707223147154E-3</v>
      </c>
      <c r="L135" s="114">
        <v>3.2124086283147335E-3</v>
      </c>
      <c r="M135" s="114" t="s">
        <v>27</v>
      </c>
      <c r="N135" s="114">
        <v>2.1243223454803228E-3</v>
      </c>
      <c r="O135" s="114">
        <v>1.248470856808126E-3</v>
      </c>
      <c r="P135" s="114">
        <v>1.8040100112557411E-3</v>
      </c>
    </row>
    <row r="136" spans="1:16" ht="14.45" customHeight="1" x14ac:dyDescent="0.25">
      <c r="A136" s="53" t="s">
        <v>90</v>
      </c>
      <c r="B136" s="44">
        <v>5.1086186431348324E-4</v>
      </c>
      <c r="C136" s="44">
        <v>2.4807443842291832E-3</v>
      </c>
      <c r="D136" s="44">
        <v>2.8160135261714458E-3</v>
      </c>
      <c r="E136" s="44">
        <v>2.2654233034700155E-3</v>
      </c>
      <c r="F136" s="44">
        <v>1.3961073709651828E-3</v>
      </c>
      <c r="G136" s="44">
        <v>1.209362642839551E-3</v>
      </c>
      <c r="H136" s="44">
        <v>3.9638212183490396E-4</v>
      </c>
      <c r="I136" s="44">
        <v>1.3984758406877518E-3</v>
      </c>
      <c r="J136" s="45">
        <v>4.9547263188287616E-4</v>
      </c>
      <c r="K136" s="115">
        <v>4.8759049968793988E-4</v>
      </c>
      <c r="L136" s="115">
        <v>8.1433920422568917E-4</v>
      </c>
      <c r="M136" s="115" t="s">
        <v>27</v>
      </c>
      <c r="N136" s="115">
        <v>8.4506405983120203E-4</v>
      </c>
      <c r="O136" s="115">
        <v>4.07834118232131E-3</v>
      </c>
      <c r="P136" s="115">
        <v>3.1747641041874886E-3</v>
      </c>
    </row>
    <row r="137" spans="1:16" ht="14.45" customHeight="1" x14ac:dyDescent="0.25">
      <c r="A137" s="26" t="s">
        <v>18</v>
      </c>
      <c r="B137" s="21" t="s">
        <v>27</v>
      </c>
      <c r="C137" s="21" t="s">
        <v>27</v>
      </c>
      <c r="D137" s="21" t="s">
        <v>27</v>
      </c>
      <c r="E137" s="21" t="s">
        <v>27</v>
      </c>
      <c r="F137" s="21" t="s">
        <v>27</v>
      </c>
      <c r="G137" s="21" t="s">
        <v>27</v>
      </c>
      <c r="H137" s="21" t="s">
        <v>27</v>
      </c>
      <c r="I137" s="21" t="s">
        <v>27</v>
      </c>
      <c r="J137" s="20" t="s">
        <v>27</v>
      </c>
      <c r="K137" s="114" t="s">
        <v>27</v>
      </c>
      <c r="L137" s="114" t="s">
        <v>27</v>
      </c>
      <c r="M137" s="114" t="s">
        <v>27</v>
      </c>
      <c r="N137" s="114" t="s">
        <v>27</v>
      </c>
      <c r="O137" s="114" t="s">
        <v>27</v>
      </c>
      <c r="P137" s="114" t="s">
        <v>27</v>
      </c>
    </row>
    <row r="138" spans="1:16" ht="14.45" customHeight="1" x14ac:dyDescent="0.25">
      <c r="A138" s="48" t="s">
        <v>89</v>
      </c>
      <c r="B138" s="19">
        <v>8.0883815884590149E-2</v>
      </c>
      <c r="C138" s="19">
        <v>7.0371381938457489E-2</v>
      </c>
      <c r="D138" s="19">
        <v>7.0341348648071289E-2</v>
      </c>
      <c r="E138" s="19">
        <v>6.3170239329338074E-2</v>
      </c>
      <c r="F138" s="19">
        <v>7.1263976395130157E-2</v>
      </c>
      <c r="G138" s="19">
        <v>6.3146010041236877E-2</v>
      </c>
      <c r="H138" s="19">
        <v>6.3568703830242157E-2</v>
      </c>
      <c r="I138" s="19">
        <v>4.8286814242601395E-2</v>
      </c>
      <c r="J138" s="18">
        <v>4.5020002871751785E-2</v>
      </c>
      <c r="K138" s="113">
        <v>3.4834474325180054E-2</v>
      </c>
      <c r="L138" s="113">
        <v>2.5013865903019905E-2</v>
      </c>
      <c r="M138" s="113">
        <v>2.2560974583029747E-2</v>
      </c>
      <c r="N138" s="113">
        <v>1.7309350892901421E-2</v>
      </c>
      <c r="O138" s="113">
        <v>2.1820230409502983E-2</v>
      </c>
      <c r="P138" s="113">
        <v>2.3708228021860123E-2</v>
      </c>
    </row>
    <row r="139" spans="1:16" ht="14.45" customHeight="1" x14ac:dyDescent="0.25">
      <c r="A139" s="47" t="s">
        <v>67</v>
      </c>
      <c r="B139" s="21">
        <v>2.8308261185884476E-2</v>
      </c>
      <c r="C139" s="21">
        <v>2.4310028180480003E-2</v>
      </c>
      <c r="D139" s="21">
        <v>2.0939907059073448E-2</v>
      </c>
      <c r="E139" s="21">
        <v>1.9220383837819099E-2</v>
      </c>
      <c r="F139" s="21">
        <v>2.8763948008418083E-2</v>
      </c>
      <c r="G139" s="21">
        <v>1.8609371036291122E-2</v>
      </c>
      <c r="H139" s="21">
        <v>1.9428262487053871E-2</v>
      </c>
      <c r="I139" s="21">
        <v>1.2427651323378086E-2</v>
      </c>
      <c r="J139" s="20">
        <v>1.4548083767294884E-2</v>
      </c>
      <c r="K139" s="114">
        <v>1.6544399783015251E-2</v>
      </c>
      <c r="L139" s="114">
        <v>1.0230471380054951E-2</v>
      </c>
      <c r="M139" s="114">
        <v>7.8986715525388718E-3</v>
      </c>
      <c r="N139" s="114">
        <v>5.6127370335161686E-3</v>
      </c>
      <c r="O139" s="114">
        <v>7.6216100715100765E-3</v>
      </c>
      <c r="P139" s="114">
        <v>1.3341066427528858E-2</v>
      </c>
    </row>
    <row r="140" spans="1:16" ht="14.45" customHeight="1" x14ac:dyDescent="0.25">
      <c r="A140" s="48" t="s">
        <v>29</v>
      </c>
      <c r="B140" s="19">
        <v>1.1153753846883774E-2</v>
      </c>
      <c r="C140" s="19">
        <v>9.0052476152777672E-3</v>
      </c>
      <c r="D140" s="19">
        <v>1.0142643004655838E-2</v>
      </c>
      <c r="E140" s="19">
        <v>1.2718354351818562E-2</v>
      </c>
      <c r="F140" s="19">
        <v>8.4407441318035126E-3</v>
      </c>
      <c r="G140" s="19">
        <v>1.2609048746526241E-2</v>
      </c>
      <c r="H140" s="19">
        <v>9.7978012636303902E-3</v>
      </c>
      <c r="I140" s="19">
        <v>1.0496742092072964E-2</v>
      </c>
      <c r="J140" s="18">
        <v>5.8007333427667618E-3</v>
      </c>
      <c r="K140" s="113">
        <v>7.3230406269431114E-3</v>
      </c>
      <c r="L140" s="113">
        <v>2.7162455953657627E-3</v>
      </c>
      <c r="M140" s="113">
        <v>3.9767120033502579E-3</v>
      </c>
      <c r="N140" s="113">
        <v>2.1250138524919748E-3</v>
      </c>
      <c r="O140" s="113">
        <v>5.2962303161621094E-3</v>
      </c>
      <c r="P140" s="113">
        <v>3.6851014010608196E-3</v>
      </c>
    </row>
    <row r="141" spans="1:16" ht="14.45" customHeight="1" x14ac:dyDescent="0.25">
      <c r="A141" s="47" t="s">
        <v>68</v>
      </c>
      <c r="B141" s="21">
        <v>5.9839226305484772E-3</v>
      </c>
      <c r="C141" s="21">
        <v>2.6639930438250303E-3</v>
      </c>
      <c r="D141" s="21">
        <v>5.0732819363474846E-3</v>
      </c>
      <c r="E141" s="21">
        <v>4.594744648784399E-3</v>
      </c>
      <c r="F141" s="21">
        <v>8.7873497977852821E-3</v>
      </c>
      <c r="G141" s="21">
        <v>3.6054712254554033E-3</v>
      </c>
      <c r="H141" s="21">
        <v>5.5752918124198914E-3</v>
      </c>
      <c r="I141" s="21">
        <v>5.6359688751399517E-3</v>
      </c>
      <c r="J141" s="20">
        <v>2.7965111657977104E-3</v>
      </c>
      <c r="K141" s="114">
        <v>2.9923550318926573E-3</v>
      </c>
      <c r="L141" s="114">
        <v>1.5086436178535223E-3</v>
      </c>
      <c r="M141" s="114">
        <v>4.5405481941998005E-3</v>
      </c>
      <c r="N141" s="114">
        <v>3.2100027892738581E-3</v>
      </c>
      <c r="O141" s="114">
        <v>8.7480637012049556E-4</v>
      </c>
      <c r="P141" s="114">
        <v>1.974406186491251E-3</v>
      </c>
    </row>
    <row r="142" spans="1:16" ht="14.45" customHeight="1" x14ac:dyDescent="0.25">
      <c r="A142" s="53" t="s">
        <v>90</v>
      </c>
      <c r="B142" s="44">
        <v>2.5692353956401348E-3</v>
      </c>
      <c r="C142" s="44">
        <v>2.3247022181749344E-3</v>
      </c>
      <c r="D142" s="44">
        <v>1.6292395303025842E-3</v>
      </c>
      <c r="E142" s="44">
        <v>3.4483715426176786E-3</v>
      </c>
      <c r="F142" s="44">
        <v>1.7280797474086285E-3</v>
      </c>
      <c r="G142" s="44">
        <v>5.7282480411231518E-3</v>
      </c>
      <c r="H142" s="44">
        <v>4.8417584039270878E-3</v>
      </c>
      <c r="I142" s="44">
        <v>4.8787225969135761E-3</v>
      </c>
      <c r="J142" s="45">
        <v>6.2843775376677513E-3</v>
      </c>
      <c r="K142" s="115">
        <v>3.4335865639150143E-3</v>
      </c>
      <c r="L142" s="115">
        <v>1.6344838077202439E-3</v>
      </c>
      <c r="M142" s="115">
        <v>0</v>
      </c>
      <c r="N142" s="115">
        <v>7.3416781378909945E-4</v>
      </c>
      <c r="O142" s="115">
        <v>0</v>
      </c>
      <c r="P142" s="115">
        <v>6.5909797558560967E-4</v>
      </c>
    </row>
    <row r="143" spans="1:16" ht="14.45" customHeight="1" x14ac:dyDescent="0.25">
      <c r="A143" s="26" t="s">
        <v>19</v>
      </c>
      <c r="B143" s="21" t="s">
        <v>27</v>
      </c>
      <c r="C143" s="21" t="s">
        <v>27</v>
      </c>
      <c r="D143" s="21" t="s">
        <v>27</v>
      </c>
      <c r="E143" s="21" t="s">
        <v>27</v>
      </c>
      <c r="F143" s="21" t="s">
        <v>27</v>
      </c>
      <c r="G143" s="21" t="s">
        <v>27</v>
      </c>
      <c r="H143" s="21" t="s">
        <v>27</v>
      </c>
      <c r="I143" s="21" t="s">
        <v>27</v>
      </c>
      <c r="J143" s="20" t="s">
        <v>27</v>
      </c>
      <c r="K143" s="114" t="s">
        <v>27</v>
      </c>
      <c r="L143" s="114" t="s">
        <v>27</v>
      </c>
      <c r="M143" s="114" t="s">
        <v>27</v>
      </c>
      <c r="N143" s="114" t="s">
        <v>27</v>
      </c>
      <c r="O143" s="114" t="s">
        <v>27</v>
      </c>
      <c r="P143" s="114" t="s">
        <v>27</v>
      </c>
    </row>
    <row r="144" spans="1:16" ht="14.45" customHeight="1" x14ac:dyDescent="0.25">
      <c r="A144" s="48" t="s">
        <v>89</v>
      </c>
      <c r="B144" s="19">
        <v>1.9880311563611031E-2</v>
      </c>
      <c r="C144" s="19">
        <v>3.1012948602437973E-2</v>
      </c>
      <c r="D144" s="19">
        <v>4.1432920843362808E-2</v>
      </c>
      <c r="E144" s="19">
        <v>3.504561260342598E-2</v>
      </c>
      <c r="F144" s="19">
        <v>3.6303665488958359E-2</v>
      </c>
      <c r="G144" s="19">
        <v>3.6595374345779419E-2</v>
      </c>
      <c r="H144" s="19">
        <v>4.0391113609075546E-2</v>
      </c>
      <c r="I144" s="19">
        <v>3.7034451961517334E-2</v>
      </c>
      <c r="J144" s="18">
        <v>3.4855812788009644E-2</v>
      </c>
      <c r="K144" s="113">
        <v>2.8695126995444298E-2</v>
      </c>
      <c r="L144" s="113">
        <v>3.5757917910814285E-2</v>
      </c>
      <c r="M144" s="113">
        <v>6.6130630671977997E-2</v>
      </c>
      <c r="N144" s="113">
        <v>3.2896451652050018E-2</v>
      </c>
      <c r="O144" s="113">
        <v>1.0236532427370548E-2</v>
      </c>
      <c r="P144" s="113">
        <v>2.6841461658477783E-2</v>
      </c>
    </row>
    <row r="145" spans="1:16" ht="14.45" customHeight="1" x14ac:dyDescent="0.25">
      <c r="A145" s="47" t="s">
        <v>67</v>
      </c>
      <c r="B145" s="21">
        <v>6.0799907892942429E-2</v>
      </c>
      <c r="C145" s="21">
        <v>6.092042475938797E-2</v>
      </c>
      <c r="D145" s="21">
        <v>7.0729658007621765E-2</v>
      </c>
      <c r="E145" s="21">
        <v>6.2107846140861511E-2</v>
      </c>
      <c r="F145" s="21">
        <v>6.607954204082489E-2</v>
      </c>
      <c r="G145" s="21">
        <v>6.83889240026474E-2</v>
      </c>
      <c r="H145" s="21">
        <v>5.6059785187244415E-2</v>
      </c>
      <c r="I145" s="21">
        <v>5.7409092783927917E-2</v>
      </c>
      <c r="J145" s="20">
        <v>5.3400088101625443E-2</v>
      </c>
      <c r="K145" s="114">
        <v>4.3417640030384064E-2</v>
      </c>
      <c r="L145" s="114">
        <v>6.703050434589386E-2</v>
      </c>
      <c r="M145" s="114">
        <v>8.0723054707050323E-2</v>
      </c>
      <c r="N145" s="114">
        <v>6.3221953809261322E-2</v>
      </c>
      <c r="O145" s="114">
        <v>5.4368693381547928E-3</v>
      </c>
      <c r="P145" s="114">
        <v>3.1760353595018387E-2</v>
      </c>
    </row>
    <row r="146" spans="1:16" ht="14.45" customHeight="1" x14ac:dyDescent="0.25">
      <c r="A146" s="48" t="s">
        <v>29</v>
      </c>
      <c r="B146" s="19">
        <v>7.2741590440273285E-2</v>
      </c>
      <c r="C146" s="19">
        <v>8.960241824388504E-2</v>
      </c>
      <c r="D146" s="19">
        <v>8.4756366908550262E-2</v>
      </c>
      <c r="E146" s="19">
        <v>9.2600561678409576E-2</v>
      </c>
      <c r="F146" s="19">
        <v>0.10318126529455185</v>
      </c>
      <c r="G146" s="19">
        <v>7.8579023480415344E-2</v>
      </c>
      <c r="H146" s="19">
        <v>7.6672889292240143E-2</v>
      </c>
      <c r="I146" s="19">
        <v>8.2849092781543732E-2</v>
      </c>
      <c r="J146" s="18">
        <v>6.7055240273475647E-2</v>
      </c>
      <c r="K146" s="113">
        <v>8.0256223678588867E-2</v>
      </c>
      <c r="L146" s="113">
        <v>9.4745859503746033E-2</v>
      </c>
      <c r="M146" s="113">
        <v>0.10327300429344177</v>
      </c>
      <c r="N146" s="113">
        <v>6.8740569055080414E-2</v>
      </c>
      <c r="O146" s="113">
        <v>4.8688170500099659E-3</v>
      </c>
      <c r="P146" s="113">
        <v>2.5886612012982368E-2</v>
      </c>
    </row>
    <row r="147" spans="1:16" ht="14.45" customHeight="1" x14ac:dyDescent="0.25">
      <c r="A147" s="47" t="s">
        <v>68</v>
      </c>
      <c r="B147" s="21">
        <v>9.4506166875362396E-2</v>
      </c>
      <c r="C147" s="21">
        <v>6.7984782159328461E-2</v>
      </c>
      <c r="D147" s="21">
        <v>8.9518710970878601E-2</v>
      </c>
      <c r="E147" s="21">
        <v>0.10328073799610138</v>
      </c>
      <c r="F147" s="21">
        <v>9.0761333703994751E-2</v>
      </c>
      <c r="G147" s="21">
        <v>0.10055007040500641</v>
      </c>
      <c r="H147" s="21">
        <v>0.10838037729263306</v>
      </c>
      <c r="I147" s="21">
        <v>8.6417935788631439E-2</v>
      </c>
      <c r="J147" s="20">
        <v>8.8927328586578369E-2</v>
      </c>
      <c r="K147" s="114">
        <v>6.6713474690914154E-2</v>
      </c>
      <c r="L147" s="114">
        <v>9.1328054666519165E-2</v>
      </c>
      <c r="M147" s="114">
        <v>9.6345767378807068E-2</v>
      </c>
      <c r="N147" s="114">
        <v>6.1931770294904709E-2</v>
      </c>
      <c r="O147" s="114">
        <v>4.1939602233469486E-3</v>
      </c>
      <c r="P147" s="114">
        <v>2.2364243865013123E-2</v>
      </c>
    </row>
    <row r="148" spans="1:16" ht="14.45" customHeight="1" x14ac:dyDescent="0.25">
      <c r="A148" s="53" t="s">
        <v>90</v>
      </c>
      <c r="B148" s="44">
        <v>8.2047149538993835E-2</v>
      </c>
      <c r="C148" s="44">
        <v>5.3682789206504822E-2</v>
      </c>
      <c r="D148" s="44">
        <v>7.4487760663032532E-2</v>
      </c>
      <c r="E148" s="44">
        <v>8.61378014087677E-2</v>
      </c>
      <c r="F148" s="44">
        <v>7.1732260286808014E-2</v>
      </c>
      <c r="G148" s="44">
        <v>7.1258343756198883E-2</v>
      </c>
      <c r="H148" s="44">
        <v>7.5560182332992554E-2</v>
      </c>
      <c r="I148" s="44">
        <v>8.1327199935913086E-2</v>
      </c>
      <c r="J148" s="45">
        <v>7.475726306438446E-2</v>
      </c>
      <c r="K148" s="115">
        <v>6.3177682459354401E-2</v>
      </c>
      <c r="L148" s="115">
        <v>6.4664848148822784E-2</v>
      </c>
      <c r="M148" s="115">
        <v>7.6592892408370972E-2</v>
      </c>
      <c r="N148" s="115">
        <v>6.7876175045967102E-2</v>
      </c>
      <c r="O148" s="115">
        <v>3.8960010278970003E-3</v>
      </c>
      <c r="P148" s="115">
        <v>1.138493325561285E-2</v>
      </c>
    </row>
    <row r="149" spans="1:16" ht="14.45" customHeight="1" x14ac:dyDescent="0.25">
      <c r="A149" s="26" t="s">
        <v>20</v>
      </c>
      <c r="B149" s="21" t="s">
        <v>27</v>
      </c>
      <c r="C149" s="21" t="s">
        <v>27</v>
      </c>
      <c r="D149" s="21" t="s">
        <v>27</v>
      </c>
      <c r="E149" s="21" t="s">
        <v>27</v>
      </c>
      <c r="F149" s="21" t="s">
        <v>27</v>
      </c>
      <c r="G149" s="21" t="s">
        <v>27</v>
      </c>
      <c r="H149" s="21" t="s">
        <v>27</v>
      </c>
      <c r="I149" s="21" t="s">
        <v>27</v>
      </c>
      <c r="J149" s="20" t="s">
        <v>27</v>
      </c>
      <c r="K149" s="114" t="s">
        <v>27</v>
      </c>
      <c r="L149" s="114" t="s">
        <v>27</v>
      </c>
      <c r="M149" s="114" t="s">
        <v>27</v>
      </c>
      <c r="N149" s="114" t="s">
        <v>27</v>
      </c>
      <c r="O149" s="114" t="s">
        <v>27</v>
      </c>
      <c r="P149" s="114" t="s">
        <v>27</v>
      </c>
    </row>
    <row r="150" spans="1:16" ht="14.45" customHeight="1" x14ac:dyDescent="0.25">
      <c r="A150" s="48" t="s">
        <v>89</v>
      </c>
      <c r="B150" s="19">
        <v>0</v>
      </c>
      <c r="C150" s="19">
        <v>0</v>
      </c>
      <c r="D150" s="19">
        <v>0</v>
      </c>
      <c r="E150" s="19">
        <v>0</v>
      </c>
      <c r="F150" s="19">
        <v>0</v>
      </c>
      <c r="G150" s="19">
        <v>0</v>
      </c>
      <c r="H150" s="19">
        <v>0</v>
      </c>
      <c r="I150" s="19">
        <v>0</v>
      </c>
      <c r="J150" s="18">
        <v>0</v>
      </c>
      <c r="K150" s="113">
        <v>0</v>
      </c>
      <c r="L150" s="113">
        <v>0</v>
      </c>
      <c r="M150" s="113">
        <v>0</v>
      </c>
      <c r="N150" s="113">
        <v>0.10885372757911682</v>
      </c>
      <c r="O150" s="113">
        <v>3.8072753231972456E-3</v>
      </c>
      <c r="P150" s="113">
        <v>0.45947378873825073</v>
      </c>
    </row>
    <row r="151" spans="1:16" ht="14.45" customHeight="1" x14ac:dyDescent="0.25">
      <c r="A151" s="47" t="s">
        <v>67</v>
      </c>
      <c r="B151" s="21">
        <v>0</v>
      </c>
      <c r="C151" s="21">
        <v>0</v>
      </c>
      <c r="D151" s="21">
        <v>0</v>
      </c>
      <c r="E151" s="21">
        <v>0</v>
      </c>
      <c r="F151" s="21">
        <v>0</v>
      </c>
      <c r="G151" s="21">
        <v>0</v>
      </c>
      <c r="H151" s="21">
        <v>0</v>
      </c>
      <c r="I151" s="21">
        <v>0</v>
      </c>
      <c r="J151" s="20">
        <v>0</v>
      </c>
      <c r="K151" s="114">
        <v>0</v>
      </c>
      <c r="L151" s="114">
        <v>0</v>
      </c>
      <c r="M151" s="114">
        <v>0</v>
      </c>
      <c r="N151" s="114">
        <v>2.2775368764996529E-2</v>
      </c>
      <c r="O151" s="114">
        <v>5.2228668937459588E-4</v>
      </c>
      <c r="P151" s="114">
        <v>0.28635531663894653</v>
      </c>
    </row>
    <row r="152" spans="1:16" ht="14.45" customHeight="1" x14ac:dyDescent="0.25">
      <c r="A152" s="48" t="s">
        <v>29</v>
      </c>
      <c r="B152" s="19">
        <v>0</v>
      </c>
      <c r="C152" s="19">
        <v>0</v>
      </c>
      <c r="D152" s="19">
        <v>0</v>
      </c>
      <c r="E152" s="19">
        <v>0</v>
      </c>
      <c r="F152" s="19">
        <v>0</v>
      </c>
      <c r="G152" s="19">
        <v>0</v>
      </c>
      <c r="H152" s="19">
        <v>0</v>
      </c>
      <c r="I152" s="19">
        <v>0</v>
      </c>
      <c r="J152" s="18">
        <v>0</v>
      </c>
      <c r="K152" s="113">
        <v>0</v>
      </c>
      <c r="L152" s="113">
        <v>0</v>
      </c>
      <c r="M152" s="113">
        <v>0</v>
      </c>
      <c r="N152" s="113">
        <v>1.9273458048701286E-2</v>
      </c>
      <c r="O152" s="113">
        <v>0</v>
      </c>
      <c r="P152" s="113">
        <v>0.18123234808444977</v>
      </c>
    </row>
    <row r="153" spans="1:16" ht="14.45" customHeight="1" x14ac:dyDescent="0.25">
      <c r="A153" s="47" t="s">
        <v>68</v>
      </c>
      <c r="B153" s="21">
        <v>0</v>
      </c>
      <c r="C153" s="21">
        <v>0</v>
      </c>
      <c r="D153" s="21">
        <v>0</v>
      </c>
      <c r="E153" s="21">
        <v>0</v>
      </c>
      <c r="F153" s="21">
        <v>0</v>
      </c>
      <c r="G153" s="21">
        <v>0</v>
      </c>
      <c r="H153" s="21">
        <v>0</v>
      </c>
      <c r="I153" s="21">
        <v>0</v>
      </c>
      <c r="J153" s="20">
        <v>0</v>
      </c>
      <c r="K153" s="114">
        <v>0</v>
      </c>
      <c r="L153" s="114">
        <v>0</v>
      </c>
      <c r="M153" s="114">
        <v>0</v>
      </c>
      <c r="N153" s="114">
        <v>1.9535329192876816E-2</v>
      </c>
      <c r="O153" s="114">
        <v>0</v>
      </c>
      <c r="P153" s="114">
        <v>0.13920028507709503</v>
      </c>
    </row>
    <row r="154" spans="1:16" ht="14.45" customHeight="1" x14ac:dyDescent="0.25">
      <c r="A154" s="53" t="s">
        <v>90</v>
      </c>
      <c r="B154" s="44">
        <v>0</v>
      </c>
      <c r="C154" s="44">
        <v>0</v>
      </c>
      <c r="D154" s="44">
        <v>0</v>
      </c>
      <c r="E154" s="44">
        <v>0</v>
      </c>
      <c r="F154" s="44">
        <v>0</v>
      </c>
      <c r="G154" s="44">
        <v>0</v>
      </c>
      <c r="H154" s="44">
        <v>0</v>
      </c>
      <c r="I154" s="44">
        <v>0</v>
      </c>
      <c r="J154" s="45">
        <v>0</v>
      </c>
      <c r="K154" s="115">
        <v>0</v>
      </c>
      <c r="L154" s="115">
        <v>0</v>
      </c>
      <c r="M154" s="115">
        <v>0</v>
      </c>
      <c r="N154" s="115">
        <v>2.7296757325530052E-2</v>
      </c>
      <c r="O154" s="115">
        <v>0</v>
      </c>
      <c r="P154" s="115">
        <v>9.063740074634552E-2</v>
      </c>
    </row>
    <row r="155" spans="1:16" ht="14.45" customHeight="1" x14ac:dyDescent="0.25">
      <c r="A155" s="26" t="s">
        <v>21</v>
      </c>
      <c r="B155" s="21" t="s">
        <v>27</v>
      </c>
      <c r="C155" s="21" t="s">
        <v>27</v>
      </c>
      <c r="D155" s="21" t="s">
        <v>27</v>
      </c>
      <c r="E155" s="21" t="s">
        <v>27</v>
      </c>
      <c r="F155" s="21" t="s">
        <v>27</v>
      </c>
      <c r="G155" s="21" t="s">
        <v>27</v>
      </c>
      <c r="H155" s="21" t="s">
        <v>27</v>
      </c>
      <c r="I155" s="21" t="s">
        <v>27</v>
      </c>
      <c r="J155" s="20" t="s">
        <v>27</v>
      </c>
      <c r="K155" s="114" t="s">
        <v>27</v>
      </c>
      <c r="L155" s="114" t="s">
        <v>27</v>
      </c>
      <c r="M155" s="114" t="s">
        <v>27</v>
      </c>
      <c r="N155" s="114" t="s">
        <v>27</v>
      </c>
      <c r="O155" s="114" t="s">
        <v>27</v>
      </c>
      <c r="P155" s="114" t="s">
        <v>27</v>
      </c>
    </row>
    <row r="156" spans="1:16" ht="14.45" customHeight="1" x14ac:dyDescent="0.25">
      <c r="A156" s="48" t="s">
        <v>89</v>
      </c>
      <c r="B156" s="19">
        <v>3.1358241103589535E-3</v>
      </c>
      <c r="C156" s="19">
        <v>1.5207205433398485E-3</v>
      </c>
      <c r="D156" s="19">
        <v>3.0043856240808964E-3</v>
      </c>
      <c r="E156" s="19">
        <v>2.102523110806942E-3</v>
      </c>
      <c r="F156" s="19">
        <v>6.5587460994720459E-3</v>
      </c>
      <c r="G156" s="19">
        <v>3.4172132145613432E-3</v>
      </c>
      <c r="H156" s="19">
        <v>6.1120581813156605E-3</v>
      </c>
      <c r="I156" s="19">
        <v>3.7003760226070881E-3</v>
      </c>
      <c r="J156" s="18">
        <v>0</v>
      </c>
      <c r="K156" s="113">
        <v>0</v>
      </c>
      <c r="L156" s="113">
        <v>0</v>
      </c>
      <c r="M156" s="113">
        <v>0</v>
      </c>
      <c r="N156" s="113">
        <v>0</v>
      </c>
      <c r="O156" s="113">
        <v>0</v>
      </c>
      <c r="P156" s="113">
        <v>0</v>
      </c>
    </row>
    <row r="157" spans="1:16" ht="14.45" customHeight="1" x14ac:dyDescent="0.25">
      <c r="A157" s="47" t="s">
        <v>67</v>
      </c>
      <c r="B157" s="21">
        <v>4.9081896431744099E-3</v>
      </c>
      <c r="C157" s="21">
        <v>5.2731414325535297E-3</v>
      </c>
      <c r="D157" s="21">
        <v>1.3231317279860377E-3</v>
      </c>
      <c r="E157" s="21">
        <v>3.3833368215709925E-3</v>
      </c>
      <c r="F157" s="21">
        <v>0</v>
      </c>
      <c r="G157" s="21">
        <v>1.1541473213583231E-3</v>
      </c>
      <c r="H157" s="21">
        <v>2.2946472745388746E-4</v>
      </c>
      <c r="I157" s="21">
        <v>2.8341882862150669E-3</v>
      </c>
      <c r="J157" s="20">
        <v>0</v>
      </c>
      <c r="K157" s="114">
        <v>0</v>
      </c>
      <c r="L157" s="114">
        <v>0</v>
      </c>
      <c r="M157" s="114">
        <v>0</v>
      </c>
      <c r="N157" s="114">
        <v>0</v>
      </c>
      <c r="O157" s="114">
        <v>0</v>
      </c>
      <c r="P157" s="114">
        <v>0</v>
      </c>
    </row>
    <row r="158" spans="1:16" ht="14.45" customHeight="1" x14ac:dyDescent="0.25">
      <c r="A158" s="48" t="s">
        <v>29</v>
      </c>
      <c r="B158" s="19">
        <v>1.0274337837472558E-3</v>
      </c>
      <c r="C158" s="19">
        <v>2.9026756528764963E-3</v>
      </c>
      <c r="D158" s="19">
        <v>4.4287093915045261E-3</v>
      </c>
      <c r="E158" s="19">
        <v>1.3170401798561215E-3</v>
      </c>
      <c r="F158" s="19">
        <v>0</v>
      </c>
      <c r="G158" s="19">
        <v>7.7615823829546571E-4</v>
      </c>
      <c r="H158" s="19">
        <v>0</v>
      </c>
      <c r="I158" s="19">
        <v>3.2064330298453569E-3</v>
      </c>
      <c r="J158" s="18">
        <v>0</v>
      </c>
      <c r="K158" s="113">
        <v>0</v>
      </c>
      <c r="L158" s="113">
        <v>0</v>
      </c>
      <c r="M158" s="113">
        <v>0</v>
      </c>
      <c r="N158" s="113">
        <v>0</v>
      </c>
      <c r="O158" s="113">
        <v>0</v>
      </c>
      <c r="P158" s="113">
        <v>0</v>
      </c>
    </row>
    <row r="159" spans="1:16" ht="14.45" customHeight="1" x14ac:dyDescent="0.25">
      <c r="A159" s="47" t="s">
        <v>68</v>
      </c>
      <c r="B159" s="21">
        <v>2.2670852486044168E-3</v>
      </c>
      <c r="C159" s="21">
        <v>1.9876358564943075E-3</v>
      </c>
      <c r="D159" s="21">
        <v>2.4362329859286547E-3</v>
      </c>
      <c r="E159" s="21">
        <v>3.1680339016020298E-3</v>
      </c>
      <c r="F159" s="21">
        <v>3.4420578740537167E-3</v>
      </c>
      <c r="G159" s="21">
        <v>0</v>
      </c>
      <c r="H159" s="21">
        <v>1.8668725388124585E-3</v>
      </c>
      <c r="I159" s="21">
        <v>6.9518497912213206E-4</v>
      </c>
      <c r="J159" s="20">
        <v>0</v>
      </c>
      <c r="K159" s="114">
        <v>0</v>
      </c>
      <c r="L159" s="114">
        <v>0</v>
      </c>
      <c r="M159" s="114">
        <v>0</v>
      </c>
      <c r="N159" s="114">
        <v>0</v>
      </c>
      <c r="O159" s="114">
        <v>0</v>
      </c>
      <c r="P159" s="114">
        <v>0</v>
      </c>
    </row>
    <row r="160" spans="1:16" ht="14.45" customHeight="1" x14ac:dyDescent="0.25">
      <c r="A160" s="53" t="s">
        <v>90</v>
      </c>
      <c r="B160" s="44">
        <v>1.7998053226619959E-3</v>
      </c>
      <c r="C160" s="44">
        <v>1.9315622048452497E-3</v>
      </c>
      <c r="D160" s="44">
        <v>5.639771930873394E-3</v>
      </c>
      <c r="E160" s="44">
        <v>1.1497793719172478E-2</v>
      </c>
      <c r="F160" s="44">
        <v>1.0391833260655403E-2</v>
      </c>
      <c r="G160" s="44">
        <v>3.9719832129776478E-3</v>
      </c>
      <c r="H160" s="44">
        <v>2.558564767241478E-3</v>
      </c>
      <c r="I160" s="44">
        <v>6.7828141618520021E-4</v>
      </c>
      <c r="J160" s="45">
        <v>0</v>
      </c>
      <c r="K160" s="115">
        <v>0</v>
      </c>
      <c r="L160" s="115">
        <v>0</v>
      </c>
      <c r="M160" s="115">
        <v>0</v>
      </c>
      <c r="N160" s="115">
        <v>0</v>
      </c>
      <c r="O160" s="115">
        <v>0</v>
      </c>
      <c r="P160" s="115">
        <v>0</v>
      </c>
    </row>
    <row r="161" spans="1:16" ht="14.45" customHeight="1" x14ac:dyDescent="0.25">
      <c r="A161" s="26" t="s">
        <v>22</v>
      </c>
      <c r="B161" s="21" t="s">
        <v>27</v>
      </c>
      <c r="C161" s="21" t="s">
        <v>27</v>
      </c>
      <c r="D161" s="21" t="s">
        <v>27</v>
      </c>
      <c r="E161" s="21" t="s">
        <v>27</v>
      </c>
      <c r="F161" s="21" t="s">
        <v>27</v>
      </c>
      <c r="G161" s="21" t="s">
        <v>27</v>
      </c>
      <c r="H161" s="21" t="s">
        <v>27</v>
      </c>
      <c r="I161" s="21" t="s">
        <v>27</v>
      </c>
      <c r="J161" s="20" t="s">
        <v>27</v>
      </c>
      <c r="K161" s="114" t="s">
        <v>27</v>
      </c>
      <c r="L161" s="114" t="s">
        <v>27</v>
      </c>
      <c r="M161" s="114" t="s">
        <v>27</v>
      </c>
      <c r="N161" s="114" t="s">
        <v>27</v>
      </c>
      <c r="O161" s="114" t="s">
        <v>27</v>
      </c>
      <c r="P161" s="114" t="s">
        <v>27</v>
      </c>
    </row>
    <row r="162" spans="1:16" ht="14.45" customHeight="1" x14ac:dyDescent="0.25">
      <c r="A162" s="48" t="s">
        <v>89</v>
      </c>
      <c r="B162" s="19">
        <v>2.7040893211960793E-2</v>
      </c>
      <c r="C162" s="19">
        <v>2.235063724219799E-2</v>
      </c>
      <c r="D162" s="19">
        <v>1.8757231533527374E-2</v>
      </c>
      <c r="E162" s="19">
        <v>3.1482405960559845E-2</v>
      </c>
      <c r="F162" s="19">
        <v>3.8880068808794022E-2</v>
      </c>
      <c r="G162" s="19">
        <v>4.2507786303758621E-2</v>
      </c>
      <c r="H162" s="19">
        <v>3.8380499929189682E-2</v>
      </c>
      <c r="I162" s="19">
        <v>4.1112668812274933E-2</v>
      </c>
      <c r="J162" s="18">
        <v>3.764757513999939E-2</v>
      </c>
      <c r="K162" s="113">
        <v>4.2638808488845825E-2</v>
      </c>
      <c r="L162" s="113">
        <v>4.9119949340820313E-2</v>
      </c>
      <c r="M162" s="113">
        <v>5.6154865771532059E-2</v>
      </c>
      <c r="N162" s="113">
        <v>4.1929025202989578E-2</v>
      </c>
      <c r="O162" s="113">
        <v>3.8672901690006256E-2</v>
      </c>
      <c r="P162" s="113">
        <v>4.643847793340683E-2</v>
      </c>
    </row>
    <row r="163" spans="1:16" ht="14.45" customHeight="1" x14ac:dyDescent="0.25">
      <c r="A163" s="47" t="s">
        <v>67</v>
      </c>
      <c r="B163" s="21">
        <v>2.0379808265715837E-3</v>
      </c>
      <c r="C163" s="21">
        <v>3.7279084790498018E-3</v>
      </c>
      <c r="D163" s="21">
        <v>2.9331007972359657E-3</v>
      </c>
      <c r="E163" s="21">
        <v>1.4093542471528053E-2</v>
      </c>
      <c r="F163" s="21">
        <v>5.1883962005376816E-3</v>
      </c>
      <c r="G163" s="21">
        <v>0</v>
      </c>
      <c r="H163" s="21">
        <v>1.1730046011507511E-2</v>
      </c>
      <c r="I163" s="21">
        <v>1.5595908276736736E-2</v>
      </c>
      <c r="J163" s="20">
        <v>1.2761853635311127E-2</v>
      </c>
      <c r="K163" s="114">
        <v>1.2154306285083294E-2</v>
      </c>
      <c r="L163" s="114">
        <v>1.9127447158098221E-2</v>
      </c>
      <c r="M163" s="114">
        <v>1.0555901564657688E-2</v>
      </c>
      <c r="N163" s="114">
        <v>1.4573244377970695E-2</v>
      </c>
      <c r="O163" s="114">
        <v>1.1810882948338985E-2</v>
      </c>
      <c r="P163" s="114">
        <v>9.0593155473470688E-3</v>
      </c>
    </row>
    <row r="164" spans="1:16" ht="14.45" customHeight="1" x14ac:dyDescent="0.25">
      <c r="A164" s="48" t="s">
        <v>29</v>
      </c>
      <c r="B164" s="19">
        <v>1.3442409690469503E-3</v>
      </c>
      <c r="C164" s="19">
        <v>1.1281841434538364E-3</v>
      </c>
      <c r="D164" s="19">
        <v>4.5968843623995781E-3</v>
      </c>
      <c r="E164" s="19">
        <v>4.1119297966361046E-3</v>
      </c>
      <c r="F164" s="19">
        <v>3.2595072407275438E-3</v>
      </c>
      <c r="G164" s="19">
        <v>0</v>
      </c>
      <c r="H164" s="19">
        <v>6.282363086938858E-3</v>
      </c>
      <c r="I164" s="19">
        <v>2.9237032867968082E-3</v>
      </c>
      <c r="J164" s="18">
        <v>1.0237473994493484E-2</v>
      </c>
      <c r="K164" s="113">
        <v>5.2394741214811802E-3</v>
      </c>
      <c r="L164" s="113">
        <v>7.7495565637946129E-3</v>
      </c>
      <c r="M164" s="113">
        <v>3.1815655529499054E-3</v>
      </c>
      <c r="N164" s="113">
        <v>5.2212909795343876E-3</v>
      </c>
      <c r="O164" s="113">
        <v>5.4815359180793166E-4</v>
      </c>
      <c r="P164" s="113">
        <v>7.9330885782837868E-3</v>
      </c>
    </row>
    <row r="165" spans="1:16" ht="14.45" customHeight="1" x14ac:dyDescent="0.25">
      <c r="A165" s="47" t="s">
        <v>68</v>
      </c>
      <c r="B165" s="21">
        <v>0</v>
      </c>
      <c r="C165" s="21">
        <v>5.5651197908446193E-4</v>
      </c>
      <c r="D165" s="21">
        <v>0</v>
      </c>
      <c r="E165" s="21">
        <v>1.5710480511188507E-3</v>
      </c>
      <c r="F165" s="21">
        <v>1.9748867489397526E-3</v>
      </c>
      <c r="G165" s="21">
        <v>0</v>
      </c>
      <c r="H165" s="21">
        <v>2.891169860959053E-3</v>
      </c>
      <c r="I165" s="21">
        <v>3.4483082126826048E-3</v>
      </c>
      <c r="J165" s="20">
        <v>5.8197830803692341E-3</v>
      </c>
      <c r="K165" s="114">
        <v>2.8836105484515429E-3</v>
      </c>
      <c r="L165" s="114">
        <v>5.1718223839998245E-3</v>
      </c>
      <c r="M165" s="114">
        <v>1.4550115447491407E-3</v>
      </c>
      <c r="N165" s="114">
        <v>1.5637502074241638E-3</v>
      </c>
      <c r="O165" s="114">
        <v>4.7839118633419275E-4</v>
      </c>
      <c r="P165" s="114">
        <v>8.166369516402483E-4</v>
      </c>
    </row>
    <row r="166" spans="1:16" ht="14.45" customHeight="1" x14ac:dyDescent="0.25">
      <c r="A166" s="53" t="s">
        <v>90</v>
      </c>
      <c r="B166" s="44">
        <v>0</v>
      </c>
      <c r="C166" s="44">
        <v>0</v>
      </c>
      <c r="D166" s="44">
        <v>0</v>
      </c>
      <c r="E166" s="44">
        <v>0</v>
      </c>
      <c r="F166" s="44">
        <v>0</v>
      </c>
      <c r="G166" s="44">
        <v>0</v>
      </c>
      <c r="H166" s="44">
        <v>5.8984017232432961E-4</v>
      </c>
      <c r="I166" s="44">
        <v>2.211409155279398E-3</v>
      </c>
      <c r="J166" s="45">
        <v>0</v>
      </c>
      <c r="K166" s="115">
        <v>0</v>
      </c>
      <c r="L166" s="115">
        <v>3.1384429894387722E-4</v>
      </c>
      <c r="M166" s="115">
        <v>1.6607223078608513E-3</v>
      </c>
      <c r="N166" s="115">
        <v>1.0396443540230393E-3</v>
      </c>
      <c r="O166" s="115">
        <v>0</v>
      </c>
      <c r="P166" s="115">
        <v>0</v>
      </c>
    </row>
    <row r="167" spans="1:16" ht="14.45" customHeight="1" x14ac:dyDescent="0.25">
      <c r="A167" s="26" t="s">
        <v>23</v>
      </c>
      <c r="B167" s="21" t="s">
        <v>27</v>
      </c>
      <c r="C167" s="21" t="s">
        <v>27</v>
      </c>
      <c r="D167" s="21" t="s">
        <v>27</v>
      </c>
      <c r="E167" s="21" t="s">
        <v>27</v>
      </c>
      <c r="F167" s="21" t="s">
        <v>27</v>
      </c>
      <c r="G167" s="21" t="s">
        <v>27</v>
      </c>
      <c r="H167" s="21" t="s">
        <v>27</v>
      </c>
      <c r="I167" s="21" t="s">
        <v>27</v>
      </c>
      <c r="J167" s="20" t="s">
        <v>27</v>
      </c>
      <c r="K167" s="114" t="s">
        <v>27</v>
      </c>
      <c r="L167" s="114" t="s">
        <v>27</v>
      </c>
      <c r="M167" s="114" t="s">
        <v>27</v>
      </c>
      <c r="N167" s="114" t="s">
        <v>27</v>
      </c>
      <c r="O167" s="114" t="s">
        <v>27</v>
      </c>
      <c r="P167" s="114" t="s">
        <v>27</v>
      </c>
    </row>
    <row r="168" spans="1:16" ht="14.45" customHeight="1" x14ac:dyDescent="0.25">
      <c r="A168" s="48" t="s">
        <v>89</v>
      </c>
      <c r="B168" s="19">
        <v>2.3474901914596558E-2</v>
      </c>
      <c r="C168" s="19">
        <v>2.4104263633489609E-2</v>
      </c>
      <c r="D168" s="19">
        <v>1.9333794713020325E-2</v>
      </c>
      <c r="E168" s="19">
        <v>1.927916519343853E-2</v>
      </c>
      <c r="F168" s="19">
        <v>1.7948068678379059E-2</v>
      </c>
      <c r="G168" s="19">
        <v>1.5208224765956402E-2</v>
      </c>
      <c r="H168" s="19">
        <v>9.6330912783741951E-3</v>
      </c>
      <c r="I168" s="19">
        <v>3.502412885427475E-2</v>
      </c>
      <c r="J168" s="18">
        <v>2.9545124620199203E-2</v>
      </c>
      <c r="K168" s="113">
        <v>2.7917684987187386E-2</v>
      </c>
      <c r="L168" s="113">
        <v>4.3527502566576004E-2</v>
      </c>
      <c r="M168" s="113">
        <v>3.8313478231430054E-2</v>
      </c>
      <c r="N168" s="113">
        <v>3.278234601020813E-2</v>
      </c>
      <c r="O168" s="113">
        <v>3.0917169526219368E-2</v>
      </c>
      <c r="P168" s="113">
        <v>3.2727271318435669E-2</v>
      </c>
    </row>
    <row r="169" spans="1:16" ht="14.45" customHeight="1" x14ac:dyDescent="0.25">
      <c r="A169" s="47" t="s">
        <v>67</v>
      </c>
      <c r="B169" s="21">
        <v>2.2088229656219482E-2</v>
      </c>
      <c r="C169" s="21">
        <v>2.1297737956047058E-2</v>
      </c>
      <c r="D169" s="21">
        <v>1.6489330679178238E-2</v>
      </c>
      <c r="E169" s="21">
        <v>1.0707457549870014E-2</v>
      </c>
      <c r="F169" s="21">
        <v>8.3300676196813583E-3</v>
      </c>
      <c r="G169" s="21">
        <v>4.8213237896561623E-3</v>
      </c>
      <c r="H169" s="21">
        <v>1.1449197307229042E-2</v>
      </c>
      <c r="I169" s="21">
        <v>1.6166811808943748E-2</v>
      </c>
      <c r="J169" s="20">
        <v>1.8413200974464417E-2</v>
      </c>
      <c r="K169" s="114">
        <v>1.7176495864987373E-2</v>
      </c>
      <c r="L169" s="114">
        <v>2.6696078479290009E-2</v>
      </c>
      <c r="M169" s="114">
        <v>2.8707386925816536E-2</v>
      </c>
      <c r="N169" s="114">
        <v>3.4180309623479843E-2</v>
      </c>
      <c r="O169" s="114">
        <v>2.4110812693834305E-2</v>
      </c>
      <c r="P169" s="114">
        <v>2.4831544607877731E-2</v>
      </c>
    </row>
    <row r="170" spans="1:16" ht="14.45" customHeight="1" x14ac:dyDescent="0.25">
      <c r="A170" s="48" t="s">
        <v>29</v>
      </c>
      <c r="B170" s="19">
        <v>2.1738467738032341E-2</v>
      </c>
      <c r="C170" s="19">
        <v>1.5992898494005203E-2</v>
      </c>
      <c r="D170" s="19">
        <v>1.8227316439151764E-2</v>
      </c>
      <c r="E170" s="19">
        <v>2.0374415442347527E-2</v>
      </c>
      <c r="F170" s="19">
        <v>8.9903036132454872E-3</v>
      </c>
      <c r="G170" s="19">
        <v>7.9169115051627159E-3</v>
      </c>
      <c r="H170" s="19">
        <v>5.7715368457138538E-3</v>
      </c>
      <c r="I170" s="19">
        <v>1.3281304389238358E-2</v>
      </c>
      <c r="J170" s="18">
        <v>7.970249280333519E-3</v>
      </c>
      <c r="K170" s="113">
        <v>5.4784724488854408E-3</v>
      </c>
      <c r="L170" s="113">
        <v>1.3755703344941139E-2</v>
      </c>
      <c r="M170" s="113">
        <v>1.5303478576242924E-2</v>
      </c>
      <c r="N170" s="113">
        <v>1.2669351883232594E-2</v>
      </c>
      <c r="O170" s="113">
        <v>1.2258637696504593E-2</v>
      </c>
      <c r="P170" s="113">
        <v>1.5945345163345337E-2</v>
      </c>
    </row>
    <row r="171" spans="1:16" ht="14.45" customHeight="1" x14ac:dyDescent="0.25">
      <c r="A171" s="47" t="s">
        <v>68</v>
      </c>
      <c r="B171" s="21">
        <v>1.2302414514124393E-2</v>
      </c>
      <c r="C171" s="21">
        <v>1.5053180046379566E-2</v>
      </c>
      <c r="D171" s="21">
        <v>1.5428337268531322E-2</v>
      </c>
      <c r="E171" s="21">
        <v>1.5032902359962463E-2</v>
      </c>
      <c r="F171" s="21">
        <v>5.8016339316964149E-3</v>
      </c>
      <c r="G171" s="21">
        <v>5.7307961396872997E-3</v>
      </c>
      <c r="H171" s="21">
        <v>4.3463213369250298E-3</v>
      </c>
      <c r="I171" s="21">
        <v>7.6432656496763229E-3</v>
      </c>
      <c r="J171" s="20">
        <v>7.0972098037600517E-3</v>
      </c>
      <c r="K171" s="114">
        <v>4.3441718444228172E-3</v>
      </c>
      <c r="L171" s="114">
        <v>7.0269936695694923E-3</v>
      </c>
      <c r="M171" s="114">
        <v>3.6862380802631378E-3</v>
      </c>
      <c r="N171" s="114">
        <v>1.1080672964453697E-2</v>
      </c>
      <c r="O171" s="114">
        <v>9.8970290273427963E-3</v>
      </c>
      <c r="P171" s="114">
        <v>1.2482556514441967E-2</v>
      </c>
    </row>
    <row r="172" spans="1:16" ht="14.45" customHeight="1" x14ac:dyDescent="0.25">
      <c r="A172" s="53" t="s">
        <v>90</v>
      </c>
      <c r="B172" s="44">
        <v>9.804069995880127E-3</v>
      </c>
      <c r="C172" s="44">
        <v>9.3184970319271088E-3</v>
      </c>
      <c r="D172" s="44">
        <v>1.1830829083919525E-2</v>
      </c>
      <c r="E172" s="44">
        <v>7.439776323735714E-3</v>
      </c>
      <c r="F172" s="44">
        <v>3.2027226407080889E-3</v>
      </c>
      <c r="G172" s="44">
        <v>3.1399603467434645E-3</v>
      </c>
      <c r="H172" s="44">
        <v>4.141680896282196E-3</v>
      </c>
      <c r="I172" s="44">
        <v>6.7622456699609756E-3</v>
      </c>
      <c r="J172" s="45">
        <v>4.2149075306952E-3</v>
      </c>
      <c r="K172" s="115">
        <v>3.0409577302634716E-3</v>
      </c>
      <c r="L172" s="115">
        <v>1.3397800736129284E-2</v>
      </c>
      <c r="M172" s="115">
        <v>6.2968847341835499E-3</v>
      </c>
      <c r="N172" s="115">
        <v>3.4464884083718061E-3</v>
      </c>
      <c r="O172" s="115">
        <v>4.9519832246005535E-3</v>
      </c>
      <c r="P172" s="115">
        <v>5.654260516166687E-3</v>
      </c>
    </row>
    <row r="173" spans="1:16" ht="14.45" customHeight="1" x14ac:dyDescent="0.25">
      <c r="A173" s="26" t="s">
        <v>24</v>
      </c>
      <c r="B173" s="21" t="s">
        <v>27</v>
      </c>
      <c r="C173" s="21" t="s">
        <v>27</v>
      </c>
      <c r="D173" s="21" t="s">
        <v>27</v>
      </c>
      <c r="E173" s="21" t="s">
        <v>27</v>
      </c>
      <c r="F173" s="21" t="s">
        <v>27</v>
      </c>
      <c r="G173" s="21" t="s">
        <v>27</v>
      </c>
      <c r="H173" s="21" t="s">
        <v>27</v>
      </c>
      <c r="I173" s="21" t="s">
        <v>27</v>
      </c>
      <c r="J173" s="20" t="s">
        <v>27</v>
      </c>
      <c r="K173" s="114" t="s">
        <v>27</v>
      </c>
      <c r="L173" s="114" t="s">
        <v>27</v>
      </c>
      <c r="M173" s="114" t="s">
        <v>27</v>
      </c>
      <c r="N173" s="114" t="s">
        <v>27</v>
      </c>
      <c r="O173" s="114" t="s">
        <v>27</v>
      </c>
      <c r="P173" s="114" t="s">
        <v>27</v>
      </c>
    </row>
    <row r="174" spans="1:16" ht="14.45" customHeight="1" x14ac:dyDescent="0.25">
      <c r="A174" s="48" t="s">
        <v>89</v>
      </c>
      <c r="B174" s="19">
        <v>0.32864505052566528</v>
      </c>
      <c r="C174" s="19">
        <v>0.32133948802947998</v>
      </c>
      <c r="D174" s="19">
        <v>0.32117298245429993</v>
      </c>
      <c r="E174" s="19">
        <v>0.30206635594367981</v>
      </c>
      <c r="F174" s="19">
        <v>0.32752615213394165</v>
      </c>
      <c r="G174" s="19">
        <v>0.38041162490844727</v>
      </c>
      <c r="H174" s="19">
        <v>0.37779051065444946</v>
      </c>
      <c r="I174" s="19">
        <v>0.38274982571601868</v>
      </c>
      <c r="J174" s="18">
        <v>0.39161518216133118</v>
      </c>
      <c r="K174" s="113">
        <v>0.33911031484603882</v>
      </c>
      <c r="L174" s="113">
        <v>0.3549027144908905</v>
      </c>
      <c r="M174" s="113">
        <v>0.3223404586315155</v>
      </c>
      <c r="N174" s="113">
        <v>0.28912726044654846</v>
      </c>
      <c r="O174" s="113">
        <v>0.30076155066490173</v>
      </c>
      <c r="P174" s="113">
        <v>0.68678522109985352</v>
      </c>
    </row>
    <row r="175" spans="1:16" ht="14.45" customHeight="1" x14ac:dyDescent="0.25">
      <c r="A175" s="47" t="s">
        <v>67</v>
      </c>
      <c r="B175" s="21">
        <v>6.2131024897098541E-2</v>
      </c>
      <c r="C175" s="21">
        <v>5.7773493230342865E-2</v>
      </c>
      <c r="D175" s="21">
        <v>5.8518555015325546E-2</v>
      </c>
      <c r="E175" s="21">
        <v>5.7177763432264328E-2</v>
      </c>
      <c r="F175" s="21">
        <v>5.5306036025285721E-2</v>
      </c>
      <c r="G175" s="21">
        <v>0.1140940859913826</v>
      </c>
      <c r="H175" s="21">
        <v>0.12732492387294769</v>
      </c>
      <c r="I175" s="21">
        <v>9.1037824749946594E-2</v>
      </c>
      <c r="J175" s="20">
        <v>8.7946340441703796E-2</v>
      </c>
      <c r="K175" s="114">
        <v>0.12221577018499374</v>
      </c>
      <c r="L175" s="114">
        <v>0.10422670841217041</v>
      </c>
      <c r="M175" s="114">
        <v>9.897228330373764E-2</v>
      </c>
      <c r="N175" s="114">
        <v>0.1112440750002861</v>
      </c>
      <c r="O175" s="114">
        <v>0.10983257740736008</v>
      </c>
      <c r="P175" s="114">
        <v>0.78383779525756836</v>
      </c>
    </row>
    <row r="176" spans="1:16" ht="14.45" customHeight="1" x14ac:dyDescent="0.25">
      <c r="A176" s="48" t="s">
        <v>29</v>
      </c>
      <c r="B176" s="19">
        <v>1.2075289152562618E-2</v>
      </c>
      <c r="C176" s="19">
        <v>2.1249109879136086E-2</v>
      </c>
      <c r="D176" s="19">
        <v>1.5869507566094398E-2</v>
      </c>
      <c r="E176" s="19">
        <v>1.7651934176683426E-2</v>
      </c>
      <c r="F176" s="19">
        <v>1.4728909358382225E-2</v>
      </c>
      <c r="G176" s="19">
        <v>2.7432424947619438E-2</v>
      </c>
      <c r="H176" s="19">
        <v>2.2255977615714073E-2</v>
      </c>
      <c r="I176" s="19">
        <v>3.6501318216323853E-2</v>
      </c>
      <c r="J176" s="18">
        <v>2.3971265181899071E-2</v>
      </c>
      <c r="K176" s="113">
        <v>2.2363852709531784E-2</v>
      </c>
      <c r="L176" s="113">
        <v>3.192153200507164E-2</v>
      </c>
      <c r="M176" s="113">
        <v>1.7149966210126877E-2</v>
      </c>
      <c r="N176" s="113">
        <v>2.5135556235909462E-2</v>
      </c>
      <c r="O176" s="113">
        <v>2.048330195248127E-2</v>
      </c>
      <c r="P176" s="113">
        <v>0.81701779365539551</v>
      </c>
    </row>
    <row r="177" spans="1:16" ht="14.45" customHeight="1" x14ac:dyDescent="0.25">
      <c r="A177" s="47" t="s">
        <v>68</v>
      </c>
      <c r="B177" s="21">
        <v>9.6392296254634857E-3</v>
      </c>
      <c r="C177" s="21">
        <v>6.7686834372580051E-3</v>
      </c>
      <c r="D177" s="21">
        <v>5.0232997164130211E-3</v>
      </c>
      <c r="E177" s="21">
        <v>1.0296854190528393E-2</v>
      </c>
      <c r="F177" s="21">
        <v>1.6579318791627884E-2</v>
      </c>
      <c r="G177" s="21">
        <v>6.5189134329557419E-3</v>
      </c>
      <c r="H177" s="21">
        <v>1.5340634621679783E-2</v>
      </c>
      <c r="I177" s="21">
        <v>1.3585465028882027E-2</v>
      </c>
      <c r="J177" s="20">
        <v>9.3347877264022827E-3</v>
      </c>
      <c r="K177" s="114">
        <v>2.2855259478092194E-2</v>
      </c>
      <c r="L177" s="114">
        <v>1.7560107633471489E-2</v>
      </c>
      <c r="M177" s="114">
        <v>1.0805959813296795E-2</v>
      </c>
      <c r="N177" s="114">
        <v>9.010721929371357E-3</v>
      </c>
      <c r="O177" s="114">
        <v>8.9167030528187752E-3</v>
      </c>
      <c r="P177" s="114">
        <v>0.85792481899261475</v>
      </c>
    </row>
    <row r="178" spans="1:16" ht="14.45" customHeight="1" x14ac:dyDescent="0.25">
      <c r="A178" s="53" t="s">
        <v>90</v>
      </c>
      <c r="B178" s="44">
        <v>5.5364998988807201E-3</v>
      </c>
      <c r="C178" s="44">
        <v>8.8317645713686943E-3</v>
      </c>
      <c r="D178" s="44">
        <v>5.4835840128362179E-3</v>
      </c>
      <c r="E178" s="44">
        <v>6.8879001773893833E-3</v>
      </c>
      <c r="F178" s="44">
        <v>3.0625674407929182E-3</v>
      </c>
      <c r="G178" s="44">
        <v>6.6280970349907875E-3</v>
      </c>
      <c r="H178" s="44">
        <v>7.6378574594855309E-3</v>
      </c>
      <c r="I178" s="44">
        <v>6.6783097572624683E-3</v>
      </c>
      <c r="J178" s="45">
        <v>4.7441758215427399E-3</v>
      </c>
      <c r="K178" s="115">
        <v>8.2491617649793625E-3</v>
      </c>
      <c r="L178" s="115">
        <v>4.7778142616152763E-3</v>
      </c>
      <c r="M178" s="115">
        <v>5.9900898486375809E-3</v>
      </c>
      <c r="N178" s="115">
        <v>8.601972833275795E-3</v>
      </c>
      <c r="O178" s="115">
        <v>5.481828935444355E-3</v>
      </c>
      <c r="P178" s="115">
        <v>0.90117532014846802</v>
      </c>
    </row>
    <row r="179" spans="1:16" ht="14.45" customHeight="1" x14ac:dyDescent="0.25">
      <c r="A179" s="26" t="s">
        <v>25</v>
      </c>
      <c r="B179" s="21" t="s">
        <v>27</v>
      </c>
      <c r="C179" s="21" t="s">
        <v>27</v>
      </c>
      <c r="D179" s="21" t="s">
        <v>27</v>
      </c>
      <c r="E179" s="21" t="s">
        <v>27</v>
      </c>
      <c r="F179" s="21" t="s">
        <v>27</v>
      </c>
      <c r="G179" s="21" t="s">
        <v>27</v>
      </c>
      <c r="H179" s="21" t="s">
        <v>27</v>
      </c>
      <c r="I179" s="21" t="s">
        <v>27</v>
      </c>
      <c r="J179" s="20" t="s">
        <v>27</v>
      </c>
      <c r="K179" s="114" t="s">
        <v>27</v>
      </c>
      <c r="L179" s="114" t="s">
        <v>27</v>
      </c>
      <c r="M179" s="114" t="s">
        <v>27</v>
      </c>
      <c r="N179" s="114" t="s">
        <v>27</v>
      </c>
      <c r="O179" s="114" t="s">
        <v>27</v>
      </c>
      <c r="P179" s="114" t="s">
        <v>27</v>
      </c>
    </row>
    <row r="180" spans="1:16" ht="14.45" customHeight="1" x14ac:dyDescent="0.25">
      <c r="A180" s="48" t="s">
        <v>89</v>
      </c>
      <c r="B180" s="19">
        <v>1.5564274974167347E-2</v>
      </c>
      <c r="C180" s="19">
        <v>2.466222271323204E-2</v>
      </c>
      <c r="D180" s="19">
        <v>1.7543315887451172E-2</v>
      </c>
      <c r="E180" s="19">
        <v>1.7490936443209648E-2</v>
      </c>
      <c r="F180" s="19">
        <v>1.870419830083847E-2</v>
      </c>
      <c r="G180" s="19">
        <v>2.5488458573818207E-2</v>
      </c>
      <c r="H180" s="19">
        <v>1.4204571023583412E-2</v>
      </c>
      <c r="I180" s="19" t="s">
        <v>27</v>
      </c>
      <c r="J180" s="18">
        <v>2.2255303338170052E-2</v>
      </c>
      <c r="K180" s="113">
        <v>1.4815058559179306E-2</v>
      </c>
      <c r="L180" s="113">
        <v>2.6241889223456383E-2</v>
      </c>
      <c r="M180" s="113">
        <v>2.4988804012537003E-2</v>
      </c>
      <c r="N180" s="113">
        <v>1.5882782638072968E-2</v>
      </c>
      <c r="O180" s="113">
        <v>1.4227494597434998E-2</v>
      </c>
      <c r="P180" s="113" t="s">
        <v>27</v>
      </c>
    </row>
    <row r="181" spans="1:16" ht="14.45" customHeight="1" x14ac:dyDescent="0.25">
      <c r="A181" s="47" t="s">
        <v>67</v>
      </c>
      <c r="B181" s="21">
        <v>2.1267300471663475E-2</v>
      </c>
      <c r="C181" s="21">
        <v>1.5058521181344986E-2</v>
      </c>
      <c r="D181" s="21">
        <v>1.7662866041064262E-2</v>
      </c>
      <c r="E181" s="21">
        <v>1.8863150849938393E-2</v>
      </c>
      <c r="F181" s="21">
        <v>1.4252489432692528E-2</v>
      </c>
      <c r="G181" s="21">
        <v>2.0772984251379967E-2</v>
      </c>
      <c r="H181" s="21">
        <v>2.5630373507738113E-2</v>
      </c>
      <c r="I181" s="21" t="s">
        <v>27</v>
      </c>
      <c r="J181" s="20">
        <v>1.7608616501092911E-2</v>
      </c>
      <c r="K181" s="114">
        <v>1.9575566053390503E-2</v>
      </c>
      <c r="L181" s="114">
        <v>2.9893824830651283E-2</v>
      </c>
      <c r="M181" s="114">
        <v>2.4995258077979088E-2</v>
      </c>
      <c r="N181" s="114">
        <v>7.5260293669998646E-3</v>
      </c>
      <c r="O181" s="114">
        <v>2.7183892205357552E-2</v>
      </c>
      <c r="P181" s="114" t="s">
        <v>27</v>
      </c>
    </row>
    <row r="182" spans="1:16" ht="14.45" customHeight="1" x14ac:dyDescent="0.25">
      <c r="A182" s="48" t="s">
        <v>29</v>
      </c>
      <c r="B182" s="19">
        <v>5.7293595746159554E-3</v>
      </c>
      <c r="C182" s="19">
        <v>8.8048120960593224E-3</v>
      </c>
      <c r="D182" s="19">
        <v>4.7241221182048321E-3</v>
      </c>
      <c r="E182" s="19">
        <v>6.2236455269157887E-3</v>
      </c>
      <c r="F182" s="19">
        <v>5.4659051820635796E-3</v>
      </c>
      <c r="G182" s="19">
        <v>1.0163319297134876E-2</v>
      </c>
      <c r="H182" s="19">
        <v>8.5362792015075684E-3</v>
      </c>
      <c r="I182" s="19" t="s">
        <v>27</v>
      </c>
      <c r="J182" s="18">
        <v>2.7311635203659534E-3</v>
      </c>
      <c r="K182" s="113">
        <v>4.0472755208611488E-3</v>
      </c>
      <c r="L182" s="113">
        <v>8.6746662855148315E-3</v>
      </c>
      <c r="M182" s="113">
        <v>1.0302409529685974E-2</v>
      </c>
      <c r="N182" s="113">
        <v>1.5553002245724201E-2</v>
      </c>
      <c r="O182" s="113">
        <v>8.8900132104754448E-3</v>
      </c>
      <c r="P182" s="113" t="s">
        <v>27</v>
      </c>
    </row>
    <row r="183" spans="1:16" ht="14.45" customHeight="1" x14ac:dyDescent="0.25">
      <c r="A183" s="47" t="s">
        <v>68</v>
      </c>
      <c r="B183" s="21">
        <v>3.1596757471561432E-3</v>
      </c>
      <c r="C183" s="21">
        <v>4.6458039432764053E-3</v>
      </c>
      <c r="D183" s="21">
        <v>4.3370528146624565E-3</v>
      </c>
      <c r="E183" s="21">
        <v>6.997283548116684E-3</v>
      </c>
      <c r="F183" s="21">
        <v>4.5484473230317235E-4</v>
      </c>
      <c r="G183" s="21">
        <v>3.7739977706223726E-3</v>
      </c>
      <c r="H183" s="21">
        <v>3.7134315352886915E-3</v>
      </c>
      <c r="I183" s="21" t="s">
        <v>27</v>
      </c>
      <c r="J183" s="20">
        <v>3.1793061643838882E-3</v>
      </c>
      <c r="K183" s="114">
        <v>3.4737861715257168E-3</v>
      </c>
      <c r="L183" s="114">
        <v>5.5216951295733452E-3</v>
      </c>
      <c r="M183" s="114">
        <v>4.9802404828369617E-4</v>
      </c>
      <c r="N183" s="114">
        <v>3.1546088866889477E-3</v>
      </c>
      <c r="O183" s="114">
        <v>4.0597245097160339E-3</v>
      </c>
      <c r="P183" s="114" t="s">
        <v>27</v>
      </c>
    </row>
    <row r="184" spans="1:16" ht="14.45" customHeight="1" x14ac:dyDescent="0.25">
      <c r="A184" s="53" t="s">
        <v>90</v>
      </c>
      <c r="B184" s="44">
        <v>5.2856514230370522E-3</v>
      </c>
      <c r="C184" s="44">
        <v>1.1008869856595993E-2</v>
      </c>
      <c r="D184" s="44">
        <v>4.6758088283240795E-3</v>
      </c>
      <c r="E184" s="44">
        <v>3.3213640563189983E-3</v>
      </c>
      <c r="F184" s="44">
        <v>1.1851692106574774E-3</v>
      </c>
      <c r="G184" s="44">
        <v>8.7764934869483113E-4</v>
      </c>
      <c r="H184" s="44">
        <v>6.2497059116140008E-4</v>
      </c>
      <c r="I184" s="44" t="s">
        <v>27</v>
      </c>
      <c r="J184" s="45">
        <v>4.1550789028406143E-3</v>
      </c>
      <c r="K184" s="115">
        <v>4.5675886794924736E-3</v>
      </c>
      <c r="L184" s="115">
        <v>1.9616580102592707E-3</v>
      </c>
      <c r="M184" s="115">
        <v>9.1247307136654854E-4</v>
      </c>
      <c r="N184" s="115">
        <v>1.5921603189781308E-3</v>
      </c>
      <c r="O184" s="115">
        <v>1.6111002769321203E-3</v>
      </c>
      <c r="P184" s="115" t="s">
        <v>27</v>
      </c>
    </row>
    <row r="185" spans="1:16" ht="14.45" customHeight="1" x14ac:dyDescent="0.25">
      <c r="A185" s="26" t="s">
        <v>107</v>
      </c>
      <c r="B185" s="21" t="s">
        <v>27</v>
      </c>
      <c r="C185" s="21" t="s">
        <v>27</v>
      </c>
      <c r="D185" s="21" t="s">
        <v>27</v>
      </c>
      <c r="E185" s="21" t="s">
        <v>27</v>
      </c>
      <c r="F185" s="21" t="s">
        <v>27</v>
      </c>
      <c r="G185" s="21" t="s">
        <v>27</v>
      </c>
      <c r="H185" s="21" t="s">
        <v>27</v>
      </c>
      <c r="I185" s="21" t="s">
        <v>27</v>
      </c>
      <c r="J185" s="20" t="s">
        <v>27</v>
      </c>
      <c r="K185" s="114" t="s">
        <v>27</v>
      </c>
      <c r="L185" s="114" t="s">
        <v>27</v>
      </c>
      <c r="M185" s="114" t="s">
        <v>27</v>
      </c>
      <c r="N185" s="114" t="s">
        <v>27</v>
      </c>
      <c r="O185" s="114" t="s">
        <v>27</v>
      </c>
      <c r="P185" s="114" t="s">
        <v>27</v>
      </c>
    </row>
    <row r="186" spans="1:16" ht="14.45" customHeight="1" x14ac:dyDescent="0.25">
      <c r="A186" s="48" t="s">
        <v>89</v>
      </c>
      <c r="B186" s="19">
        <v>0.37642002105712891</v>
      </c>
      <c r="C186" s="19">
        <v>0.36250272393226624</v>
      </c>
      <c r="D186" s="19">
        <v>0.38794818520545959</v>
      </c>
      <c r="E186" s="19">
        <v>0.40433627367019653</v>
      </c>
      <c r="F186" s="19">
        <v>0.40127086639404297</v>
      </c>
      <c r="G186" s="19">
        <v>0.35060790181159973</v>
      </c>
      <c r="H186" s="19">
        <v>0.36532095074653625</v>
      </c>
      <c r="I186" s="19">
        <v>0.3348822295665741</v>
      </c>
      <c r="J186" s="18">
        <v>0.31469714641571045</v>
      </c>
      <c r="K186" s="113">
        <v>0.27897846698760986</v>
      </c>
      <c r="L186" s="113">
        <v>0.28873315453529358</v>
      </c>
      <c r="M186" s="113">
        <v>0.22949253022670746</v>
      </c>
      <c r="N186" s="113">
        <v>0.20555961132049561</v>
      </c>
      <c r="O186" s="113" t="s">
        <v>27</v>
      </c>
      <c r="P186" s="113" t="s">
        <v>27</v>
      </c>
    </row>
    <row r="187" spans="1:16" ht="14.45" customHeight="1" x14ac:dyDescent="0.25">
      <c r="A187" s="47" t="s">
        <v>67</v>
      </c>
      <c r="B187" s="21">
        <v>0.30288401246070862</v>
      </c>
      <c r="C187" s="21">
        <v>0.31064265966415405</v>
      </c>
      <c r="D187" s="21">
        <v>0.32046681642532349</v>
      </c>
      <c r="E187" s="21">
        <v>0.35511031746864319</v>
      </c>
      <c r="F187" s="21">
        <v>0.34775853157043457</v>
      </c>
      <c r="G187" s="21">
        <v>0.30336347222328186</v>
      </c>
      <c r="H187" s="21">
        <v>0.28890621662139893</v>
      </c>
      <c r="I187" s="21">
        <v>0.28974524140357971</v>
      </c>
      <c r="J187" s="20">
        <v>0.27441638708114624</v>
      </c>
      <c r="K187" s="114">
        <v>0.262940913438797</v>
      </c>
      <c r="L187" s="114">
        <v>0.23524934053421021</v>
      </c>
      <c r="M187" s="114">
        <v>0.25842636823654175</v>
      </c>
      <c r="N187" s="114">
        <v>0.22746320068836212</v>
      </c>
      <c r="O187" s="114" t="s">
        <v>27</v>
      </c>
      <c r="P187" s="114" t="s">
        <v>27</v>
      </c>
    </row>
    <row r="188" spans="1:16" ht="14.45" customHeight="1" x14ac:dyDescent="0.25">
      <c r="A188" s="48" t="s">
        <v>29</v>
      </c>
      <c r="B188" s="19">
        <v>0.1846720427274704</v>
      </c>
      <c r="C188" s="19">
        <v>0.18463273346424103</v>
      </c>
      <c r="D188" s="19">
        <v>0.2047339528799057</v>
      </c>
      <c r="E188" s="19">
        <v>0.20292116701602936</v>
      </c>
      <c r="F188" s="19">
        <v>0.2286771684885025</v>
      </c>
      <c r="G188" s="19">
        <v>0.1691834032535553</v>
      </c>
      <c r="H188" s="19">
        <v>0.18964122235774994</v>
      </c>
      <c r="I188" s="19">
        <v>0.24083200097084045</v>
      </c>
      <c r="J188" s="18">
        <v>0.19211310148239136</v>
      </c>
      <c r="K188" s="113">
        <v>0.1804368793964386</v>
      </c>
      <c r="L188" s="113">
        <v>0.19400253891944885</v>
      </c>
      <c r="M188" s="113">
        <v>0.18064852058887482</v>
      </c>
      <c r="N188" s="113">
        <v>0.10626600682735443</v>
      </c>
      <c r="O188" s="113" t="s">
        <v>27</v>
      </c>
      <c r="P188" s="113" t="s">
        <v>27</v>
      </c>
    </row>
    <row r="189" spans="1:16" ht="14.45" customHeight="1" x14ac:dyDescent="0.25">
      <c r="A189" s="47" t="s">
        <v>68</v>
      </c>
      <c r="B189" s="21">
        <v>7.172093540430069E-2</v>
      </c>
      <c r="C189" s="21">
        <v>9.908796101808548E-2</v>
      </c>
      <c r="D189" s="21">
        <v>0.12203416228294373</v>
      </c>
      <c r="E189" s="21">
        <v>0.11455272138118744</v>
      </c>
      <c r="F189" s="21">
        <v>0.11820780485868454</v>
      </c>
      <c r="G189" s="21">
        <v>0.13582856953144073</v>
      </c>
      <c r="H189" s="21">
        <v>0.15435981750488281</v>
      </c>
      <c r="I189" s="21">
        <v>9.2379480600357056E-2</v>
      </c>
      <c r="J189" s="20">
        <v>0.10049661993980408</v>
      </c>
      <c r="K189" s="114">
        <v>0.12963597476482391</v>
      </c>
      <c r="L189" s="114">
        <v>6.7448370158672333E-2</v>
      </c>
      <c r="M189" s="114">
        <v>0.15120257437229156</v>
      </c>
      <c r="N189" s="114">
        <v>0.12112213671207428</v>
      </c>
      <c r="O189" s="114" t="s">
        <v>27</v>
      </c>
      <c r="P189" s="114" t="s">
        <v>27</v>
      </c>
    </row>
    <row r="190" spans="1:16" ht="14.45" customHeight="1" thickBot="1" x14ac:dyDescent="0.3">
      <c r="A190" s="51" t="s">
        <v>90</v>
      </c>
      <c r="B190" s="55">
        <v>2.6962326839566231E-2</v>
      </c>
      <c r="C190" s="55">
        <v>4.6749666333198547E-2</v>
      </c>
      <c r="D190" s="55">
        <v>4.6075258404016495E-2</v>
      </c>
      <c r="E190" s="55">
        <v>5.4474890232086182E-2</v>
      </c>
      <c r="F190" s="55">
        <v>6.4114607870578766E-2</v>
      </c>
      <c r="G190" s="55">
        <v>4.5665916055440903E-2</v>
      </c>
      <c r="H190" s="55">
        <v>4.2996462434530258E-2</v>
      </c>
      <c r="I190" s="55">
        <v>3.0860839411616325E-2</v>
      </c>
      <c r="J190" s="56">
        <v>3.6883529275655746E-2</v>
      </c>
      <c r="K190" s="116">
        <v>6.346486508846283E-2</v>
      </c>
      <c r="L190" s="116">
        <v>4.0156662464141846E-2</v>
      </c>
      <c r="M190" s="116">
        <v>1.411090511828661E-2</v>
      </c>
      <c r="N190" s="116">
        <v>8.0844864249229431E-2</v>
      </c>
      <c r="O190" s="116" t="s">
        <v>27</v>
      </c>
      <c r="P190" s="116" t="s">
        <v>27</v>
      </c>
    </row>
    <row r="191" spans="1:16" x14ac:dyDescent="0.25">
      <c r="A191" s="24"/>
    </row>
    <row r="192" spans="1:16" x14ac:dyDescent="0.25">
      <c r="A192" s="49" t="s">
        <v>116</v>
      </c>
      <c r="B192" s="11"/>
      <c r="C192" s="11"/>
      <c r="D192" s="11"/>
      <c r="E192" s="11"/>
      <c r="F192" s="11"/>
      <c r="G192" s="11"/>
      <c r="H192" s="11"/>
      <c r="I192" s="5"/>
    </row>
    <row r="193" spans="1:16" x14ac:dyDescent="0.25">
      <c r="A193" s="10"/>
      <c r="B193" s="11"/>
      <c r="C193" s="11"/>
      <c r="D193" s="11"/>
      <c r="E193" s="11"/>
      <c r="F193" s="11"/>
      <c r="G193" s="11"/>
      <c r="H193" s="11"/>
      <c r="I193" s="5"/>
    </row>
    <row r="194" spans="1:16" x14ac:dyDescent="0.25">
      <c r="A194" s="50" t="s">
        <v>34</v>
      </c>
      <c r="B194" s="54"/>
      <c r="C194" s="54"/>
      <c r="D194" s="54"/>
      <c r="E194" s="54"/>
      <c r="F194" s="54"/>
      <c r="G194" s="54"/>
      <c r="H194" s="54"/>
      <c r="I194" s="54"/>
    </row>
    <row r="195" spans="1:16" ht="11.45" customHeight="1" x14ac:dyDescent="0.25">
      <c r="A195" s="185" t="s">
        <v>108</v>
      </c>
      <c r="B195" s="185"/>
      <c r="C195" s="185"/>
      <c r="D195" s="185"/>
      <c r="E195" s="185"/>
      <c r="F195" s="185"/>
      <c r="G195" s="185"/>
      <c r="H195" s="185"/>
      <c r="I195" s="185"/>
      <c r="J195" s="185"/>
      <c r="K195" s="185"/>
      <c r="L195" s="185"/>
      <c r="M195" s="185"/>
      <c r="N195" s="185"/>
      <c r="O195" s="2"/>
      <c r="P195" s="2"/>
    </row>
    <row r="196" spans="1:16" x14ac:dyDescent="0.25">
      <c r="A196" s="185"/>
      <c r="B196" s="185"/>
      <c r="C196" s="185"/>
      <c r="D196" s="185"/>
      <c r="E196" s="185"/>
      <c r="F196" s="185"/>
      <c r="G196" s="185"/>
      <c r="H196" s="185"/>
      <c r="I196" s="185"/>
      <c r="J196" s="185"/>
      <c r="K196" s="185"/>
      <c r="L196" s="185"/>
      <c r="M196" s="185"/>
      <c r="N196" s="185"/>
      <c r="O196" s="2"/>
      <c r="P196" s="2"/>
    </row>
    <row r="197" spans="1:16" ht="30.6" customHeight="1" x14ac:dyDescent="0.25">
      <c r="A197" s="185" t="s">
        <v>132</v>
      </c>
      <c r="B197" s="185"/>
      <c r="C197" s="185"/>
      <c r="D197" s="185"/>
      <c r="E197" s="185"/>
      <c r="F197" s="185"/>
      <c r="G197" s="185"/>
      <c r="H197" s="185"/>
      <c r="I197" s="185"/>
      <c r="J197" s="185"/>
      <c r="K197" s="185"/>
      <c r="L197" s="185"/>
      <c r="M197" s="185"/>
      <c r="N197" s="185"/>
      <c r="O197" s="2"/>
      <c r="P197" s="2"/>
    </row>
    <row r="198" spans="1:16" x14ac:dyDescent="0.25">
      <c r="A198" s="185" t="s">
        <v>117</v>
      </c>
      <c r="B198" s="185"/>
      <c r="C198" s="185"/>
      <c r="D198" s="185"/>
      <c r="E198" s="185"/>
      <c r="F198" s="185"/>
      <c r="G198" s="185"/>
      <c r="H198" s="185"/>
      <c r="I198" s="185"/>
      <c r="J198" s="185"/>
      <c r="K198" s="185"/>
      <c r="L198" s="185"/>
      <c r="M198" s="185"/>
      <c r="N198" s="185"/>
      <c r="O198" s="2"/>
      <c r="P198" s="2"/>
    </row>
    <row r="199" spans="1:16" x14ac:dyDescent="0.25">
      <c r="A199" s="188" t="s">
        <v>80</v>
      </c>
      <c r="B199" s="188"/>
      <c r="C199" s="188"/>
      <c r="D199" s="188"/>
      <c r="E199" s="188"/>
      <c r="F199" s="188"/>
      <c r="G199" s="188"/>
      <c r="H199" s="188"/>
      <c r="I199" s="188"/>
      <c r="J199" s="188"/>
      <c r="K199" s="188"/>
      <c r="L199" s="188"/>
      <c r="M199" s="188"/>
      <c r="N199" s="188"/>
      <c r="O199" s="78"/>
      <c r="P199" s="78"/>
    </row>
    <row r="200" spans="1:16" x14ac:dyDescent="0.25">
      <c r="A200" s="64" t="s">
        <v>87</v>
      </c>
      <c r="B200" s="64"/>
      <c r="C200" s="64"/>
      <c r="D200" s="64"/>
      <c r="E200" s="64"/>
      <c r="F200" s="64"/>
      <c r="G200" s="64"/>
      <c r="H200" s="64"/>
      <c r="I200" s="64"/>
      <c r="J200" s="71"/>
      <c r="K200" s="73"/>
      <c r="L200" s="73"/>
      <c r="M200" s="73"/>
      <c r="N200" s="73"/>
      <c r="O200" s="2"/>
      <c r="P200" s="2"/>
    </row>
    <row r="201" spans="1:16" x14ac:dyDescent="0.25">
      <c r="A201" s="182" t="s">
        <v>120</v>
      </c>
      <c r="B201" s="182"/>
      <c r="C201" s="182"/>
      <c r="D201" s="182"/>
      <c r="E201" s="182"/>
      <c r="F201" s="182"/>
      <c r="G201" s="182"/>
      <c r="H201" s="182"/>
      <c r="I201" s="182"/>
      <c r="J201" s="182"/>
      <c r="K201" s="182"/>
      <c r="L201" s="182"/>
      <c r="M201" s="182"/>
      <c r="N201" s="182"/>
      <c r="O201" s="2"/>
      <c r="P201" s="2"/>
    </row>
    <row r="202" spans="1:16" x14ac:dyDescent="0.25">
      <c r="A202" s="182"/>
      <c r="B202" s="182"/>
      <c r="C202" s="182"/>
      <c r="D202" s="182"/>
      <c r="E202" s="182"/>
      <c r="F202" s="182"/>
      <c r="G202" s="182"/>
      <c r="H202" s="182"/>
      <c r="I202" s="182"/>
      <c r="J202" s="182"/>
      <c r="K202" s="182"/>
      <c r="L202" s="182"/>
      <c r="M202" s="182"/>
      <c r="N202" s="182"/>
      <c r="O202" s="2"/>
      <c r="P202" s="2"/>
    </row>
    <row r="203" spans="1:16" x14ac:dyDescent="0.25">
      <c r="A203" s="182"/>
      <c r="B203" s="182"/>
      <c r="C203" s="182"/>
      <c r="D203" s="182"/>
      <c r="E203" s="182"/>
      <c r="F203" s="182"/>
      <c r="G203" s="182"/>
      <c r="H203" s="182"/>
      <c r="I203" s="182"/>
      <c r="J203" s="182"/>
      <c r="K203" s="182"/>
      <c r="L203" s="182"/>
      <c r="M203" s="182"/>
      <c r="N203" s="182"/>
      <c r="O203" s="2"/>
      <c r="P203" s="2"/>
    </row>
    <row r="204" spans="1:16" x14ac:dyDescent="0.25">
      <c r="A204" s="182"/>
      <c r="B204" s="182"/>
      <c r="C204" s="182"/>
      <c r="D204" s="182"/>
      <c r="E204" s="182"/>
      <c r="F204" s="182"/>
      <c r="G204" s="182"/>
      <c r="H204" s="182"/>
      <c r="I204" s="182"/>
      <c r="J204" s="182"/>
      <c r="K204" s="182"/>
      <c r="L204" s="182"/>
      <c r="M204" s="182"/>
      <c r="N204" s="182"/>
      <c r="O204" s="2"/>
      <c r="P204" s="2"/>
    </row>
    <row r="205" spans="1:16" x14ac:dyDescent="0.25">
      <c r="A205" s="182"/>
      <c r="B205" s="182"/>
      <c r="C205" s="182"/>
      <c r="D205" s="182"/>
      <c r="E205" s="182"/>
      <c r="F205" s="182"/>
      <c r="G205" s="182"/>
      <c r="H205" s="182"/>
      <c r="I205" s="182"/>
      <c r="J205" s="182"/>
      <c r="K205" s="182"/>
      <c r="L205" s="182"/>
      <c r="M205" s="182"/>
      <c r="N205" s="182"/>
    </row>
    <row r="206" spans="1:16" x14ac:dyDescent="0.25">
      <c r="A206" s="137"/>
      <c r="B206" s="137"/>
      <c r="C206" s="137"/>
      <c r="D206" s="137"/>
      <c r="E206" s="137"/>
      <c r="F206" s="137"/>
      <c r="G206" s="137"/>
      <c r="H206" s="137"/>
      <c r="I206" s="137"/>
      <c r="J206" s="137"/>
      <c r="K206" s="137"/>
      <c r="L206" s="137"/>
      <c r="M206" s="137"/>
      <c r="N206" s="137"/>
    </row>
    <row r="207" spans="1:16" x14ac:dyDescent="0.25">
      <c r="A207" s="25" t="s">
        <v>72</v>
      </c>
      <c r="B207" s="5"/>
      <c r="C207" s="5"/>
      <c r="D207" s="5"/>
      <c r="E207" s="5"/>
      <c r="F207" s="5"/>
      <c r="G207" s="5"/>
      <c r="H207" s="5"/>
      <c r="I207" s="5"/>
      <c r="J207" s="74"/>
    </row>
    <row r="208" spans="1:16" ht="11.45" customHeight="1" x14ac:dyDescent="0.25">
      <c r="A208" s="25"/>
      <c r="B208" s="5"/>
      <c r="C208" s="5"/>
      <c r="D208" s="5"/>
      <c r="E208" s="5"/>
      <c r="F208" s="5"/>
      <c r="G208" s="5"/>
      <c r="H208" s="5"/>
      <c r="I208" s="5"/>
      <c r="J208" s="74"/>
      <c r="O208" s="2"/>
      <c r="P208" s="2"/>
    </row>
    <row r="209" spans="1:16" x14ac:dyDescent="0.25">
      <c r="A209" s="182" t="s">
        <v>96</v>
      </c>
      <c r="B209" s="182"/>
      <c r="C209" s="182"/>
      <c r="D209" s="182"/>
      <c r="E209" s="182"/>
      <c r="F209" s="182"/>
      <c r="G209" s="182"/>
      <c r="H209" s="182"/>
      <c r="I209" s="182"/>
      <c r="J209" s="182"/>
      <c r="K209" s="182"/>
      <c r="L209" s="182"/>
      <c r="M209" s="182"/>
      <c r="N209" s="182"/>
      <c r="O209" s="2"/>
      <c r="P209" s="2"/>
    </row>
    <row r="210" spans="1:16" x14ac:dyDescent="0.25">
      <c r="A210" s="182"/>
      <c r="B210" s="182"/>
      <c r="C210" s="182"/>
      <c r="D210" s="182"/>
      <c r="E210" s="182"/>
      <c r="F210" s="182"/>
      <c r="G210" s="182"/>
      <c r="H210" s="182"/>
      <c r="I210" s="182"/>
      <c r="J210" s="182"/>
      <c r="K210" s="182"/>
      <c r="L210" s="182"/>
      <c r="M210" s="182"/>
      <c r="N210" s="182"/>
      <c r="O210" s="2"/>
      <c r="P210" s="2"/>
    </row>
    <row r="211" spans="1:16" x14ac:dyDescent="0.25">
      <c r="A211" s="182"/>
      <c r="B211" s="182"/>
      <c r="C211" s="182"/>
      <c r="D211" s="182"/>
      <c r="E211" s="182"/>
      <c r="F211" s="182"/>
      <c r="G211" s="182"/>
      <c r="H211" s="182"/>
      <c r="I211" s="182"/>
      <c r="J211" s="182"/>
      <c r="K211" s="182"/>
      <c r="L211" s="182"/>
      <c r="M211" s="182"/>
      <c r="N211" s="182"/>
      <c r="O211" s="2"/>
      <c r="P211" s="2"/>
    </row>
    <row r="212" spans="1:16" ht="11.45" customHeight="1" x14ac:dyDescent="0.25">
      <c r="A212" s="182"/>
      <c r="B212" s="182"/>
      <c r="C212" s="182"/>
      <c r="D212" s="182"/>
      <c r="E212" s="182"/>
      <c r="F212" s="182"/>
      <c r="G212" s="182"/>
      <c r="H212" s="182"/>
      <c r="I212" s="182"/>
      <c r="J212" s="182"/>
      <c r="K212" s="182"/>
      <c r="L212" s="182"/>
      <c r="M212" s="182"/>
      <c r="N212" s="182"/>
      <c r="O212" s="2"/>
      <c r="P212" s="2"/>
    </row>
    <row r="213" spans="1:16" x14ac:dyDescent="0.25">
      <c r="A213" s="182" t="s">
        <v>81</v>
      </c>
      <c r="B213" s="182"/>
      <c r="C213" s="182"/>
      <c r="D213" s="182"/>
      <c r="E213" s="182"/>
      <c r="F213" s="182"/>
      <c r="G213" s="182"/>
      <c r="H213" s="182"/>
      <c r="I213" s="182"/>
      <c r="J213" s="182"/>
      <c r="K213" s="182"/>
      <c r="L213" s="182"/>
      <c r="M213" s="182"/>
      <c r="N213" s="182"/>
      <c r="O213" s="2"/>
      <c r="P213" s="2"/>
    </row>
    <row r="214" spans="1:16" x14ac:dyDescent="0.25">
      <c r="A214" s="182"/>
      <c r="B214" s="182"/>
      <c r="C214" s="182"/>
      <c r="D214" s="182"/>
      <c r="E214" s="182"/>
      <c r="F214" s="182"/>
      <c r="G214" s="182"/>
      <c r="H214" s="182"/>
      <c r="I214" s="182"/>
      <c r="J214" s="182"/>
      <c r="K214" s="182"/>
      <c r="L214" s="182"/>
      <c r="M214" s="182"/>
      <c r="N214" s="182"/>
      <c r="O214" s="2"/>
      <c r="P214" s="2"/>
    </row>
    <row r="215" spans="1:16" ht="11.45" customHeight="1" x14ac:dyDescent="0.25">
      <c r="A215" s="2"/>
      <c r="B215" s="5"/>
      <c r="C215" s="5"/>
      <c r="D215" s="5"/>
      <c r="E215" s="5"/>
      <c r="F215" s="5"/>
      <c r="G215" s="5"/>
      <c r="H215" s="5"/>
      <c r="I215" s="5"/>
      <c r="O215" s="2"/>
      <c r="P215" s="2"/>
    </row>
    <row r="216" spans="1:16" x14ac:dyDescent="0.25">
      <c r="A216" s="70" t="s">
        <v>99</v>
      </c>
      <c r="B216" s="70"/>
      <c r="C216" s="70"/>
      <c r="D216" s="70"/>
      <c r="E216" s="70"/>
      <c r="F216" s="70"/>
      <c r="G216" s="70"/>
      <c r="H216" s="70"/>
      <c r="I216" s="70"/>
      <c r="J216" s="70"/>
      <c r="K216" s="70"/>
      <c r="L216" s="70"/>
      <c r="M216" s="70"/>
      <c r="N216" s="70"/>
      <c r="O216" s="2"/>
      <c r="P216" s="2"/>
    </row>
    <row r="217" spans="1:16" x14ac:dyDescent="0.25">
      <c r="A217" s="70"/>
      <c r="B217" s="70"/>
      <c r="C217" s="70"/>
      <c r="D217" s="70"/>
      <c r="E217" s="70"/>
      <c r="F217" s="70"/>
      <c r="G217" s="70"/>
      <c r="H217" s="70"/>
      <c r="I217" s="70"/>
      <c r="J217" s="70"/>
      <c r="K217" s="70"/>
      <c r="L217" s="70"/>
      <c r="M217" s="70"/>
      <c r="N217" s="70"/>
    </row>
    <row r="218" spans="1:16" x14ac:dyDescent="0.25">
      <c r="A218" s="70" t="s">
        <v>100</v>
      </c>
    </row>
    <row r="219" spans="1:16" x14ac:dyDescent="0.25">
      <c r="A219" s="2"/>
    </row>
  </sheetData>
  <mergeCells count="7">
    <mergeCell ref="A209:N212"/>
    <mergeCell ref="A213:N214"/>
    <mergeCell ref="A195:N196"/>
    <mergeCell ref="A199:N199"/>
    <mergeCell ref="A198:N198"/>
    <mergeCell ref="A201:N205"/>
    <mergeCell ref="A197:N197"/>
  </mergeCells>
  <hyperlinks>
    <hyperlink ref="A207" r:id="rId1" xr:uid="{00000000-0004-0000-0400-000000000000}"/>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O163"/>
  <sheetViews>
    <sheetView zoomScaleNormal="100" workbookViewId="0"/>
  </sheetViews>
  <sheetFormatPr defaultColWidth="9.140625" defaultRowHeight="14.45" customHeight="1" x14ac:dyDescent="0.25"/>
  <cols>
    <col min="1" max="1" width="16.140625" style="15" customWidth="1"/>
    <col min="2" max="6" width="10.42578125" style="23" customWidth="1"/>
    <col min="7" max="10" width="16.140625" style="15" customWidth="1"/>
    <col min="11" max="15" width="9.42578125" style="15" bestFit="1" customWidth="1"/>
    <col min="16" max="16384" width="9.140625" style="15"/>
  </cols>
  <sheetData>
    <row r="1" spans="1:15" ht="14.45" customHeight="1" x14ac:dyDescent="0.25">
      <c r="A1" s="22" t="s">
        <v>109</v>
      </c>
    </row>
    <row r="2" spans="1:15" ht="14.45" customHeight="1" x14ac:dyDescent="0.25">
      <c r="A2" s="15" t="s">
        <v>36</v>
      </c>
    </row>
    <row r="4" spans="1:15" s="23" customFormat="1" ht="14.45" customHeight="1" thickBot="1" x14ac:dyDescent="0.3">
      <c r="A4" s="57"/>
      <c r="B4" s="57" t="s">
        <v>84</v>
      </c>
      <c r="C4" s="57" t="s">
        <v>67</v>
      </c>
      <c r="D4" s="57" t="s">
        <v>29</v>
      </c>
      <c r="E4" s="57" t="s">
        <v>68</v>
      </c>
      <c r="F4" s="57" t="s">
        <v>85</v>
      </c>
    </row>
    <row r="5" spans="1:15" ht="14.45" customHeight="1" x14ac:dyDescent="0.25">
      <c r="A5" s="26" t="s">
        <v>0</v>
      </c>
      <c r="B5" s="27" t="s">
        <v>27</v>
      </c>
      <c r="C5" s="27" t="s">
        <v>27</v>
      </c>
      <c r="D5" s="27" t="s">
        <v>27</v>
      </c>
      <c r="E5" s="27" t="s">
        <v>27</v>
      </c>
      <c r="F5" s="27" t="s">
        <v>27</v>
      </c>
      <c r="G5" s="17"/>
      <c r="H5" s="17"/>
      <c r="I5" s="17"/>
      <c r="J5" s="17"/>
      <c r="K5" s="17"/>
      <c r="L5" s="17"/>
      <c r="M5" s="17"/>
      <c r="N5" s="17"/>
      <c r="O5" s="17"/>
    </row>
    <row r="6" spans="1:15" ht="14.45" customHeight="1" x14ac:dyDescent="0.25">
      <c r="A6" s="48" t="s">
        <v>30</v>
      </c>
      <c r="B6" s="19">
        <v>0.21495582163333893</v>
      </c>
      <c r="C6" s="19">
        <v>0.28628939390182495</v>
      </c>
      <c r="D6" s="19">
        <v>0.28535416722297668</v>
      </c>
      <c r="E6" s="19">
        <v>0.35532671213150024</v>
      </c>
      <c r="F6" s="19">
        <v>0.4893682599067688</v>
      </c>
      <c r="G6" s="17"/>
      <c r="H6" s="17"/>
      <c r="I6" s="17"/>
      <c r="J6" s="17"/>
      <c r="K6" s="17"/>
      <c r="L6" s="17"/>
      <c r="M6" s="17"/>
      <c r="N6" s="17"/>
      <c r="O6" s="17"/>
    </row>
    <row r="7" spans="1:15" ht="14.45" customHeight="1" x14ac:dyDescent="0.25">
      <c r="A7" s="47" t="s">
        <v>31</v>
      </c>
      <c r="B7" s="21">
        <v>6.2201995402574539E-2</v>
      </c>
      <c r="C7" s="21">
        <v>0.11680158227682114</v>
      </c>
      <c r="D7" s="21">
        <v>0.21935766935348511</v>
      </c>
      <c r="E7" s="21">
        <v>0.24054606258869171</v>
      </c>
      <c r="F7" s="21">
        <v>0.24207670986652374</v>
      </c>
      <c r="G7" s="17"/>
      <c r="H7" s="17"/>
      <c r="I7" s="17"/>
      <c r="J7" s="17"/>
      <c r="K7" s="17"/>
      <c r="L7" s="17"/>
      <c r="M7" s="17"/>
      <c r="N7" s="17"/>
      <c r="O7" s="17"/>
    </row>
    <row r="8" spans="1:15" ht="14.45" customHeight="1" x14ac:dyDescent="0.25">
      <c r="A8" s="48" t="s">
        <v>32</v>
      </c>
      <c r="B8" s="19">
        <v>0.47264191508293152</v>
      </c>
      <c r="C8" s="19">
        <v>0.38466218113899231</v>
      </c>
      <c r="D8" s="19">
        <v>0.3131275475025177</v>
      </c>
      <c r="E8" s="19">
        <v>0.26478826999664307</v>
      </c>
      <c r="F8" s="19">
        <v>0.18001531064510345</v>
      </c>
      <c r="G8" s="17"/>
      <c r="H8" s="17"/>
      <c r="I8" s="17"/>
      <c r="J8" s="17"/>
      <c r="K8" s="17"/>
      <c r="L8" s="17"/>
      <c r="M8" s="17"/>
      <c r="N8" s="17"/>
      <c r="O8" s="17"/>
    </row>
    <row r="9" spans="1:15" ht="14.45" customHeight="1" x14ac:dyDescent="0.25">
      <c r="A9" s="47" t="s">
        <v>111</v>
      </c>
      <c r="B9" s="21">
        <v>0.13592764735221863</v>
      </c>
      <c r="C9" s="21">
        <v>0.11300073564052582</v>
      </c>
      <c r="D9" s="21">
        <v>0.10160818696022034</v>
      </c>
      <c r="E9" s="21">
        <v>7.0419281721115112E-2</v>
      </c>
      <c r="F9" s="21">
        <v>5.2925191819667816E-2</v>
      </c>
      <c r="G9" s="17"/>
      <c r="H9" s="17"/>
      <c r="I9" s="17"/>
      <c r="J9" s="17"/>
      <c r="K9" s="17"/>
      <c r="L9" s="17"/>
      <c r="M9" s="17"/>
      <c r="N9" s="17"/>
      <c r="O9" s="17"/>
    </row>
    <row r="10" spans="1:15" ht="14.45" customHeight="1" x14ac:dyDescent="0.25">
      <c r="A10" s="48" t="s">
        <v>33</v>
      </c>
      <c r="B10" s="19">
        <v>0.11427262425422668</v>
      </c>
      <c r="C10" s="19">
        <v>9.9246129393577576E-2</v>
      </c>
      <c r="D10" s="19">
        <v>8.0552458763122559E-2</v>
      </c>
      <c r="E10" s="19">
        <v>6.8919681012630463E-2</v>
      </c>
      <c r="F10" s="19">
        <v>3.5614568740129471E-2</v>
      </c>
      <c r="G10" s="17"/>
      <c r="H10" s="17"/>
      <c r="I10" s="17"/>
      <c r="J10" s="17"/>
      <c r="K10" s="17"/>
      <c r="L10" s="17"/>
      <c r="M10" s="17"/>
      <c r="N10" s="17"/>
      <c r="O10" s="17"/>
    </row>
    <row r="11" spans="1:15" ht="14.45" customHeight="1" x14ac:dyDescent="0.25">
      <c r="A11" s="120" t="s">
        <v>110</v>
      </c>
      <c r="B11" s="84"/>
      <c r="C11" s="84"/>
      <c r="D11" s="84"/>
      <c r="E11" s="84"/>
      <c r="F11" s="84"/>
      <c r="G11" s="17"/>
      <c r="H11" s="17"/>
      <c r="I11" s="17"/>
      <c r="J11" s="17"/>
      <c r="K11" s="17"/>
      <c r="L11" s="17"/>
      <c r="M11" s="17"/>
      <c r="N11" s="17"/>
      <c r="O11" s="17"/>
    </row>
    <row r="12" spans="1:15" ht="14.45" customHeight="1" x14ac:dyDescent="0.25">
      <c r="A12" s="48" t="s">
        <v>30</v>
      </c>
      <c r="B12" s="19">
        <v>0.54296380281448364</v>
      </c>
      <c r="C12" s="19">
        <v>0.41658174991607666</v>
      </c>
      <c r="D12" s="19">
        <v>0.252329021692276</v>
      </c>
      <c r="E12" s="19" t="s">
        <v>83</v>
      </c>
      <c r="F12" s="19" t="s">
        <v>83</v>
      </c>
      <c r="G12" s="17"/>
      <c r="H12" s="17"/>
      <c r="I12" s="17"/>
      <c r="J12" s="17"/>
      <c r="K12" s="17"/>
      <c r="L12" s="17"/>
      <c r="M12" s="17"/>
      <c r="N12" s="17"/>
      <c r="O12" s="17"/>
    </row>
    <row r="13" spans="1:15" ht="14.45" customHeight="1" x14ac:dyDescent="0.25">
      <c r="A13" s="47" t="s">
        <v>31</v>
      </c>
      <c r="B13" s="21">
        <v>9.9290028214454651E-2</v>
      </c>
      <c r="C13" s="21">
        <v>0.21461285650730133</v>
      </c>
      <c r="D13" s="21">
        <v>0.53918015956878662</v>
      </c>
      <c r="E13" s="21" t="s">
        <v>83</v>
      </c>
      <c r="F13" s="21" t="s">
        <v>83</v>
      </c>
      <c r="G13" s="17"/>
      <c r="H13" s="17"/>
      <c r="I13" s="17"/>
      <c r="J13" s="17"/>
      <c r="K13" s="17"/>
      <c r="L13" s="17"/>
      <c r="M13" s="17"/>
      <c r="N13" s="17"/>
      <c r="O13" s="17"/>
    </row>
    <row r="14" spans="1:15" ht="14.45" customHeight="1" x14ac:dyDescent="0.25">
      <c r="A14" s="48" t="s">
        <v>32</v>
      </c>
      <c r="B14" s="19">
        <v>0.21468140184879303</v>
      </c>
      <c r="C14" s="19">
        <v>0.28550758957862854</v>
      </c>
      <c r="D14" s="19">
        <v>0.14006294310092926</v>
      </c>
      <c r="E14" s="19" t="s">
        <v>83</v>
      </c>
      <c r="F14" s="19" t="s">
        <v>83</v>
      </c>
      <c r="G14" s="17"/>
      <c r="H14" s="17"/>
      <c r="I14" s="17"/>
      <c r="J14" s="17"/>
      <c r="K14" s="17"/>
      <c r="L14" s="17"/>
      <c r="M14" s="17"/>
      <c r="N14" s="17"/>
      <c r="O14" s="17"/>
    </row>
    <row r="15" spans="1:15" ht="14.45" customHeight="1" x14ac:dyDescent="0.25">
      <c r="A15" s="47" t="s">
        <v>111</v>
      </c>
      <c r="B15" s="21">
        <v>9.328431636095047E-2</v>
      </c>
      <c r="C15" s="21">
        <v>7.8414127230644226E-2</v>
      </c>
      <c r="D15" s="21">
        <v>5.7394720613956451E-2</v>
      </c>
      <c r="E15" s="21" t="s">
        <v>83</v>
      </c>
      <c r="F15" s="21" t="s">
        <v>83</v>
      </c>
      <c r="G15" s="17"/>
      <c r="H15" s="17"/>
      <c r="I15" s="17"/>
      <c r="J15" s="17"/>
      <c r="K15" s="17"/>
      <c r="L15" s="17"/>
      <c r="M15" s="17"/>
      <c r="N15" s="17"/>
      <c r="O15" s="17"/>
    </row>
    <row r="16" spans="1:15" ht="14.45" customHeight="1" x14ac:dyDescent="0.25">
      <c r="A16" s="48" t="s">
        <v>33</v>
      </c>
      <c r="B16" s="19">
        <v>4.9780432134866714E-2</v>
      </c>
      <c r="C16" s="19">
        <v>4.8837186768651009E-3</v>
      </c>
      <c r="D16" s="19">
        <v>1.1033211834728718E-2</v>
      </c>
      <c r="E16" s="19" t="s">
        <v>83</v>
      </c>
      <c r="F16" s="19" t="s">
        <v>83</v>
      </c>
      <c r="G16" s="17"/>
      <c r="H16" s="17"/>
      <c r="I16" s="17"/>
      <c r="J16" s="17"/>
      <c r="K16" s="17"/>
      <c r="L16" s="17"/>
      <c r="M16" s="17"/>
      <c r="N16" s="17"/>
      <c r="O16" s="17"/>
    </row>
    <row r="17" spans="1:15" ht="14.45" customHeight="1" x14ac:dyDescent="0.25">
      <c r="A17" s="120" t="s">
        <v>2</v>
      </c>
      <c r="B17" s="84"/>
      <c r="C17" s="84"/>
      <c r="D17" s="84"/>
      <c r="E17" s="84"/>
      <c r="F17" s="84"/>
      <c r="G17" s="17"/>
      <c r="H17" s="17"/>
      <c r="I17" s="17"/>
      <c r="J17" s="17"/>
      <c r="K17" s="17"/>
      <c r="L17" s="17"/>
      <c r="M17" s="17"/>
      <c r="N17" s="17"/>
      <c r="O17" s="17"/>
    </row>
    <row r="18" spans="1:15" ht="14.45" customHeight="1" x14ac:dyDescent="0.25">
      <c r="A18" s="48" t="s">
        <v>30</v>
      </c>
      <c r="B18" s="19">
        <v>0.79844856262207031</v>
      </c>
      <c r="C18" s="19">
        <v>0.80401623249053955</v>
      </c>
      <c r="D18" s="19">
        <v>0.82237720489501953</v>
      </c>
      <c r="E18" s="19">
        <v>0.88860732316970825</v>
      </c>
      <c r="F18" s="19">
        <v>0.88866567611694336</v>
      </c>
      <c r="G18" s="17"/>
      <c r="H18" s="17"/>
      <c r="I18" s="17"/>
      <c r="J18" s="17"/>
      <c r="K18" s="17"/>
      <c r="L18" s="17"/>
      <c r="M18" s="17"/>
      <c r="N18" s="17"/>
      <c r="O18" s="17"/>
    </row>
    <row r="19" spans="1:15" ht="14.45" customHeight="1" x14ac:dyDescent="0.25">
      <c r="A19" s="47" t="s">
        <v>31</v>
      </c>
      <c r="B19" s="21">
        <v>1.9622119143605232E-2</v>
      </c>
      <c r="C19" s="21">
        <v>1.7738452181220055E-2</v>
      </c>
      <c r="D19" s="21">
        <v>1.1504936963319778E-2</v>
      </c>
      <c r="E19" s="21">
        <v>3.4038886427879333E-2</v>
      </c>
      <c r="F19" s="21">
        <v>1.0725568048655987E-2</v>
      </c>
      <c r="G19" s="17"/>
      <c r="H19" s="17"/>
      <c r="I19" s="17"/>
      <c r="J19" s="17"/>
      <c r="K19" s="17"/>
      <c r="L19" s="17"/>
      <c r="M19" s="17"/>
      <c r="N19" s="17"/>
      <c r="O19" s="17"/>
    </row>
    <row r="20" spans="1:15" ht="14.45" customHeight="1" x14ac:dyDescent="0.25">
      <c r="A20" s="48" t="s">
        <v>32</v>
      </c>
      <c r="B20" s="19">
        <v>1.6656180843710899E-2</v>
      </c>
      <c r="C20" s="19">
        <v>1.4295613393187523E-2</v>
      </c>
      <c r="D20" s="19">
        <v>1.7939522862434387E-2</v>
      </c>
      <c r="E20" s="19">
        <v>1.2158318422734737E-2</v>
      </c>
      <c r="F20" s="19">
        <v>5.6817986071109772E-2</v>
      </c>
      <c r="G20" s="17"/>
      <c r="H20" s="17"/>
      <c r="I20" s="17"/>
      <c r="J20" s="17"/>
      <c r="K20" s="17"/>
      <c r="L20" s="17"/>
      <c r="M20" s="17"/>
      <c r="N20" s="17"/>
      <c r="O20" s="17"/>
    </row>
    <row r="21" spans="1:15" ht="14.45" customHeight="1" x14ac:dyDescent="0.25">
      <c r="A21" s="47" t="s">
        <v>111</v>
      </c>
      <c r="B21" s="21">
        <v>1.7185568809509277E-2</v>
      </c>
      <c r="C21" s="21">
        <v>2.9042260721325874E-2</v>
      </c>
      <c r="D21" s="21">
        <v>2.5801261886954308E-2</v>
      </c>
      <c r="E21" s="21">
        <v>4.4538709335029125E-3</v>
      </c>
      <c r="F21" s="21" t="s">
        <v>83</v>
      </c>
      <c r="G21" s="17"/>
      <c r="H21" s="17"/>
      <c r="I21" s="17"/>
      <c r="J21" s="17"/>
      <c r="K21" s="17"/>
      <c r="L21" s="17"/>
      <c r="M21" s="17"/>
      <c r="N21" s="17"/>
      <c r="O21" s="17"/>
    </row>
    <row r="22" spans="1:15" ht="14.45" customHeight="1" x14ac:dyDescent="0.25">
      <c r="A22" s="48" t="s">
        <v>33</v>
      </c>
      <c r="B22" s="19">
        <v>0.14808753132820129</v>
      </c>
      <c r="C22" s="19">
        <v>0.13490740954875946</v>
      </c>
      <c r="D22" s="19">
        <v>0.12237711995840073</v>
      </c>
      <c r="E22" s="19">
        <v>6.0741551220417023E-2</v>
      </c>
      <c r="F22" s="19">
        <v>4.37907874584198E-2</v>
      </c>
      <c r="G22" s="17"/>
      <c r="H22" s="17"/>
      <c r="I22" s="17"/>
      <c r="J22" s="17"/>
      <c r="K22" s="17"/>
      <c r="L22" s="17"/>
      <c r="M22" s="17"/>
      <c r="N22" s="17"/>
      <c r="O22" s="17"/>
    </row>
    <row r="23" spans="1:15" ht="14.45" customHeight="1" x14ac:dyDescent="0.25">
      <c r="A23" s="120" t="s">
        <v>28</v>
      </c>
      <c r="B23" s="84" t="s">
        <v>27</v>
      </c>
      <c r="C23" s="84" t="s">
        <v>27</v>
      </c>
      <c r="D23" s="84" t="s">
        <v>27</v>
      </c>
      <c r="E23" s="84" t="s">
        <v>27</v>
      </c>
      <c r="F23" s="84" t="s">
        <v>27</v>
      </c>
      <c r="G23" s="17"/>
      <c r="H23" s="17"/>
      <c r="I23" s="17"/>
      <c r="J23" s="17"/>
      <c r="K23" s="17"/>
      <c r="L23" s="17"/>
      <c r="M23" s="17"/>
      <c r="N23" s="17"/>
      <c r="O23" s="17"/>
    </row>
    <row r="24" spans="1:15" ht="14.45" customHeight="1" x14ac:dyDescent="0.25">
      <c r="A24" s="48" t="s">
        <v>30</v>
      </c>
      <c r="B24" s="19">
        <v>0.81676453351974487</v>
      </c>
      <c r="C24" s="19" t="s">
        <v>83</v>
      </c>
      <c r="D24" s="19" t="s">
        <v>83</v>
      </c>
      <c r="E24" s="19" t="s">
        <v>83</v>
      </c>
      <c r="F24" s="19" t="s">
        <v>83</v>
      </c>
      <c r="G24" s="17"/>
      <c r="H24" s="17"/>
      <c r="I24" s="17"/>
      <c r="J24" s="17"/>
      <c r="K24" s="17"/>
      <c r="L24" s="17"/>
      <c r="M24" s="17"/>
      <c r="N24" s="17"/>
      <c r="O24" s="17"/>
    </row>
    <row r="25" spans="1:15" ht="14.45" customHeight="1" x14ac:dyDescent="0.25">
      <c r="A25" s="47" t="s">
        <v>31</v>
      </c>
      <c r="B25" s="21">
        <v>1.0646109469234943E-2</v>
      </c>
      <c r="C25" s="21" t="s">
        <v>83</v>
      </c>
      <c r="D25" s="21" t="s">
        <v>83</v>
      </c>
      <c r="E25" s="21" t="s">
        <v>83</v>
      </c>
      <c r="F25" s="21" t="s">
        <v>83</v>
      </c>
      <c r="G25" s="17"/>
      <c r="H25" s="17"/>
      <c r="I25" s="17"/>
      <c r="J25" s="17"/>
      <c r="K25" s="17"/>
      <c r="L25" s="17"/>
      <c r="M25" s="17"/>
      <c r="N25" s="17"/>
      <c r="O25" s="17"/>
    </row>
    <row r="26" spans="1:15" ht="14.45" customHeight="1" x14ac:dyDescent="0.25">
      <c r="A26" s="48" t="s">
        <v>32</v>
      </c>
      <c r="B26" s="19">
        <v>2.9109634459018707E-2</v>
      </c>
      <c r="C26" s="19" t="s">
        <v>83</v>
      </c>
      <c r="D26" s="19" t="s">
        <v>83</v>
      </c>
      <c r="E26" s="19" t="s">
        <v>83</v>
      </c>
      <c r="F26" s="19" t="s">
        <v>83</v>
      </c>
      <c r="G26" s="17"/>
      <c r="H26" s="17"/>
      <c r="I26" s="17"/>
      <c r="J26" s="17"/>
      <c r="K26" s="17"/>
      <c r="L26" s="17"/>
      <c r="M26" s="17"/>
      <c r="N26" s="17"/>
      <c r="O26" s="17"/>
    </row>
    <row r="27" spans="1:15" ht="14.45" customHeight="1" x14ac:dyDescent="0.25">
      <c r="A27" s="47" t="s">
        <v>93</v>
      </c>
      <c r="B27" s="21">
        <v>2.2847099229693413E-2</v>
      </c>
      <c r="C27" s="21" t="s">
        <v>83</v>
      </c>
      <c r="D27" s="21" t="s">
        <v>83</v>
      </c>
      <c r="E27" s="21" t="s">
        <v>83</v>
      </c>
      <c r="F27" s="21" t="s">
        <v>83</v>
      </c>
      <c r="G27" s="17"/>
      <c r="H27" s="17"/>
      <c r="I27" s="17"/>
      <c r="J27" s="17"/>
      <c r="K27" s="17"/>
      <c r="L27" s="17"/>
      <c r="M27" s="17"/>
      <c r="N27" s="17"/>
      <c r="O27" s="17"/>
    </row>
    <row r="28" spans="1:15" ht="14.45" customHeight="1" x14ac:dyDescent="0.25">
      <c r="A28" s="48" t="s">
        <v>33</v>
      </c>
      <c r="B28" s="19">
        <v>0.12063265591859818</v>
      </c>
      <c r="C28" s="19" t="s">
        <v>83</v>
      </c>
      <c r="D28" s="19" t="s">
        <v>83</v>
      </c>
      <c r="E28" s="19" t="s">
        <v>83</v>
      </c>
      <c r="F28" s="19" t="s">
        <v>83</v>
      </c>
      <c r="G28" s="17"/>
      <c r="H28" s="17"/>
      <c r="I28" s="17"/>
      <c r="J28" s="17"/>
      <c r="K28" s="17"/>
      <c r="L28" s="17"/>
      <c r="M28" s="17"/>
      <c r="N28" s="17"/>
      <c r="O28" s="17"/>
    </row>
    <row r="29" spans="1:15" ht="14.45" customHeight="1" x14ac:dyDescent="0.25">
      <c r="A29" s="120" t="s">
        <v>88</v>
      </c>
      <c r="B29" s="84" t="s">
        <v>27</v>
      </c>
      <c r="C29" s="84" t="s">
        <v>27</v>
      </c>
      <c r="D29" s="84" t="s">
        <v>27</v>
      </c>
      <c r="E29" s="84" t="s">
        <v>27</v>
      </c>
      <c r="F29" s="84" t="s">
        <v>27</v>
      </c>
      <c r="G29" s="17"/>
      <c r="H29" s="17"/>
      <c r="I29" s="17"/>
      <c r="J29" s="17"/>
      <c r="K29" s="17"/>
      <c r="L29" s="17"/>
      <c r="M29" s="17"/>
      <c r="N29" s="17"/>
      <c r="O29" s="17"/>
    </row>
    <row r="30" spans="1:15" ht="14.45" customHeight="1" x14ac:dyDescent="0.25">
      <c r="A30" s="48" t="s">
        <v>30</v>
      </c>
      <c r="B30" s="19">
        <v>0.26456978917121887</v>
      </c>
      <c r="C30" s="19" t="s">
        <v>83</v>
      </c>
      <c r="D30" s="19" t="s">
        <v>83</v>
      </c>
      <c r="E30" s="19" t="s">
        <v>83</v>
      </c>
      <c r="F30" s="19" t="s">
        <v>83</v>
      </c>
      <c r="G30" s="17"/>
      <c r="H30" s="17"/>
      <c r="I30" s="17"/>
      <c r="J30" s="17"/>
      <c r="K30" s="17"/>
      <c r="L30" s="17"/>
      <c r="M30" s="17"/>
      <c r="N30" s="17"/>
      <c r="O30" s="17"/>
    </row>
    <row r="31" spans="1:15" ht="14.45" customHeight="1" x14ac:dyDescent="0.25">
      <c r="A31" s="47" t="s">
        <v>31</v>
      </c>
      <c r="B31" s="21">
        <v>1.9650375470519066E-2</v>
      </c>
      <c r="C31" s="21" t="s">
        <v>83</v>
      </c>
      <c r="D31" s="21" t="s">
        <v>83</v>
      </c>
      <c r="E31" s="21" t="s">
        <v>83</v>
      </c>
      <c r="F31" s="21" t="s">
        <v>83</v>
      </c>
      <c r="G31" s="17"/>
      <c r="H31" s="17"/>
      <c r="I31" s="17"/>
      <c r="J31" s="17"/>
      <c r="K31" s="17"/>
      <c r="L31" s="17"/>
      <c r="M31" s="17"/>
      <c r="N31" s="17"/>
      <c r="O31" s="17"/>
    </row>
    <row r="32" spans="1:15" ht="14.45" customHeight="1" x14ac:dyDescent="0.25">
      <c r="A32" s="48" t="s">
        <v>32</v>
      </c>
      <c r="B32" s="19">
        <v>0.65218275785446167</v>
      </c>
      <c r="C32" s="19" t="s">
        <v>83</v>
      </c>
      <c r="D32" s="19" t="s">
        <v>83</v>
      </c>
      <c r="E32" s="19" t="s">
        <v>83</v>
      </c>
      <c r="F32" s="19" t="s">
        <v>83</v>
      </c>
      <c r="G32" s="17"/>
      <c r="H32" s="17"/>
      <c r="I32" s="17"/>
      <c r="J32" s="17"/>
      <c r="K32" s="17"/>
      <c r="L32" s="17"/>
      <c r="M32" s="17"/>
      <c r="N32" s="17"/>
      <c r="O32" s="17"/>
    </row>
    <row r="33" spans="1:15" ht="14.45" customHeight="1" x14ac:dyDescent="0.25">
      <c r="A33" s="47" t="s">
        <v>93</v>
      </c>
      <c r="B33" s="21">
        <v>4.8631533980369568E-2</v>
      </c>
      <c r="C33" s="21" t="s">
        <v>83</v>
      </c>
      <c r="D33" s="21" t="s">
        <v>83</v>
      </c>
      <c r="E33" s="21" t="s">
        <v>83</v>
      </c>
      <c r="F33" s="21" t="s">
        <v>83</v>
      </c>
      <c r="G33" s="17"/>
      <c r="H33" s="17"/>
      <c r="I33" s="17"/>
      <c r="J33" s="17"/>
      <c r="K33" s="17"/>
      <c r="L33" s="17"/>
      <c r="M33" s="17"/>
      <c r="N33" s="17"/>
      <c r="O33" s="17"/>
    </row>
    <row r="34" spans="1:15" ht="14.45" customHeight="1" x14ac:dyDescent="0.25">
      <c r="A34" s="48" t="s">
        <v>33</v>
      </c>
      <c r="B34" s="19">
        <v>1.4965491369366646E-2</v>
      </c>
      <c r="C34" s="19" t="s">
        <v>83</v>
      </c>
      <c r="D34" s="19" t="s">
        <v>83</v>
      </c>
      <c r="E34" s="19" t="s">
        <v>83</v>
      </c>
      <c r="F34" s="19" t="s">
        <v>83</v>
      </c>
      <c r="G34" s="17"/>
      <c r="H34" s="17"/>
      <c r="I34" s="17"/>
      <c r="J34" s="17"/>
      <c r="K34" s="17"/>
      <c r="L34" s="17"/>
      <c r="M34" s="17"/>
      <c r="N34" s="17"/>
      <c r="O34" s="17"/>
    </row>
    <row r="35" spans="1:15" ht="14.45" customHeight="1" x14ac:dyDescent="0.25">
      <c r="A35" s="120" t="s">
        <v>3</v>
      </c>
      <c r="B35" s="84" t="s">
        <v>27</v>
      </c>
      <c r="C35" s="84" t="s">
        <v>27</v>
      </c>
      <c r="D35" s="84" t="s">
        <v>27</v>
      </c>
      <c r="E35" s="84" t="s">
        <v>27</v>
      </c>
      <c r="F35" s="84" t="s">
        <v>27</v>
      </c>
      <c r="G35" s="17"/>
      <c r="H35" s="17"/>
      <c r="I35" s="17"/>
      <c r="J35" s="17"/>
      <c r="K35" s="17"/>
      <c r="L35" s="17"/>
      <c r="M35" s="17"/>
      <c r="N35" s="17"/>
      <c r="O35" s="17"/>
    </row>
    <row r="36" spans="1:15" ht="14.45" customHeight="1" x14ac:dyDescent="0.25">
      <c r="A36" s="48" t="s">
        <v>30</v>
      </c>
      <c r="B36" s="19">
        <v>1.8201440572738647E-2</v>
      </c>
      <c r="C36" s="19">
        <v>9.9094072356820107E-3</v>
      </c>
      <c r="D36" s="19" t="s">
        <v>83</v>
      </c>
      <c r="E36" s="19" t="s">
        <v>83</v>
      </c>
      <c r="F36" s="19" t="s">
        <v>83</v>
      </c>
      <c r="G36" s="17"/>
      <c r="H36" s="17"/>
      <c r="I36" s="17"/>
      <c r="J36" s="17"/>
      <c r="K36" s="17"/>
      <c r="L36" s="17"/>
      <c r="M36" s="17"/>
      <c r="N36" s="17"/>
      <c r="O36" s="17"/>
    </row>
    <row r="37" spans="1:15" ht="14.45" customHeight="1" x14ac:dyDescent="0.25">
      <c r="A37" s="47" t="s">
        <v>32</v>
      </c>
      <c r="B37" s="21" t="s">
        <v>83</v>
      </c>
      <c r="C37" s="21">
        <v>2.3088168818503618E-3</v>
      </c>
      <c r="D37" s="21" t="s">
        <v>83</v>
      </c>
      <c r="E37" s="21" t="s">
        <v>83</v>
      </c>
      <c r="F37" s="21" t="s">
        <v>83</v>
      </c>
    </row>
    <row r="38" spans="1:15" ht="14.45" customHeight="1" x14ac:dyDescent="0.25">
      <c r="A38" s="121" t="s">
        <v>5</v>
      </c>
      <c r="B38" s="85" t="s">
        <v>27</v>
      </c>
      <c r="C38" s="85" t="s">
        <v>27</v>
      </c>
      <c r="D38" s="85" t="s">
        <v>27</v>
      </c>
      <c r="E38" s="85" t="s">
        <v>27</v>
      </c>
      <c r="F38" s="85" t="s">
        <v>27</v>
      </c>
    </row>
    <row r="39" spans="1:15" ht="14.45" customHeight="1" x14ac:dyDescent="0.25">
      <c r="A39" s="47" t="s">
        <v>30</v>
      </c>
      <c r="B39" s="21">
        <v>4.990975558757782E-2</v>
      </c>
      <c r="C39" s="21">
        <v>2.9411736875772476E-2</v>
      </c>
      <c r="D39" s="21" t="s">
        <v>83</v>
      </c>
      <c r="E39" s="21" t="s">
        <v>83</v>
      </c>
      <c r="F39" s="21" t="s">
        <v>83</v>
      </c>
    </row>
    <row r="40" spans="1:15" ht="14.45" customHeight="1" x14ac:dyDescent="0.25">
      <c r="A40" s="48" t="s">
        <v>31</v>
      </c>
      <c r="B40" s="19">
        <v>2.5519650429487228E-2</v>
      </c>
      <c r="C40" s="19">
        <v>5.1809225231409073E-2</v>
      </c>
      <c r="D40" s="19" t="s">
        <v>83</v>
      </c>
      <c r="E40" s="19" t="s">
        <v>83</v>
      </c>
      <c r="F40" s="19" t="s">
        <v>83</v>
      </c>
    </row>
    <row r="41" spans="1:15" ht="14.45" customHeight="1" x14ac:dyDescent="0.25">
      <c r="A41" s="47" t="s">
        <v>32</v>
      </c>
      <c r="B41" s="21">
        <v>0.60754793882369995</v>
      </c>
      <c r="C41" s="21">
        <v>0.58937370777130127</v>
      </c>
      <c r="D41" s="21" t="s">
        <v>83</v>
      </c>
      <c r="E41" s="21" t="s">
        <v>83</v>
      </c>
      <c r="F41" s="21" t="s">
        <v>83</v>
      </c>
    </row>
    <row r="42" spans="1:15" ht="14.45" customHeight="1" x14ac:dyDescent="0.25">
      <c r="A42" s="48" t="s">
        <v>93</v>
      </c>
      <c r="B42" s="19">
        <v>0.30972298979759216</v>
      </c>
      <c r="C42" s="19">
        <v>0.32940533757209778</v>
      </c>
      <c r="D42" s="19" t="s">
        <v>83</v>
      </c>
      <c r="E42" s="19" t="s">
        <v>83</v>
      </c>
      <c r="F42" s="19" t="s">
        <v>83</v>
      </c>
    </row>
    <row r="43" spans="1:15" ht="14.45" customHeight="1" x14ac:dyDescent="0.25">
      <c r="A43" s="47" t="s">
        <v>33</v>
      </c>
      <c r="B43" s="21">
        <v>7.2996304370462894E-3</v>
      </c>
      <c r="C43" s="21" t="s">
        <v>83</v>
      </c>
      <c r="D43" s="21" t="s">
        <v>83</v>
      </c>
      <c r="E43" s="21" t="s">
        <v>83</v>
      </c>
      <c r="F43" s="21" t="s">
        <v>83</v>
      </c>
    </row>
    <row r="44" spans="1:15" ht="14.45" customHeight="1" x14ac:dyDescent="0.25">
      <c r="A44" s="121" t="s">
        <v>6</v>
      </c>
      <c r="B44" s="85" t="s">
        <v>27</v>
      </c>
      <c r="C44" s="85" t="s">
        <v>27</v>
      </c>
      <c r="D44" s="85" t="s">
        <v>27</v>
      </c>
      <c r="E44" s="85" t="s">
        <v>27</v>
      </c>
      <c r="F44" s="85" t="s">
        <v>27</v>
      </c>
    </row>
    <row r="45" spans="1:15" ht="14.45" customHeight="1" x14ac:dyDescent="0.25">
      <c r="A45" s="47" t="s">
        <v>30</v>
      </c>
      <c r="B45" s="21">
        <v>1.2790870852768421E-2</v>
      </c>
      <c r="C45" s="21">
        <v>2.0803105086088181E-2</v>
      </c>
      <c r="D45" s="21">
        <v>0.1122916117310524</v>
      </c>
      <c r="E45" s="21">
        <v>0.30828997492790222</v>
      </c>
      <c r="F45" s="21">
        <v>0.4583146870136261</v>
      </c>
    </row>
    <row r="46" spans="1:15" ht="14.45" customHeight="1" x14ac:dyDescent="0.25">
      <c r="A46" s="48" t="s">
        <v>31</v>
      </c>
      <c r="B46" s="19">
        <v>3.4443389624357224E-2</v>
      </c>
      <c r="C46" s="19">
        <v>8.1329286098480225E-2</v>
      </c>
      <c r="D46" s="19">
        <v>0.15794646739959717</v>
      </c>
      <c r="E46" s="19">
        <v>0.24752631783485413</v>
      </c>
      <c r="F46" s="19">
        <v>0.35640069842338562</v>
      </c>
    </row>
    <row r="47" spans="1:15" ht="14.45" customHeight="1" x14ac:dyDescent="0.25">
      <c r="A47" s="47" t="s">
        <v>32</v>
      </c>
      <c r="B47" s="21">
        <v>0.34604397416114807</v>
      </c>
      <c r="C47" s="21">
        <v>0.36058202385902405</v>
      </c>
      <c r="D47" s="21">
        <v>0.35221171379089355</v>
      </c>
      <c r="E47" s="21">
        <v>0.23996634781360626</v>
      </c>
      <c r="F47" s="21">
        <v>8.3510018885135651E-2</v>
      </c>
    </row>
    <row r="48" spans="1:15" ht="14.45" customHeight="1" x14ac:dyDescent="0.25">
      <c r="A48" s="48" t="s">
        <v>93</v>
      </c>
      <c r="B48" s="19">
        <v>0.60144877433776855</v>
      </c>
      <c r="C48" s="19">
        <v>0.52839761972427368</v>
      </c>
      <c r="D48" s="19">
        <v>0.36935758590698242</v>
      </c>
      <c r="E48" s="19">
        <v>0.19352106750011444</v>
      </c>
      <c r="F48" s="19">
        <v>9.6502199769020081E-2</v>
      </c>
    </row>
    <row r="49" spans="1:6" ht="14.45" customHeight="1" x14ac:dyDescent="0.25">
      <c r="A49" s="47" t="s">
        <v>33</v>
      </c>
      <c r="B49" s="21">
        <v>5.2729686722159386E-3</v>
      </c>
      <c r="C49" s="21">
        <v>8.8879736140370369E-3</v>
      </c>
      <c r="D49" s="21">
        <v>8.1926006823778152E-3</v>
      </c>
      <c r="E49" s="21">
        <v>1.0696237906813622E-2</v>
      </c>
      <c r="F49" s="21">
        <v>5.272401962429285E-3</v>
      </c>
    </row>
    <row r="50" spans="1:6" ht="14.45" customHeight="1" x14ac:dyDescent="0.25">
      <c r="A50" s="121" t="s">
        <v>39</v>
      </c>
      <c r="B50" s="85" t="s">
        <v>27</v>
      </c>
      <c r="C50" s="85" t="s">
        <v>27</v>
      </c>
      <c r="D50" s="85" t="s">
        <v>27</v>
      </c>
      <c r="E50" s="85" t="s">
        <v>27</v>
      </c>
      <c r="F50" s="85" t="s">
        <v>27</v>
      </c>
    </row>
    <row r="51" spans="1:6" ht="14.45" customHeight="1" x14ac:dyDescent="0.25">
      <c r="A51" s="47" t="s">
        <v>30</v>
      </c>
      <c r="B51" s="21">
        <v>2.7039799839258194E-2</v>
      </c>
      <c r="C51" s="21">
        <v>5.3845267742872238E-2</v>
      </c>
      <c r="D51" s="21">
        <v>0.12494584918022156</v>
      </c>
      <c r="E51" s="21">
        <v>0.20328269898891449</v>
      </c>
      <c r="F51" s="21">
        <v>0.32149294018745422</v>
      </c>
    </row>
    <row r="52" spans="1:6" ht="14.45" customHeight="1" x14ac:dyDescent="0.25">
      <c r="A52" s="48" t="s">
        <v>31</v>
      </c>
      <c r="B52" s="19">
        <v>1.3968621380627155E-2</v>
      </c>
      <c r="C52" s="19">
        <v>6.1600279062986374E-2</v>
      </c>
      <c r="D52" s="19">
        <v>0.11774460226297379</v>
      </c>
      <c r="E52" s="19">
        <v>0.21126507222652435</v>
      </c>
      <c r="F52" s="19">
        <v>0.27216365933418274</v>
      </c>
    </row>
    <row r="53" spans="1:6" ht="14.45" customHeight="1" x14ac:dyDescent="0.25">
      <c r="A53" s="47" t="s">
        <v>32</v>
      </c>
      <c r="B53" s="21">
        <v>0.79593819379806519</v>
      </c>
      <c r="C53" s="21">
        <v>0.7622191309928894</v>
      </c>
      <c r="D53" s="21">
        <v>0.676078200340271</v>
      </c>
      <c r="E53" s="21">
        <v>0.548026442527771</v>
      </c>
      <c r="F53" s="21">
        <v>0.38129016757011414</v>
      </c>
    </row>
    <row r="54" spans="1:6" ht="14.45" customHeight="1" x14ac:dyDescent="0.25">
      <c r="A54" s="48" t="s">
        <v>93</v>
      </c>
      <c r="B54" s="19">
        <v>0.13307012617588043</v>
      </c>
      <c r="C54" s="19">
        <v>0.11323058605194092</v>
      </c>
      <c r="D54" s="19">
        <v>7.4017025530338287E-2</v>
      </c>
      <c r="E54" s="19">
        <v>1.6016611829400063E-2</v>
      </c>
      <c r="F54" s="19">
        <v>1.7797118052840233E-2</v>
      </c>
    </row>
    <row r="55" spans="1:6" ht="14.45" customHeight="1" x14ac:dyDescent="0.25">
      <c r="A55" s="47" t="s">
        <v>33</v>
      </c>
      <c r="B55" s="21">
        <v>2.9983239248394966E-2</v>
      </c>
      <c r="C55" s="21">
        <v>9.1046784073114395E-3</v>
      </c>
      <c r="D55" s="21">
        <v>7.2142854332923889E-3</v>
      </c>
      <c r="E55" s="21">
        <v>2.140919491648674E-2</v>
      </c>
      <c r="F55" s="21">
        <v>7.2561376728117466E-3</v>
      </c>
    </row>
    <row r="56" spans="1:6" ht="14.45" customHeight="1" x14ac:dyDescent="0.25">
      <c r="A56" s="121" t="s">
        <v>9</v>
      </c>
      <c r="B56" s="85" t="s">
        <v>27</v>
      </c>
      <c r="C56" s="85" t="s">
        <v>27</v>
      </c>
      <c r="D56" s="85" t="s">
        <v>27</v>
      </c>
      <c r="E56" s="85" t="s">
        <v>27</v>
      </c>
      <c r="F56" s="85" t="s">
        <v>27</v>
      </c>
    </row>
    <row r="57" spans="1:6" ht="14.45" customHeight="1" x14ac:dyDescent="0.25">
      <c r="A57" s="47" t="s">
        <v>30</v>
      </c>
      <c r="B57" s="21">
        <v>2.2889431565999985E-2</v>
      </c>
      <c r="C57" s="21">
        <v>2.2771723568439484E-2</v>
      </c>
      <c r="D57" s="21">
        <v>2.7315651997923851E-2</v>
      </c>
      <c r="E57" s="21" t="s">
        <v>83</v>
      </c>
      <c r="F57" s="21" t="s">
        <v>83</v>
      </c>
    </row>
    <row r="58" spans="1:6" ht="14.45" customHeight="1" x14ac:dyDescent="0.25">
      <c r="A58" s="48" t="s">
        <v>31</v>
      </c>
      <c r="B58" s="19">
        <v>0.21485956013202667</v>
      </c>
      <c r="C58" s="19">
        <v>0.44765645265579224</v>
      </c>
      <c r="D58" s="19">
        <v>0.71100813150405884</v>
      </c>
      <c r="E58" s="19" t="s">
        <v>83</v>
      </c>
      <c r="F58" s="19" t="s">
        <v>83</v>
      </c>
    </row>
    <row r="59" spans="1:6" ht="14.45" customHeight="1" x14ac:dyDescent="0.25">
      <c r="A59" s="47" t="s">
        <v>32</v>
      </c>
      <c r="B59" s="21">
        <v>0.30645212531089783</v>
      </c>
      <c r="C59" s="21">
        <v>0.2977459728717804</v>
      </c>
      <c r="D59" s="21">
        <v>0.18530619144439697</v>
      </c>
      <c r="E59" s="21" t="s">
        <v>83</v>
      </c>
      <c r="F59" s="21" t="s">
        <v>83</v>
      </c>
    </row>
    <row r="60" spans="1:6" ht="14.45" customHeight="1" x14ac:dyDescent="0.25">
      <c r="A60" s="48" t="s">
        <v>93</v>
      </c>
      <c r="B60" s="19">
        <v>0.45579886436462402</v>
      </c>
      <c r="C60" s="19">
        <v>0.22337456047534943</v>
      </c>
      <c r="D60" s="19">
        <v>7.3069125413894653E-2</v>
      </c>
      <c r="E60" s="19" t="s">
        <v>83</v>
      </c>
      <c r="F60" s="19" t="s">
        <v>83</v>
      </c>
    </row>
    <row r="61" spans="1:6" ht="14.45" customHeight="1" x14ac:dyDescent="0.25">
      <c r="A61" s="47" t="s">
        <v>33</v>
      </c>
      <c r="B61" s="21" t="s">
        <v>27</v>
      </c>
      <c r="C61" s="21">
        <v>8.4512876346707344E-3</v>
      </c>
      <c r="D61" s="21">
        <v>3.3009455073624849E-3</v>
      </c>
      <c r="E61" s="21" t="s">
        <v>83</v>
      </c>
      <c r="F61" s="21" t="s">
        <v>83</v>
      </c>
    </row>
    <row r="62" spans="1:6" ht="14.45" customHeight="1" x14ac:dyDescent="0.25">
      <c r="A62" s="121" t="s">
        <v>10</v>
      </c>
      <c r="B62" s="85" t="s">
        <v>27</v>
      </c>
      <c r="C62" s="85" t="s">
        <v>27</v>
      </c>
      <c r="D62" s="85" t="s">
        <v>27</v>
      </c>
      <c r="E62" s="85" t="s">
        <v>27</v>
      </c>
      <c r="F62" s="85" t="s">
        <v>27</v>
      </c>
    </row>
    <row r="63" spans="1:6" ht="14.45" customHeight="1" x14ac:dyDescent="0.25">
      <c r="A63" s="47" t="s">
        <v>30</v>
      </c>
      <c r="B63" s="21">
        <v>0.47589060664176941</v>
      </c>
      <c r="C63" s="21">
        <v>0.5344511866569519</v>
      </c>
      <c r="D63" s="21">
        <v>0.5078551173210144</v>
      </c>
      <c r="E63" s="21">
        <v>0.54881322383880615</v>
      </c>
      <c r="F63" s="21">
        <v>0.80061149597167969</v>
      </c>
    </row>
    <row r="64" spans="1:6" ht="14.45" customHeight="1" x14ac:dyDescent="0.25">
      <c r="A64" s="48" t="s">
        <v>31</v>
      </c>
      <c r="B64" s="19">
        <v>5.7680174708366394E-2</v>
      </c>
      <c r="C64" s="19">
        <v>9.4978384673595428E-2</v>
      </c>
      <c r="D64" s="19">
        <v>0.13564160466194153</v>
      </c>
      <c r="E64" s="19">
        <v>0.19491641223430634</v>
      </c>
      <c r="F64" s="19">
        <v>0.11650035530328751</v>
      </c>
    </row>
    <row r="65" spans="1:6" ht="14.45" customHeight="1" x14ac:dyDescent="0.25">
      <c r="A65" s="47" t="s">
        <v>32</v>
      </c>
      <c r="B65" s="21">
        <v>0.14268197119235992</v>
      </c>
      <c r="C65" s="21">
        <v>0.21401993930339813</v>
      </c>
      <c r="D65" s="21">
        <v>0.1944999098777771</v>
      </c>
      <c r="E65" s="21">
        <v>0.13555797934532166</v>
      </c>
      <c r="F65" s="21">
        <v>1.0497560724616051E-2</v>
      </c>
    </row>
    <row r="66" spans="1:6" ht="14.45" customHeight="1" x14ac:dyDescent="0.25">
      <c r="A66" s="48" t="s">
        <v>93</v>
      </c>
      <c r="B66" s="19">
        <v>0.28004816174507141</v>
      </c>
      <c r="C66" s="19">
        <v>0.14475460350513458</v>
      </c>
      <c r="D66" s="19">
        <v>0.1488000899553299</v>
      </c>
      <c r="E66" s="19">
        <v>0.10557357966899872</v>
      </c>
      <c r="F66" s="19">
        <v>7.2390615940093994E-2</v>
      </c>
    </row>
    <row r="67" spans="1:6" ht="14.45" customHeight="1" x14ac:dyDescent="0.25">
      <c r="A67" s="47" t="s">
        <v>33</v>
      </c>
      <c r="B67" s="21">
        <v>4.3699111789464951E-2</v>
      </c>
      <c r="C67" s="21">
        <v>1.179586723446846E-2</v>
      </c>
      <c r="D67" s="21">
        <v>1.3203277252614498E-2</v>
      </c>
      <c r="E67" s="21">
        <v>1.513875275850296E-2</v>
      </c>
      <c r="F67" s="21" t="s">
        <v>27</v>
      </c>
    </row>
    <row r="68" spans="1:6" ht="14.45" customHeight="1" x14ac:dyDescent="0.25">
      <c r="A68" s="121" t="s">
        <v>11</v>
      </c>
      <c r="B68" s="85"/>
      <c r="C68" s="85"/>
      <c r="D68" s="85"/>
      <c r="E68" s="85"/>
      <c r="F68" s="85"/>
    </row>
    <row r="69" spans="1:6" ht="14.45" customHeight="1" x14ac:dyDescent="0.25">
      <c r="A69" s="47" t="s">
        <v>30</v>
      </c>
      <c r="B69" s="21">
        <v>0.35662275552749634</v>
      </c>
      <c r="C69" s="21">
        <v>0.14433777332305908</v>
      </c>
      <c r="D69" s="21">
        <v>0.22289812564849854</v>
      </c>
      <c r="E69" s="21" t="s">
        <v>83</v>
      </c>
      <c r="F69" s="21" t="s">
        <v>83</v>
      </c>
    </row>
    <row r="70" spans="1:6" ht="14.45" customHeight="1" x14ac:dyDescent="0.25">
      <c r="A70" s="48" t="s">
        <v>31</v>
      </c>
      <c r="B70" s="19">
        <v>0.11628811061382294</v>
      </c>
      <c r="C70" s="19">
        <v>0.17613933980464935</v>
      </c>
      <c r="D70" s="19">
        <v>0.18324677646160126</v>
      </c>
      <c r="E70" s="19" t="s">
        <v>83</v>
      </c>
      <c r="F70" s="19" t="s">
        <v>83</v>
      </c>
    </row>
    <row r="71" spans="1:6" ht="14.45" customHeight="1" x14ac:dyDescent="0.25">
      <c r="A71" s="47" t="s">
        <v>32</v>
      </c>
      <c r="B71" s="21">
        <v>0.31028798222541809</v>
      </c>
      <c r="C71" s="21">
        <v>0.43674090504646301</v>
      </c>
      <c r="D71" s="21">
        <v>0.45773747563362122</v>
      </c>
      <c r="E71" s="21" t="s">
        <v>83</v>
      </c>
      <c r="F71" s="21" t="s">
        <v>83</v>
      </c>
    </row>
    <row r="72" spans="1:6" ht="14.45" customHeight="1" x14ac:dyDescent="0.25">
      <c r="A72" s="48" t="s">
        <v>111</v>
      </c>
      <c r="B72" s="19">
        <v>0.12818664312362671</v>
      </c>
      <c r="C72" s="19">
        <v>0.10518214106559753</v>
      </c>
      <c r="D72" s="19">
        <v>9.4292514026165009E-2</v>
      </c>
      <c r="E72" s="19" t="s">
        <v>83</v>
      </c>
      <c r="F72" s="19" t="s">
        <v>83</v>
      </c>
    </row>
    <row r="73" spans="1:6" ht="14.45" customHeight="1" x14ac:dyDescent="0.25">
      <c r="A73" s="47" t="s">
        <v>33</v>
      </c>
      <c r="B73" s="21">
        <v>8.8614508509635925E-2</v>
      </c>
      <c r="C73" s="21">
        <v>0.1375998854637146</v>
      </c>
      <c r="D73" s="21">
        <v>4.1825108230113983E-2</v>
      </c>
      <c r="E73" s="21" t="s">
        <v>83</v>
      </c>
      <c r="F73" s="21" t="s">
        <v>83</v>
      </c>
    </row>
    <row r="74" spans="1:6" ht="14.45" customHeight="1" x14ac:dyDescent="0.25">
      <c r="A74" s="121" t="s">
        <v>12</v>
      </c>
      <c r="B74" s="85" t="s">
        <v>27</v>
      </c>
      <c r="C74" s="85" t="s">
        <v>27</v>
      </c>
      <c r="D74" s="85" t="s">
        <v>27</v>
      </c>
      <c r="E74" s="85" t="s">
        <v>27</v>
      </c>
      <c r="F74" s="85" t="s">
        <v>27</v>
      </c>
    </row>
    <row r="75" spans="1:6" ht="14.45" customHeight="1" x14ac:dyDescent="0.25">
      <c r="A75" s="47" t="s">
        <v>30</v>
      </c>
      <c r="B75" s="21">
        <v>0.55053555965423584</v>
      </c>
      <c r="C75" s="21" t="s">
        <v>83</v>
      </c>
      <c r="D75" s="21" t="s">
        <v>83</v>
      </c>
      <c r="E75" s="21" t="s">
        <v>83</v>
      </c>
      <c r="F75" s="21" t="s">
        <v>83</v>
      </c>
    </row>
    <row r="76" spans="1:6" ht="14.45" customHeight="1" x14ac:dyDescent="0.25">
      <c r="A76" s="48" t="s">
        <v>32</v>
      </c>
      <c r="B76" s="19">
        <v>0.11222824454307556</v>
      </c>
      <c r="C76" s="19" t="s">
        <v>83</v>
      </c>
      <c r="D76" s="19" t="s">
        <v>83</v>
      </c>
      <c r="E76" s="19" t="s">
        <v>83</v>
      </c>
      <c r="F76" s="19" t="s">
        <v>83</v>
      </c>
    </row>
    <row r="77" spans="1:6" ht="14.45" customHeight="1" x14ac:dyDescent="0.25">
      <c r="A77" s="47" t="s">
        <v>93</v>
      </c>
      <c r="B77" s="21">
        <v>0.19763518869876862</v>
      </c>
      <c r="C77" s="21" t="s">
        <v>83</v>
      </c>
      <c r="D77" s="21" t="s">
        <v>83</v>
      </c>
      <c r="E77" s="21" t="s">
        <v>83</v>
      </c>
      <c r="F77" s="21" t="s">
        <v>83</v>
      </c>
    </row>
    <row r="78" spans="1:6" ht="14.45" customHeight="1" x14ac:dyDescent="0.25">
      <c r="A78" s="48" t="s">
        <v>33</v>
      </c>
      <c r="B78" s="19">
        <v>0.13960102200508118</v>
      </c>
      <c r="C78" s="19" t="s">
        <v>83</v>
      </c>
      <c r="D78" s="19" t="s">
        <v>83</v>
      </c>
      <c r="E78" s="19" t="s">
        <v>83</v>
      </c>
      <c r="F78" s="19" t="s">
        <v>83</v>
      </c>
    </row>
    <row r="79" spans="1:6" ht="14.45" customHeight="1" x14ac:dyDescent="0.25">
      <c r="A79" s="120" t="s">
        <v>13</v>
      </c>
      <c r="B79" s="84"/>
      <c r="C79" s="84"/>
      <c r="D79" s="84"/>
      <c r="E79" s="84"/>
      <c r="F79" s="84"/>
    </row>
    <row r="80" spans="1:6" ht="14.45" customHeight="1" x14ac:dyDescent="0.25">
      <c r="A80" s="48" t="s">
        <v>30</v>
      </c>
      <c r="B80" s="19">
        <v>0.83042681217193604</v>
      </c>
      <c r="C80" s="19">
        <v>0.91661316156387329</v>
      </c>
      <c r="D80" s="19">
        <v>0.81850707530975342</v>
      </c>
      <c r="E80" s="19" t="s">
        <v>83</v>
      </c>
      <c r="F80" s="19" t="s">
        <v>83</v>
      </c>
    </row>
    <row r="81" spans="1:6" ht="14.45" customHeight="1" x14ac:dyDescent="0.25">
      <c r="A81" s="47" t="s">
        <v>31</v>
      </c>
      <c r="B81" s="21">
        <v>4.7322683967649937E-3</v>
      </c>
      <c r="C81" s="21">
        <v>1.0235253721475601E-2</v>
      </c>
      <c r="D81" s="21">
        <v>7.5576655566692352E-2</v>
      </c>
      <c r="E81" s="21" t="s">
        <v>83</v>
      </c>
      <c r="F81" s="21" t="s">
        <v>83</v>
      </c>
    </row>
    <row r="82" spans="1:6" ht="14.45" customHeight="1" x14ac:dyDescent="0.25">
      <c r="A82" s="48" t="s">
        <v>32</v>
      </c>
      <c r="B82" s="19">
        <v>2.9860686045140028E-3</v>
      </c>
      <c r="C82" s="19">
        <v>5.4591069929301739E-3</v>
      </c>
      <c r="D82" s="19">
        <v>1.3373993337154388E-2</v>
      </c>
      <c r="E82" s="19" t="s">
        <v>83</v>
      </c>
      <c r="F82" s="19" t="s">
        <v>83</v>
      </c>
    </row>
    <row r="83" spans="1:6" ht="14.45" customHeight="1" x14ac:dyDescent="0.25">
      <c r="A83" s="47" t="s">
        <v>111</v>
      </c>
      <c r="B83" s="21">
        <v>2.7529668062925339E-2</v>
      </c>
      <c r="C83" s="21">
        <v>3.8245014846324921E-2</v>
      </c>
      <c r="D83" s="21">
        <v>1.522467378526926E-2</v>
      </c>
      <c r="E83" s="21" t="s">
        <v>83</v>
      </c>
      <c r="F83" s="21" t="s">
        <v>83</v>
      </c>
    </row>
    <row r="84" spans="1:6" ht="14.45" customHeight="1" x14ac:dyDescent="0.25">
      <c r="A84" s="48" t="s">
        <v>33</v>
      </c>
      <c r="B84" s="19">
        <v>0.13432519137859344</v>
      </c>
      <c r="C84" s="19">
        <v>2.9447441920638084E-2</v>
      </c>
      <c r="D84" s="19">
        <v>7.731764018535614E-2</v>
      </c>
      <c r="E84" s="19" t="s">
        <v>83</v>
      </c>
      <c r="F84" s="19" t="s">
        <v>83</v>
      </c>
    </row>
    <row r="85" spans="1:6" ht="14.45" customHeight="1" x14ac:dyDescent="0.25">
      <c r="A85" s="120" t="s">
        <v>14</v>
      </c>
      <c r="B85" s="84"/>
      <c r="C85" s="84"/>
      <c r="D85" s="84"/>
      <c r="E85" s="84"/>
      <c r="F85" s="84"/>
    </row>
    <row r="86" spans="1:6" ht="14.45" customHeight="1" x14ac:dyDescent="0.25">
      <c r="A86" s="48" t="s">
        <v>30</v>
      </c>
      <c r="B86" s="19">
        <v>4.2251384002156556E-4</v>
      </c>
      <c r="C86" s="19" t="s">
        <v>83</v>
      </c>
      <c r="D86" s="19" t="s">
        <v>83</v>
      </c>
      <c r="E86" s="19" t="s">
        <v>83</v>
      </c>
      <c r="F86" s="19" t="s">
        <v>83</v>
      </c>
    </row>
    <row r="87" spans="1:6" ht="14.45" customHeight="1" x14ac:dyDescent="0.25">
      <c r="A87" s="47" t="s">
        <v>31</v>
      </c>
      <c r="B87" s="21">
        <v>0.27512317895889282</v>
      </c>
      <c r="C87" s="21" t="s">
        <v>83</v>
      </c>
      <c r="D87" s="21" t="s">
        <v>83</v>
      </c>
      <c r="E87" s="21" t="s">
        <v>83</v>
      </c>
      <c r="F87" s="21" t="s">
        <v>83</v>
      </c>
    </row>
    <row r="88" spans="1:6" ht="14.45" customHeight="1" x14ac:dyDescent="0.25">
      <c r="A88" s="48" t="s">
        <v>32</v>
      </c>
      <c r="B88" s="19">
        <v>0.58832681179046631</v>
      </c>
      <c r="C88" s="19" t="s">
        <v>83</v>
      </c>
      <c r="D88" s="19" t="s">
        <v>83</v>
      </c>
      <c r="E88" s="19" t="s">
        <v>83</v>
      </c>
      <c r="F88" s="19" t="s">
        <v>83</v>
      </c>
    </row>
    <row r="89" spans="1:6" ht="14.45" customHeight="1" x14ac:dyDescent="0.25">
      <c r="A89" s="47" t="s">
        <v>111</v>
      </c>
      <c r="B89" s="21">
        <v>0.13612745702266693</v>
      </c>
      <c r="C89" s="21" t="s">
        <v>83</v>
      </c>
      <c r="D89" s="21" t="s">
        <v>83</v>
      </c>
      <c r="E89" s="21" t="s">
        <v>83</v>
      </c>
      <c r="F89" s="21" t="s">
        <v>83</v>
      </c>
    </row>
    <row r="90" spans="1:6" ht="14.45" customHeight="1" x14ac:dyDescent="0.25">
      <c r="A90" s="121" t="s">
        <v>15</v>
      </c>
      <c r="B90" s="85" t="s">
        <v>27</v>
      </c>
      <c r="C90" s="85" t="s">
        <v>27</v>
      </c>
      <c r="D90" s="85" t="s">
        <v>27</v>
      </c>
      <c r="E90" s="85" t="s">
        <v>27</v>
      </c>
      <c r="F90" s="85" t="s">
        <v>27</v>
      </c>
    </row>
    <row r="91" spans="1:6" ht="14.45" customHeight="1" x14ac:dyDescent="0.25">
      <c r="A91" s="47" t="s">
        <v>30</v>
      </c>
      <c r="B91" s="21">
        <v>0.42240786552429199</v>
      </c>
      <c r="C91" s="21">
        <v>0.28194969892501831</v>
      </c>
      <c r="D91" s="21" t="s">
        <v>83</v>
      </c>
      <c r="E91" s="21" t="s">
        <v>83</v>
      </c>
      <c r="F91" s="21" t="s">
        <v>83</v>
      </c>
    </row>
    <row r="92" spans="1:6" ht="14.45" customHeight="1" x14ac:dyDescent="0.25">
      <c r="A92" s="48" t="s">
        <v>31</v>
      </c>
      <c r="B92" s="19">
        <v>4.4191956520080566E-2</v>
      </c>
      <c r="C92" s="19">
        <v>2.9801489785313606E-2</v>
      </c>
      <c r="D92" s="19" t="s">
        <v>83</v>
      </c>
      <c r="E92" s="19" t="s">
        <v>83</v>
      </c>
      <c r="F92" s="19" t="s">
        <v>83</v>
      </c>
    </row>
    <row r="93" spans="1:6" ht="14.45" customHeight="1" x14ac:dyDescent="0.25">
      <c r="A93" s="47" t="s">
        <v>32</v>
      </c>
      <c r="B93" s="21">
        <v>0.20347122848033905</v>
      </c>
      <c r="C93" s="21">
        <v>0.15649113059043884</v>
      </c>
      <c r="D93" s="21" t="s">
        <v>83</v>
      </c>
      <c r="E93" s="21" t="s">
        <v>83</v>
      </c>
      <c r="F93" s="21" t="s">
        <v>83</v>
      </c>
    </row>
    <row r="94" spans="1:6" ht="14.45" customHeight="1" x14ac:dyDescent="0.25">
      <c r="A94" s="48" t="s">
        <v>111</v>
      </c>
      <c r="B94" s="19">
        <v>0.26618081331253052</v>
      </c>
      <c r="C94" s="19">
        <v>0.52035337686538696</v>
      </c>
      <c r="D94" s="19" t="s">
        <v>83</v>
      </c>
      <c r="E94" s="19" t="s">
        <v>83</v>
      </c>
      <c r="F94" s="19" t="s">
        <v>83</v>
      </c>
    </row>
    <row r="95" spans="1:6" ht="14.45" customHeight="1" x14ac:dyDescent="0.25">
      <c r="A95" s="47" t="s">
        <v>33</v>
      </c>
      <c r="B95" s="21">
        <v>6.3748098909854889E-2</v>
      </c>
      <c r="C95" s="21">
        <v>1.1404326185584068E-2</v>
      </c>
      <c r="D95" s="21" t="s">
        <v>83</v>
      </c>
      <c r="E95" s="21" t="s">
        <v>83</v>
      </c>
      <c r="F95" s="21" t="s">
        <v>83</v>
      </c>
    </row>
    <row r="96" spans="1:6" ht="14.45" customHeight="1" x14ac:dyDescent="0.25">
      <c r="A96" s="121" t="s">
        <v>16</v>
      </c>
      <c r="B96" s="85" t="s">
        <v>27</v>
      </c>
      <c r="C96" s="85" t="s">
        <v>27</v>
      </c>
      <c r="D96" s="85" t="s">
        <v>27</v>
      </c>
      <c r="E96" s="85" t="s">
        <v>27</v>
      </c>
      <c r="F96" s="85" t="s">
        <v>27</v>
      </c>
    </row>
    <row r="97" spans="1:6" ht="14.45" customHeight="1" x14ac:dyDescent="0.25">
      <c r="A97" s="47" t="s">
        <v>30</v>
      </c>
      <c r="B97" s="21">
        <v>7.6918110251426697E-2</v>
      </c>
      <c r="C97" s="21" t="s">
        <v>83</v>
      </c>
      <c r="D97" s="21" t="s">
        <v>83</v>
      </c>
      <c r="E97" s="21" t="s">
        <v>83</v>
      </c>
      <c r="F97" s="21" t="s">
        <v>83</v>
      </c>
    </row>
    <row r="98" spans="1:6" ht="14.45" customHeight="1" x14ac:dyDescent="0.25">
      <c r="A98" s="48" t="s">
        <v>31</v>
      </c>
      <c r="B98" s="19">
        <v>7.984510064125061E-2</v>
      </c>
      <c r="C98" s="19">
        <v>5.5455416440963745E-3</v>
      </c>
      <c r="D98" s="19" t="s">
        <v>83</v>
      </c>
      <c r="E98" s="19" t="s">
        <v>83</v>
      </c>
      <c r="F98" s="19" t="s">
        <v>83</v>
      </c>
    </row>
    <row r="99" spans="1:6" ht="14.45" customHeight="1" x14ac:dyDescent="0.25">
      <c r="A99" s="47" t="s">
        <v>32</v>
      </c>
      <c r="B99" s="21">
        <v>4.2084433138370514E-2</v>
      </c>
      <c r="C99" s="21">
        <v>3.6369271576404572E-2</v>
      </c>
      <c r="D99" s="21"/>
      <c r="E99" s="21"/>
      <c r="F99" s="21"/>
    </row>
    <row r="100" spans="1:6" ht="14.45" customHeight="1" x14ac:dyDescent="0.25">
      <c r="A100" s="48" t="s">
        <v>111</v>
      </c>
      <c r="B100" s="19">
        <v>0.78786206245422363</v>
      </c>
      <c r="C100" s="19">
        <v>0.95804208517074585</v>
      </c>
      <c r="D100" s="19" t="s">
        <v>83</v>
      </c>
      <c r="E100" s="19" t="s">
        <v>83</v>
      </c>
      <c r="F100" s="19" t="s">
        <v>83</v>
      </c>
    </row>
    <row r="101" spans="1:6" ht="14.45" customHeight="1" x14ac:dyDescent="0.25">
      <c r="A101" s="47" t="s">
        <v>33</v>
      </c>
      <c r="B101" s="21">
        <v>1.3290292583405972E-2</v>
      </c>
      <c r="C101" s="21">
        <v>4.3097745219711214E-5</v>
      </c>
      <c r="D101" s="21" t="s">
        <v>83</v>
      </c>
      <c r="E101" s="21" t="s">
        <v>83</v>
      </c>
      <c r="F101" s="21" t="s">
        <v>83</v>
      </c>
    </row>
    <row r="102" spans="1:6" ht="14.45" customHeight="1" x14ac:dyDescent="0.25">
      <c r="A102" s="121" t="s">
        <v>17</v>
      </c>
      <c r="B102" s="85" t="s">
        <v>27</v>
      </c>
      <c r="C102" s="85" t="s">
        <v>27</v>
      </c>
      <c r="D102" s="85" t="s">
        <v>27</v>
      </c>
      <c r="E102" s="85" t="s">
        <v>27</v>
      </c>
      <c r="F102" s="85" t="s">
        <v>27</v>
      </c>
    </row>
    <row r="103" spans="1:6" ht="14.45" customHeight="1" x14ac:dyDescent="0.25">
      <c r="A103" s="47" t="s">
        <v>30</v>
      </c>
      <c r="B103" s="21">
        <v>1.2769877910614014E-2</v>
      </c>
      <c r="C103" s="21" t="s">
        <v>83</v>
      </c>
      <c r="D103" s="21" t="s">
        <v>83</v>
      </c>
      <c r="E103" s="21" t="s">
        <v>83</v>
      </c>
      <c r="F103" s="21" t="s">
        <v>83</v>
      </c>
    </row>
    <row r="104" spans="1:6" ht="14.45" customHeight="1" x14ac:dyDescent="0.25">
      <c r="A104" s="48" t="s">
        <v>31</v>
      </c>
      <c r="B104" s="19">
        <v>0.14744345843791962</v>
      </c>
      <c r="C104" s="19" t="s">
        <v>83</v>
      </c>
      <c r="D104" s="19" t="s">
        <v>83</v>
      </c>
      <c r="E104" s="19" t="s">
        <v>83</v>
      </c>
      <c r="F104" s="19" t="s">
        <v>83</v>
      </c>
    </row>
    <row r="105" spans="1:6" ht="14.45" customHeight="1" x14ac:dyDescent="0.25">
      <c r="A105" s="47" t="s">
        <v>32</v>
      </c>
      <c r="B105" s="21">
        <v>0.78277772665023804</v>
      </c>
      <c r="C105" s="21" t="s">
        <v>83</v>
      </c>
      <c r="D105" s="21" t="s">
        <v>83</v>
      </c>
      <c r="E105" s="21" t="s">
        <v>83</v>
      </c>
      <c r="F105" s="21" t="s">
        <v>83</v>
      </c>
    </row>
    <row r="106" spans="1:6" ht="14.45" customHeight="1" x14ac:dyDescent="0.25">
      <c r="A106" s="48" t="s">
        <v>111</v>
      </c>
      <c r="B106" s="19">
        <v>4.6662449836730957E-2</v>
      </c>
      <c r="C106" s="19" t="s">
        <v>83</v>
      </c>
      <c r="D106" s="19" t="s">
        <v>83</v>
      </c>
      <c r="E106" s="19" t="s">
        <v>83</v>
      </c>
      <c r="F106" s="19" t="s">
        <v>83</v>
      </c>
    </row>
    <row r="107" spans="1:6" ht="14.45" customHeight="1" x14ac:dyDescent="0.25">
      <c r="A107" s="47" t="s">
        <v>33</v>
      </c>
      <c r="B107" s="21">
        <v>1.0346496477723122E-2</v>
      </c>
      <c r="C107" s="21" t="s">
        <v>83</v>
      </c>
      <c r="D107" s="21" t="s">
        <v>83</v>
      </c>
      <c r="E107" s="21" t="s">
        <v>83</v>
      </c>
      <c r="F107" s="21" t="s">
        <v>83</v>
      </c>
    </row>
    <row r="108" spans="1:6" ht="14.45" customHeight="1" x14ac:dyDescent="0.25">
      <c r="A108" s="121" t="s">
        <v>18</v>
      </c>
      <c r="B108" s="85" t="s">
        <v>27</v>
      </c>
      <c r="C108" s="85" t="s">
        <v>27</v>
      </c>
      <c r="D108" s="85" t="s">
        <v>27</v>
      </c>
      <c r="E108" s="85" t="s">
        <v>27</v>
      </c>
      <c r="F108" s="85" t="s">
        <v>27</v>
      </c>
    </row>
    <row r="109" spans="1:6" ht="14.45" customHeight="1" x14ac:dyDescent="0.25">
      <c r="A109" s="47" t="s">
        <v>30</v>
      </c>
      <c r="B109" s="21">
        <v>0.28936657309532166</v>
      </c>
      <c r="C109" s="21" t="s">
        <v>83</v>
      </c>
      <c r="D109" s="21" t="s">
        <v>83</v>
      </c>
      <c r="E109" s="21" t="s">
        <v>83</v>
      </c>
      <c r="F109" s="21" t="s">
        <v>83</v>
      </c>
    </row>
    <row r="110" spans="1:6" ht="14.45" customHeight="1" x14ac:dyDescent="0.25">
      <c r="A110" s="48" t="s">
        <v>31</v>
      </c>
      <c r="B110" s="19">
        <v>5.9193563647568226E-3</v>
      </c>
      <c r="C110" s="19" t="s">
        <v>83</v>
      </c>
      <c r="D110" s="19" t="s">
        <v>83</v>
      </c>
      <c r="E110" s="19" t="s">
        <v>83</v>
      </c>
      <c r="F110" s="19" t="s">
        <v>83</v>
      </c>
    </row>
    <row r="111" spans="1:6" ht="14.45" customHeight="1" x14ac:dyDescent="0.25">
      <c r="A111" s="47" t="s">
        <v>32</v>
      </c>
      <c r="B111" s="21">
        <v>0.14529129862785339</v>
      </c>
      <c r="C111" s="21" t="s">
        <v>83</v>
      </c>
      <c r="D111" s="21" t="s">
        <v>83</v>
      </c>
      <c r="E111" s="21" t="s">
        <v>83</v>
      </c>
      <c r="F111" s="21" t="s">
        <v>83</v>
      </c>
    </row>
    <row r="112" spans="1:6" ht="14.45" customHeight="1" x14ac:dyDescent="0.25">
      <c r="A112" s="48" t="s">
        <v>111</v>
      </c>
      <c r="B112" s="19">
        <v>3.1052643433213234E-2</v>
      </c>
      <c r="C112" s="19" t="s">
        <v>83</v>
      </c>
      <c r="D112" s="19" t="s">
        <v>83</v>
      </c>
      <c r="E112" s="19" t="s">
        <v>83</v>
      </c>
      <c r="F112" s="19" t="s">
        <v>83</v>
      </c>
    </row>
    <row r="113" spans="1:6" ht="14.45" customHeight="1" x14ac:dyDescent="0.25">
      <c r="A113" s="47" t="s">
        <v>33</v>
      </c>
      <c r="B113" s="21">
        <v>0.52837014198303223</v>
      </c>
      <c r="C113" s="21" t="s">
        <v>83</v>
      </c>
      <c r="D113" s="21" t="s">
        <v>83</v>
      </c>
      <c r="E113" s="21" t="s">
        <v>83</v>
      </c>
      <c r="F113" s="21" t="s">
        <v>83</v>
      </c>
    </row>
    <row r="114" spans="1:6" ht="14.45" customHeight="1" x14ac:dyDescent="0.25">
      <c r="A114" s="121" t="s">
        <v>19</v>
      </c>
      <c r="B114" s="85" t="s">
        <v>27</v>
      </c>
      <c r="C114" s="85" t="s">
        <v>27</v>
      </c>
      <c r="D114" s="85" t="s">
        <v>27</v>
      </c>
      <c r="E114" s="85" t="s">
        <v>27</v>
      </c>
      <c r="F114" s="85" t="s">
        <v>27</v>
      </c>
    </row>
    <row r="115" spans="1:6" ht="14.45" customHeight="1" x14ac:dyDescent="0.25">
      <c r="A115" s="47" t="s">
        <v>30</v>
      </c>
      <c r="B115" s="21">
        <v>0.11136366426944733</v>
      </c>
      <c r="C115" s="21">
        <v>7.2292156517505646E-2</v>
      </c>
      <c r="D115" s="21">
        <v>4.4329177588224411E-2</v>
      </c>
      <c r="E115" s="21">
        <v>5.6400690227746964E-2</v>
      </c>
      <c r="F115" s="21">
        <v>2.8156960383057594E-2</v>
      </c>
    </row>
    <row r="116" spans="1:6" ht="14.45" customHeight="1" x14ac:dyDescent="0.25">
      <c r="A116" s="48" t="s">
        <v>31</v>
      </c>
      <c r="B116" s="19">
        <v>0.78819727897644043</v>
      </c>
      <c r="C116" s="19">
        <v>0.90560048818588257</v>
      </c>
      <c r="D116" s="19">
        <v>0.94249725341796875</v>
      </c>
      <c r="E116" s="19">
        <v>0.93272227048873901</v>
      </c>
      <c r="F116" s="19">
        <v>0.96799570322036743</v>
      </c>
    </row>
    <row r="117" spans="1:6" ht="14.45" customHeight="1" x14ac:dyDescent="0.25">
      <c r="A117" s="47" t="s">
        <v>32</v>
      </c>
      <c r="B117" s="21">
        <v>6.5404497087001801E-2</v>
      </c>
      <c r="C117" s="21">
        <v>5.2050580270588398E-3</v>
      </c>
      <c r="D117" s="21">
        <v>8.4778778254985809E-3</v>
      </c>
      <c r="E117" s="21">
        <v>3.3056887332350016E-3</v>
      </c>
      <c r="F117" s="21" t="s">
        <v>83</v>
      </c>
    </row>
    <row r="118" spans="1:6" ht="14.45" customHeight="1" x14ac:dyDescent="0.25">
      <c r="A118" s="48" t="s">
        <v>93</v>
      </c>
      <c r="B118" s="19">
        <v>3.4731306135654449E-2</v>
      </c>
      <c r="C118" s="19">
        <v>1.3592246919870377E-2</v>
      </c>
      <c r="D118" s="19">
        <v>3.8838796317577362E-3</v>
      </c>
      <c r="E118" s="19" t="s">
        <v>83</v>
      </c>
      <c r="F118" s="19">
        <v>6.7710288567468524E-4</v>
      </c>
    </row>
    <row r="119" spans="1:6" ht="14.45" customHeight="1" x14ac:dyDescent="0.25">
      <c r="A119" s="47" t="s">
        <v>33</v>
      </c>
      <c r="B119" s="21">
        <v>3.0329116270877421E-4</v>
      </c>
      <c r="C119" s="21">
        <v>3.3100394066423178E-3</v>
      </c>
      <c r="D119" s="21">
        <v>8.1179995322600007E-4</v>
      </c>
      <c r="E119" s="21">
        <v>7.5713288970291615E-3</v>
      </c>
      <c r="F119" s="21">
        <v>3.1702630221843719E-3</v>
      </c>
    </row>
    <row r="120" spans="1:6" ht="14.45" customHeight="1" x14ac:dyDescent="0.25">
      <c r="A120" s="121" t="s">
        <v>20</v>
      </c>
      <c r="B120" s="85"/>
      <c r="C120" s="85"/>
      <c r="D120" s="85"/>
      <c r="E120" s="85"/>
      <c r="F120" s="85"/>
    </row>
    <row r="121" spans="1:6" ht="14.45" customHeight="1" x14ac:dyDescent="0.25">
      <c r="A121" s="47" t="s">
        <v>30</v>
      </c>
      <c r="B121" s="21">
        <v>0.95715600252151489</v>
      </c>
      <c r="C121" s="21">
        <v>0.97366327047348022</v>
      </c>
      <c r="D121" s="21">
        <v>0.97730761766433716</v>
      </c>
      <c r="E121" s="21">
        <v>0.98473626375198364</v>
      </c>
      <c r="F121" s="21">
        <v>0.98813706636428833</v>
      </c>
    </row>
    <row r="122" spans="1:6" ht="14.45" customHeight="1" x14ac:dyDescent="0.25">
      <c r="A122" s="48" t="s">
        <v>32</v>
      </c>
      <c r="B122" s="19">
        <v>2.2947466932237148E-3</v>
      </c>
      <c r="C122" s="19">
        <v>7.446309900842607E-4</v>
      </c>
      <c r="D122" s="19" t="s">
        <v>83</v>
      </c>
      <c r="E122" s="19">
        <v>3.898815019056201E-3</v>
      </c>
      <c r="F122" s="19" t="s">
        <v>83</v>
      </c>
    </row>
    <row r="123" spans="1:6" ht="14.45" customHeight="1" x14ac:dyDescent="0.25">
      <c r="A123" s="47" t="s">
        <v>111</v>
      </c>
      <c r="B123" s="21">
        <v>7.695238571614027E-3</v>
      </c>
      <c r="C123" s="21">
        <v>5.6027579121291637E-3</v>
      </c>
      <c r="D123" s="21" t="s">
        <v>83</v>
      </c>
      <c r="E123" s="21">
        <v>3.2084742560982704E-3</v>
      </c>
      <c r="F123" s="21">
        <v>4.6538747847080231E-3</v>
      </c>
    </row>
    <row r="124" spans="1:6" ht="14.45" customHeight="1" x14ac:dyDescent="0.25">
      <c r="A124" s="48" t="s">
        <v>33</v>
      </c>
      <c r="B124" s="19">
        <v>3.2853983342647552E-2</v>
      </c>
      <c r="C124" s="19">
        <v>1.9989378750324249E-2</v>
      </c>
      <c r="D124" s="19">
        <v>2.269241027534008E-2</v>
      </c>
      <c r="E124" s="19">
        <v>8.1564690917730331E-3</v>
      </c>
      <c r="F124" s="19">
        <v>7.2090933099389076E-3</v>
      </c>
    </row>
    <row r="125" spans="1:6" ht="14.45" customHeight="1" x14ac:dyDescent="0.25">
      <c r="A125" s="120" t="s">
        <v>23</v>
      </c>
      <c r="B125" s="84" t="s">
        <v>27</v>
      </c>
      <c r="C125" s="84" t="s">
        <v>27</v>
      </c>
      <c r="D125" s="84" t="s">
        <v>27</v>
      </c>
      <c r="E125" s="84" t="s">
        <v>27</v>
      </c>
      <c r="F125" s="84" t="s">
        <v>27</v>
      </c>
    </row>
    <row r="126" spans="1:6" ht="14.45" customHeight="1" x14ac:dyDescent="0.25">
      <c r="A126" s="48" t="s">
        <v>30</v>
      </c>
      <c r="B126" s="19">
        <v>0.24248345196247101</v>
      </c>
      <c r="C126" s="19">
        <v>9.0355850756168365E-2</v>
      </c>
      <c r="D126" s="19" t="s">
        <v>83</v>
      </c>
      <c r="E126" s="19" t="s">
        <v>83</v>
      </c>
      <c r="F126" s="19" t="s">
        <v>83</v>
      </c>
    </row>
    <row r="127" spans="1:6" ht="14.45" customHeight="1" x14ac:dyDescent="0.25">
      <c r="A127" s="47" t="s">
        <v>31</v>
      </c>
      <c r="B127" s="21">
        <v>0.13306902348995209</v>
      </c>
      <c r="C127" s="21">
        <v>0.12895515561103821</v>
      </c>
      <c r="D127" s="21" t="s">
        <v>83</v>
      </c>
      <c r="E127" s="21" t="s">
        <v>83</v>
      </c>
      <c r="F127" s="21" t="s">
        <v>83</v>
      </c>
    </row>
    <row r="128" spans="1:6" ht="14.45" customHeight="1" x14ac:dyDescent="0.25">
      <c r="A128" s="48" t="s">
        <v>32</v>
      </c>
      <c r="B128" s="19">
        <v>0.4920097291469574</v>
      </c>
      <c r="C128" s="19">
        <v>0.61728250980377197</v>
      </c>
      <c r="D128" s="19" t="s">
        <v>83</v>
      </c>
      <c r="E128" s="19" t="s">
        <v>83</v>
      </c>
      <c r="F128" s="19" t="s">
        <v>83</v>
      </c>
    </row>
    <row r="129" spans="1:9" ht="14.45" customHeight="1" x14ac:dyDescent="0.25">
      <c r="A129" s="47" t="s">
        <v>111</v>
      </c>
      <c r="B129" s="21">
        <v>0.13243779540061951</v>
      </c>
      <c r="C129" s="21">
        <v>0.16340650618076324</v>
      </c>
      <c r="D129" s="21" t="s">
        <v>83</v>
      </c>
      <c r="E129" s="21" t="s">
        <v>83</v>
      </c>
      <c r="F129" s="21" t="s">
        <v>83</v>
      </c>
    </row>
    <row r="130" spans="1:9" ht="14.45" customHeight="1" x14ac:dyDescent="0.25">
      <c r="A130" s="121" t="s">
        <v>24</v>
      </c>
      <c r="B130" s="85" t="s">
        <v>27</v>
      </c>
      <c r="C130" s="85" t="s">
        <v>27</v>
      </c>
      <c r="D130" s="85" t="s">
        <v>27</v>
      </c>
      <c r="E130" s="85" t="s">
        <v>27</v>
      </c>
      <c r="F130" s="85" t="s">
        <v>27</v>
      </c>
    </row>
    <row r="131" spans="1:9" ht="14.45" customHeight="1" x14ac:dyDescent="0.25">
      <c r="A131" s="47" t="s">
        <v>30</v>
      </c>
      <c r="B131" s="21">
        <v>0.2208733856678009</v>
      </c>
      <c r="C131" s="21">
        <v>0.21163289248943329</v>
      </c>
      <c r="D131" s="21">
        <v>0.17332611978054047</v>
      </c>
      <c r="E131" s="21">
        <v>0.15164168179035187</v>
      </c>
      <c r="F131" s="21">
        <v>0.18222130835056305</v>
      </c>
    </row>
    <row r="132" spans="1:9" ht="14.45" customHeight="1" x14ac:dyDescent="0.25">
      <c r="A132" s="48" t="s">
        <v>31</v>
      </c>
      <c r="B132" s="19">
        <v>0.14351679384708405</v>
      </c>
      <c r="C132" s="19">
        <v>0.32337638735771179</v>
      </c>
      <c r="D132" s="19">
        <v>0.47039291262626648</v>
      </c>
      <c r="E132" s="19">
        <v>0.6156013011932373</v>
      </c>
      <c r="F132" s="19">
        <v>0.67805606126785278</v>
      </c>
    </row>
    <row r="133" spans="1:9" ht="14.45" customHeight="1" x14ac:dyDescent="0.25">
      <c r="A133" s="47" t="s">
        <v>32</v>
      </c>
      <c r="B133" s="21">
        <v>0.6120343804359436</v>
      </c>
      <c r="C133" s="21">
        <v>0.4403235912322998</v>
      </c>
      <c r="D133" s="21">
        <v>0.3312373161315918</v>
      </c>
      <c r="E133" s="21">
        <v>0.20630441606044769</v>
      </c>
      <c r="F133" s="21">
        <v>0.1233709380030632</v>
      </c>
    </row>
    <row r="134" spans="1:9" ht="14.45" customHeight="1" x14ac:dyDescent="0.25">
      <c r="A134" s="48" t="s">
        <v>33</v>
      </c>
      <c r="B134" s="19">
        <v>2.3575400933623314E-2</v>
      </c>
      <c r="C134" s="19">
        <v>2.466709166765213E-2</v>
      </c>
      <c r="D134" s="19">
        <v>2.5043673813343048E-2</v>
      </c>
      <c r="E134" s="19">
        <v>2.6452548801898956E-2</v>
      </c>
      <c r="F134" s="19">
        <v>1.6351683065295219E-2</v>
      </c>
    </row>
    <row r="135" spans="1:9" ht="14.45" customHeight="1" x14ac:dyDescent="0.25">
      <c r="A135" s="120" t="s">
        <v>26</v>
      </c>
      <c r="B135" s="84" t="s">
        <v>27</v>
      </c>
      <c r="C135" s="84" t="s">
        <v>27</v>
      </c>
      <c r="D135" s="84" t="s">
        <v>27</v>
      </c>
      <c r="E135" s="84" t="s">
        <v>27</v>
      </c>
      <c r="F135" s="84" t="s">
        <v>27</v>
      </c>
    </row>
    <row r="136" spans="1:9" ht="14.45" customHeight="1" x14ac:dyDescent="0.25">
      <c r="A136" s="48" t="s">
        <v>32</v>
      </c>
      <c r="B136" s="19">
        <v>0.1575959175825119</v>
      </c>
      <c r="C136" s="19">
        <v>0.25369775295257568</v>
      </c>
      <c r="D136" s="19" t="s">
        <v>83</v>
      </c>
      <c r="E136" s="19" t="s">
        <v>83</v>
      </c>
      <c r="F136" s="19" t="s">
        <v>83</v>
      </c>
    </row>
    <row r="137" spans="1:9" ht="14.45" customHeight="1" x14ac:dyDescent="0.25">
      <c r="A137" s="47" t="s">
        <v>111</v>
      </c>
      <c r="B137" s="21">
        <v>0.8424040675163269</v>
      </c>
      <c r="C137" s="21">
        <v>0.74630224704742432</v>
      </c>
      <c r="D137" s="21" t="s">
        <v>83</v>
      </c>
      <c r="E137" s="21" t="s">
        <v>83</v>
      </c>
      <c r="F137" s="21" t="s">
        <v>83</v>
      </c>
    </row>
    <row r="138" spans="1:9" ht="14.45" customHeight="1" x14ac:dyDescent="0.25">
      <c r="A138" s="86" t="s">
        <v>86</v>
      </c>
      <c r="B138" s="87"/>
      <c r="C138" s="87"/>
      <c r="D138" s="87"/>
      <c r="E138" s="87"/>
      <c r="F138" s="87"/>
      <c r="G138" s="10"/>
      <c r="H138" s="10"/>
      <c r="I138" s="10"/>
    </row>
    <row r="139" spans="1:9" ht="14.45" customHeight="1" x14ac:dyDescent="0.25">
      <c r="A139" s="10"/>
      <c r="B139" s="10"/>
      <c r="C139" s="10"/>
      <c r="D139" s="10"/>
      <c r="E139" s="10"/>
      <c r="F139" s="10"/>
      <c r="G139" s="10"/>
      <c r="H139" s="10"/>
      <c r="I139" s="10"/>
    </row>
    <row r="140" spans="1:9" ht="13.5" x14ac:dyDescent="0.25">
      <c r="A140" s="6" t="s">
        <v>34</v>
      </c>
      <c r="B140" s="2"/>
      <c r="C140" s="2"/>
      <c r="D140" s="2"/>
      <c r="E140" s="2"/>
      <c r="F140" s="2"/>
      <c r="G140" s="2"/>
      <c r="H140" s="2"/>
      <c r="I140" s="2"/>
    </row>
    <row r="141" spans="1:9" ht="13.5" x14ac:dyDescent="0.25">
      <c r="A141" s="155" t="s">
        <v>79</v>
      </c>
      <c r="B141" s="155"/>
      <c r="C141" s="155"/>
      <c r="D141" s="155"/>
      <c r="E141" s="155"/>
      <c r="F141" s="155"/>
      <c r="G141" s="155"/>
      <c r="H141" s="99"/>
      <c r="I141" s="75"/>
    </row>
    <row r="142" spans="1:9" ht="13.5" x14ac:dyDescent="0.25">
      <c r="A142" s="155" t="s">
        <v>132</v>
      </c>
      <c r="B142" s="155"/>
      <c r="C142" s="155"/>
      <c r="D142" s="155"/>
      <c r="E142" s="155"/>
      <c r="F142" s="155"/>
      <c r="G142" s="155"/>
      <c r="H142" s="99"/>
      <c r="I142" s="97"/>
    </row>
    <row r="143" spans="1:9" ht="13.5" x14ac:dyDescent="0.25">
      <c r="A143" s="155" t="s">
        <v>117</v>
      </c>
      <c r="B143" s="155"/>
      <c r="C143" s="155"/>
      <c r="D143" s="155"/>
      <c r="E143" s="155"/>
      <c r="F143" s="155"/>
      <c r="G143" s="155"/>
      <c r="H143" s="99"/>
      <c r="I143" s="75"/>
    </row>
    <row r="144" spans="1:9" ht="13.5" x14ac:dyDescent="0.25">
      <c r="A144" s="64" t="s">
        <v>134</v>
      </c>
      <c r="B144" s="64"/>
      <c r="C144" s="64"/>
      <c r="D144" s="64"/>
      <c r="E144" s="64"/>
      <c r="F144" s="64"/>
      <c r="G144" s="64"/>
      <c r="H144" s="101"/>
      <c r="I144" s="77"/>
    </row>
    <row r="145" spans="1:14" ht="13.5" x14ac:dyDescent="0.25">
      <c r="A145" s="140" t="s">
        <v>118</v>
      </c>
      <c r="B145" s="140"/>
      <c r="C145" s="140"/>
      <c r="D145" s="140"/>
      <c r="E145" s="140"/>
      <c r="F145" s="140"/>
      <c r="G145" s="140"/>
      <c r="H145" s="103"/>
      <c r="I145" s="78"/>
    </row>
    <row r="146" spans="1:14" ht="13.5" x14ac:dyDescent="0.25">
      <c r="A146" s="10"/>
      <c r="B146" s="10"/>
      <c r="C146" s="10"/>
      <c r="D146" s="10"/>
      <c r="E146" s="10"/>
      <c r="F146" s="10"/>
      <c r="G146" s="10"/>
      <c r="H146" s="10"/>
      <c r="I146" s="10"/>
    </row>
    <row r="147" spans="1:14" s="2" customFormat="1" ht="13.5" x14ac:dyDescent="0.25">
      <c r="A147" s="25" t="s">
        <v>72</v>
      </c>
      <c r="B147" s="5"/>
      <c r="C147" s="5"/>
      <c r="D147" s="5"/>
      <c r="E147" s="5"/>
      <c r="F147" s="5"/>
      <c r="G147" s="5"/>
      <c r="H147" s="5"/>
      <c r="I147" s="5"/>
      <c r="J147" s="69"/>
      <c r="K147" s="23"/>
      <c r="L147" s="23"/>
      <c r="M147" s="23"/>
      <c r="N147" s="23"/>
    </row>
    <row r="148" spans="1:14" ht="13.5" x14ac:dyDescent="0.25">
      <c r="A148" s="10"/>
      <c r="B148" s="10"/>
      <c r="C148" s="10"/>
      <c r="D148" s="10"/>
      <c r="E148" s="10"/>
      <c r="F148" s="10"/>
      <c r="G148" s="10"/>
      <c r="H148" s="10"/>
      <c r="I148" s="10"/>
    </row>
    <row r="149" spans="1:14" ht="13.5" x14ac:dyDescent="0.25">
      <c r="A149" s="70" t="s">
        <v>99</v>
      </c>
      <c r="B149" s="70"/>
      <c r="C149" s="70"/>
      <c r="D149" s="70"/>
      <c r="E149" s="70"/>
      <c r="F149" s="70"/>
      <c r="G149" s="70"/>
      <c r="H149" s="100"/>
      <c r="I149" s="76"/>
    </row>
    <row r="150" spans="1:14" ht="13.5" x14ac:dyDescent="0.25">
      <c r="A150" s="100"/>
      <c r="B150" s="100"/>
      <c r="C150" s="100"/>
      <c r="D150" s="100"/>
      <c r="E150" s="100"/>
      <c r="F150" s="100"/>
      <c r="G150" s="100"/>
      <c r="H150" s="100"/>
      <c r="I150" s="100"/>
    </row>
    <row r="151" spans="1:14" ht="13.5" x14ac:dyDescent="0.25">
      <c r="A151" s="70" t="s">
        <v>100</v>
      </c>
    </row>
    <row r="152" spans="1:14" ht="13.5" x14ac:dyDescent="0.25"/>
    <row r="153" spans="1:14" ht="13.5" x14ac:dyDescent="0.25"/>
    <row r="154" spans="1:14" ht="13.5" x14ac:dyDescent="0.25"/>
    <row r="155" spans="1:14" ht="13.5" x14ac:dyDescent="0.25"/>
    <row r="156" spans="1:14" ht="13.5" x14ac:dyDescent="0.25"/>
    <row r="157" spans="1:14" ht="13.5" x14ac:dyDescent="0.25"/>
    <row r="158" spans="1:14" ht="13.5" x14ac:dyDescent="0.25"/>
    <row r="159" spans="1:14" ht="13.5" x14ac:dyDescent="0.25"/>
    <row r="160" spans="1:14" ht="13.5" x14ac:dyDescent="0.25"/>
    <row r="161" ht="13.5" x14ac:dyDescent="0.25"/>
    <row r="162" ht="13.5" x14ac:dyDescent="0.25"/>
    <row r="163" ht="13.5" x14ac:dyDescent="0.25"/>
  </sheetData>
  <hyperlinks>
    <hyperlink ref="A147" r:id="rId1" xr:uid="{89647A6E-0ED8-455A-AE96-ADE9D77CFB14}"/>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B869E-3F6F-4B8E-A23A-B48E0CF3A111}">
  <sheetPr>
    <pageSetUpPr fitToPage="1"/>
  </sheetPr>
  <dimension ref="A1:N71"/>
  <sheetViews>
    <sheetView zoomScaleNormal="100" workbookViewId="0"/>
  </sheetViews>
  <sheetFormatPr defaultColWidth="9.140625" defaultRowHeight="13.5" x14ac:dyDescent="0.25"/>
  <cols>
    <col min="1" max="1" width="14.28515625" style="2" bestFit="1" customWidth="1"/>
    <col min="2" max="9" width="12.7109375" style="2" customWidth="1"/>
    <col min="10" max="16384" width="9.140625" style="2"/>
  </cols>
  <sheetData>
    <row r="1" spans="1:9" ht="13.5" customHeight="1" x14ac:dyDescent="0.25">
      <c r="A1" s="157" t="s">
        <v>105</v>
      </c>
      <c r="B1" s="157"/>
      <c r="C1" s="157"/>
      <c r="D1" s="157"/>
      <c r="E1" s="157"/>
      <c r="F1" s="157"/>
      <c r="G1" s="157"/>
      <c r="H1" s="157"/>
      <c r="I1" s="157"/>
    </row>
    <row r="2" spans="1:9" ht="13.5" customHeight="1" x14ac:dyDescent="0.25">
      <c r="A2" s="207" t="s">
        <v>97</v>
      </c>
      <c r="B2" s="207"/>
      <c r="C2" s="207"/>
      <c r="D2" s="207"/>
      <c r="E2" s="207"/>
      <c r="F2" s="207"/>
      <c r="G2" s="207"/>
      <c r="H2" s="207"/>
      <c r="I2" s="207"/>
    </row>
    <row r="3" spans="1:9" ht="13.5" customHeight="1" x14ac:dyDescent="0.25">
      <c r="A3" s="207"/>
      <c r="B3" s="207"/>
      <c r="C3" s="207"/>
      <c r="D3" s="207"/>
      <c r="E3" s="207"/>
      <c r="F3" s="207"/>
      <c r="G3" s="207"/>
      <c r="H3" s="207"/>
      <c r="I3" s="207"/>
    </row>
    <row r="4" spans="1:9" ht="13.5" customHeight="1" x14ac:dyDescent="0.25">
      <c r="A4" s="126"/>
      <c r="B4" s="208" t="s">
        <v>57</v>
      </c>
      <c r="C4" s="208" t="s">
        <v>58</v>
      </c>
      <c r="D4" s="210" t="s">
        <v>59</v>
      </c>
      <c r="E4" s="212" t="s">
        <v>60</v>
      </c>
      <c r="F4" s="208" t="s">
        <v>61</v>
      </c>
      <c r="G4" s="208" t="s">
        <v>62</v>
      </c>
      <c r="H4" s="210" t="s">
        <v>63</v>
      </c>
      <c r="I4" s="208" t="s">
        <v>64</v>
      </c>
    </row>
    <row r="5" spans="1:9" ht="13.5" customHeight="1" x14ac:dyDescent="0.25">
      <c r="A5" s="127"/>
      <c r="B5" s="208"/>
      <c r="C5" s="208"/>
      <c r="D5" s="210"/>
      <c r="E5" s="212"/>
      <c r="F5" s="208"/>
      <c r="G5" s="208"/>
      <c r="H5" s="210"/>
      <c r="I5" s="208"/>
    </row>
    <row r="6" spans="1:9" x14ac:dyDescent="0.25">
      <c r="A6" s="128"/>
      <c r="B6" s="209"/>
      <c r="C6" s="209"/>
      <c r="D6" s="211"/>
      <c r="E6" s="213"/>
      <c r="F6" s="209"/>
      <c r="G6" s="209"/>
      <c r="H6" s="211"/>
      <c r="I6" s="209"/>
    </row>
    <row r="7" spans="1:9" x14ac:dyDescent="0.25">
      <c r="A7" s="13" t="s">
        <v>37</v>
      </c>
      <c r="B7" s="161">
        <v>9.0514720000000007E-2</v>
      </c>
      <c r="C7" s="161">
        <v>0</v>
      </c>
      <c r="D7" s="162">
        <v>0.11333948000000001</v>
      </c>
      <c r="E7" s="163">
        <v>4.2846299999999997E-2</v>
      </c>
      <c r="F7" s="161">
        <v>0</v>
      </c>
      <c r="G7" s="161">
        <v>0</v>
      </c>
      <c r="H7" s="162">
        <v>0.11333948000000001</v>
      </c>
      <c r="I7" s="164">
        <v>4.2846299999999997E-2</v>
      </c>
    </row>
    <row r="8" spans="1:9" x14ac:dyDescent="0.25">
      <c r="A8" s="2" t="s">
        <v>0</v>
      </c>
      <c r="B8" s="63">
        <v>0</v>
      </c>
      <c r="C8" s="63">
        <v>0</v>
      </c>
      <c r="D8" s="122">
        <v>4.8201199999999998E-3</v>
      </c>
      <c r="E8" s="124">
        <v>0</v>
      </c>
      <c r="F8" s="63">
        <v>0</v>
      </c>
      <c r="G8" s="63">
        <v>0</v>
      </c>
      <c r="H8" s="122">
        <v>0</v>
      </c>
      <c r="I8" s="123">
        <v>0</v>
      </c>
    </row>
    <row r="9" spans="1:9" x14ac:dyDescent="0.25">
      <c r="A9" s="13" t="s">
        <v>1</v>
      </c>
      <c r="B9" s="161">
        <v>0</v>
      </c>
      <c r="C9" s="161">
        <v>0</v>
      </c>
      <c r="D9" s="162">
        <v>0</v>
      </c>
      <c r="E9" s="163">
        <v>0</v>
      </c>
      <c r="F9" s="161">
        <v>0</v>
      </c>
      <c r="G9" s="161">
        <v>0</v>
      </c>
      <c r="H9" s="162">
        <v>0</v>
      </c>
      <c r="I9" s="164">
        <v>0</v>
      </c>
    </row>
    <row r="10" spans="1:9" x14ac:dyDescent="0.25">
      <c r="A10" s="2" t="s">
        <v>2</v>
      </c>
      <c r="B10" s="63">
        <v>0</v>
      </c>
      <c r="C10" s="63">
        <v>0</v>
      </c>
      <c r="D10" s="122">
        <v>0</v>
      </c>
      <c r="E10" s="124">
        <v>0</v>
      </c>
      <c r="F10" s="63">
        <v>0</v>
      </c>
      <c r="G10" s="63">
        <v>0</v>
      </c>
      <c r="H10" s="122">
        <v>0</v>
      </c>
      <c r="I10" s="123">
        <v>0</v>
      </c>
    </row>
    <row r="11" spans="1:9" x14ac:dyDescent="0.25">
      <c r="A11" s="13" t="s">
        <v>38</v>
      </c>
      <c r="B11" s="161">
        <v>0</v>
      </c>
      <c r="C11" s="161">
        <v>0</v>
      </c>
      <c r="D11" s="162">
        <v>0</v>
      </c>
      <c r="E11" s="163">
        <v>0</v>
      </c>
      <c r="F11" s="161">
        <v>0</v>
      </c>
      <c r="G11" s="161">
        <v>0</v>
      </c>
      <c r="H11" s="162">
        <v>0</v>
      </c>
      <c r="I11" s="164">
        <v>0</v>
      </c>
    </row>
    <row r="12" spans="1:9" x14ac:dyDescent="0.25">
      <c r="A12" s="2" t="s">
        <v>28</v>
      </c>
      <c r="B12" s="63">
        <v>0</v>
      </c>
      <c r="C12" s="63">
        <v>0</v>
      </c>
      <c r="D12" s="122">
        <v>0</v>
      </c>
      <c r="E12" s="124">
        <v>0</v>
      </c>
      <c r="F12" s="63">
        <v>0</v>
      </c>
      <c r="G12" s="63">
        <v>0</v>
      </c>
      <c r="H12" s="122">
        <v>0</v>
      </c>
      <c r="I12" s="123">
        <v>0</v>
      </c>
    </row>
    <row r="13" spans="1:9" x14ac:dyDescent="0.25">
      <c r="A13" s="13" t="s">
        <v>130</v>
      </c>
      <c r="B13" s="161">
        <v>0</v>
      </c>
      <c r="C13" s="161">
        <v>0</v>
      </c>
      <c r="D13" s="162">
        <v>0</v>
      </c>
      <c r="E13" s="163">
        <v>0</v>
      </c>
      <c r="F13" s="161">
        <v>0</v>
      </c>
      <c r="G13" s="161">
        <v>0</v>
      </c>
      <c r="H13" s="162">
        <v>0</v>
      </c>
      <c r="I13" s="164">
        <v>0</v>
      </c>
    </row>
    <row r="14" spans="1:9" x14ac:dyDescent="0.25">
      <c r="A14" s="2" t="s">
        <v>88</v>
      </c>
      <c r="B14" s="63">
        <v>0.15697733</v>
      </c>
      <c r="C14" s="63">
        <v>0</v>
      </c>
      <c r="D14" s="122">
        <v>1.6551779999999999E-2</v>
      </c>
      <c r="E14" s="124">
        <v>0</v>
      </c>
      <c r="F14" s="63">
        <v>0.15697733</v>
      </c>
      <c r="G14" s="63">
        <v>0</v>
      </c>
      <c r="H14" s="122">
        <v>1.6551779999999999E-2</v>
      </c>
      <c r="I14" s="123">
        <v>0</v>
      </c>
    </row>
    <row r="15" spans="1:9" x14ac:dyDescent="0.25">
      <c r="A15" s="13" t="s">
        <v>3</v>
      </c>
      <c r="B15" s="161">
        <v>6.712978E-2</v>
      </c>
      <c r="C15" s="161">
        <v>1.9740299999999999E-2</v>
      </c>
      <c r="D15" s="162">
        <v>4.8731240000000002E-2</v>
      </c>
      <c r="E15" s="163">
        <v>3.2705810000000002E-2</v>
      </c>
      <c r="F15" s="161">
        <v>4.5420370000000002E-2</v>
      </c>
      <c r="G15" s="161">
        <v>1.9740299999999999E-2</v>
      </c>
      <c r="H15" s="162">
        <v>0.15360438000000001</v>
      </c>
      <c r="I15" s="164">
        <v>4.8633000000000003E-2</v>
      </c>
    </row>
    <row r="16" spans="1:9" x14ac:dyDescent="0.25">
      <c r="A16" s="2" t="s">
        <v>4</v>
      </c>
      <c r="B16" s="63">
        <v>0</v>
      </c>
      <c r="C16" s="63">
        <v>0</v>
      </c>
      <c r="D16" s="122">
        <v>4.3722490000000003E-2</v>
      </c>
      <c r="E16" s="124">
        <v>0</v>
      </c>
      <c r="F16" s="63">
        <v>0</v>
      </c>
      <c r="G16" s="63">
        <v>0</v>
      </c>
      <c r="H16" s="122">
        <v>0</v>
      </c>
      <c r="I16" s="123">
        <v>0</v>
      </c>
    </row>
    <row r="17" spans="1:9" x14ac:dyDescent="0.25">
      <c r="A17" s="13" t="s">
        <v>5</v>
      </c>
      <c r="B17" s="161">
        <v>8.2189499999999999E-2</v>
      </c>
      <c r="C17" s="161">
        <v>0</v>
      </c>
      <c r="D17" s="162">
        <v>0.16514793999999999</v>
      </c>
      <c r="E17" s="163">
        <v>0</v>
      </c>
      <c r="F17" s="161">
        <v>0</v>
      </c>
      <c r="G17" s="161">
        <v>0</v>
      </c>
      <c r="H17" s="162">
        <v>0.14405007</v>
      </c>
      <c r="I17" s="164">
        <v>0</v>
      </c>
    </row>
    <row r="18" spans="1:9" x14ac:dyDescent="0.25">
      <c r="A18" s="2" t="s">
        <v>6</v>
      </c>
      <c r="B18" s="63">
        <v>0</v>
      </c>
      <c r="C18" s="63">
        <v>0</v>
      </c>
      <c r="D18" s="122">
        <v>0.11036733</v>
      </c>
      <c r="E18" s="124">
        <v>0</v>
      </c>
      <c r="F18" s="63">
        <v>0</v>
      </c>
      <c r="G18" s="63">
        <v>0</v>
      </c>
      <c r="H18" s="122">
        <v>0.11036733</v>
      </c>
      <c r="I18" s="123">
        <v>0</v>
      </c>
    </row>
    <row r="19" spans="1:9" x14ac:dyDescent="0.25">
      <c r="A19" s="13" t="s">
        <v>39</v>
      </c>
      <c r="B19" s="161">
        <v>1.372845E-2</v>
      </c>
      <c r="C19" s="161">
        <v>0</v>
      </c>
      <c r="D19" s="162">
        <v>0.20557469</v>
      </c>
      <c r="E19" s="163">
        <v>1.614088E-2</v>
      </c>
      <c r="F19" s="161">
        <v>0</v>
      </c>
      <c r="G19" s="161">
        <v>0</v>
      </c>
      <c r="H19" s="162">
        <v>2.6048849999999998E-2</v>
      </c>
      <c r="I19" s="164">
        <v>0</v>
      </c>
    </row>
    <row r="20" spans="1:9" x14ac:dyDescent="0.25">
      <c r="A20" s="2" t="s">
        <v>7</v>
      </c>
      <c r="B20" s="63">
        <v>0</v>
      </c>
      <c r="C20" s="63">
        <v>0</v>
      </c>
      <c r="D20" s="122">
        <v>0.15544168</v>
      </c>
      <c r="E20" s="124">
        <v>0.10344736</v>
      </c>
      <c r="F20" s="63">
        <v>0</v>
      </c>
      <c r="G20" s="63">
        <v>0</v>
      </c>
      <c r="H20" s="122">
        <v>0.15544168</v>
      </c>
      <c r="I20" s="123">
        <v>0.10344736</v>
      </c>
    </row>
    <row r="21" spans="1:9" x14ac:dyDescent="0.25">
      <c r="A21" s="13" t="s">
        <v>8</v>
      </c>
      <c r="B21" s="161">
        <v>0</v>
      </c>
      <c r="C21" s="161">
        <v>0</v>
      </c>
      <c r="D21" s="162">
        <v>0</v>
      </c>
      <c r="E21" s="163">
        <v>0</v>
      </c>
      <c r="F21" s="161">
        <v>0</v>
      </c>
      <c r="G21" s="161">
        <v>0</v>
      </c>
      <c r="H21" s="162">
        <v>0</v>
      </c>
      <c r="I21" s="164">
        <v>0</v>
      </c>
    </row>
    <row r="22" spans="1:9" x14ac:dyDescent="0.25">
      <c r="A22" s="2" t="s">
        <v>9</v>
      </c>
      <c r="B22" s="63">
        <v>9.0618270000000001E-2</v>
      </c>
      <c r="C22" s="63">
        <v>3.3721220000000003E-2</v>
      </c>
      <c r="D22" s="122">
        <v>0.11493051999999999</v>
      </c>
      <c r="E22" s="124">
        <v>7.1100109999999994E-2</v>
      </c>
      <c r="F22" s="63">
        <v>5.0877720000000001E-2</v>
      </c>
      <c r="G22" s="63">
        <v>0</v>
      </c>
      <c r="H22" s="122">
        <v>0.10608961</v>
      </c>
      <c r="I22" s="123">
        <v>5.5839380000000001E-2</v>
      </c>
    </row>
    <row r="23" spans="1:9" ht="13.5" customHeight="1" x14ac:dyDescent="0.25">
      <c r="A23" s="13" t="s">
        <v>10</v>
      </c>
      <c r="B23" s="161">
        <v>0.21219452999999999</v>
      </c>
      <c r="C23" s="161">
        <v>0</v>
      </c>
      <c r="D23" s="162">
        <v>0.25109783000000002</v>
      </c>
      <c r="E23" s="163">
        <v>0</v>
      </c>
      <c r="F23" s="161">
        <v>0.1240858</v>
      </c>
      <c r="G23" s="161">
        <v>4.6395819999999997E-2</v>
      </c>
      <c r="H23" s="162">
        <v>0.23623649999999999</v>
      </c>
      <c r="I23" s="164">
        <v>0.13871834999999999</v>
      </c>
    </row>
    <row r="24" spans="1:9" x14ac:dyDescent="0.25">
      <c r="A24" s="2" t="s">
        <v>131</v>
      </c>
      <c r="B24" s="63">
        <v>0</v>
      </c>
      <c r="C24" s="63">
        <v>0</v>
      </c>
      <c r="D24" s="122">
        <v>0.17663198999999999</v>
      </c>
      <c r="E24" s="124">
        <v>0</v>
      </c>
      <c r="F24" s="63">
        <v>0</v>
      </c>
      <c r="G24" s="63">
        <v>0</v>
      </c>
      <c r="H24" s="122">
        <v>0.17663198999999999</v>
      </c>
      <c r="I24" s="123">
        <v>0</v>
      </c>
    </row>
    <row r="25" spans="1:9" x14ac:dyDescent="0.25">
      <c r="A25" s="13" t="s">
        <v>11</v>
      </c>
      <c r="B25" s="161">
        <v>6.37961E-3</v>
      </c>
      <c r="C25" s="161">
        <v>5.0299799999999999E-3</v>
      </c>
      <c r="D25" s="162">
        <v>6.37961E-3</v>
      </c>
      <c r="E25" s="163">
        <v>5.0299799999999999E-3</v>
      </c>
      <c r="F25" s="161">
        <v>6.37961E-3</v>
      </c>
      <c r="G25" s="161">
        <v>5.0299799999999999E-3</v>
      </c>
      <c r="H25" s="162">
        <v>6.37961E-3</v>
      </c>
      <c r="I25" s="164">
        <v>5.0299799999999999E-3</v>
      </c>
    </row>
    <row r="26" spans="1:9" x14ac:dyDescent="0.25">
      <c r="A26" s="2" t="s">
        <v>40</v>
      </c>
      <c r="B26" s="63">
        <v>0.23129495</v>
      </c>
      <c r="C26" s="63">
        <v>0</v>
      </c>
      <c r="D26" s="122">
        <v>0.26587084999999999</v>
      </c>
      <c r="E26" s="124">
        <v>0.15041291000000001</v>
      </c>
      <c r="F26" s="63">
        <v>2.5588039999999999E-2</v>
      </c>
      <c r="G26" s="63">
        <v>0</v>
      </c>
      <c r="H26" s="122">
        <v>0.26587084999999999</v>
      </c>
      <c r="I26" s="123">
        <v>0.1496528</v>
      </c>
    </row>
    <row r="27" spans="1:9" x14ac:dyDescent="0.25">
      <c r="A27" s="13" t="s">
        <v>76</v>
      </c>
      <c r="B27" s="161">
        <v>0.17090992999999999</v>
      </c>
      <c r="C27" s="161">
        <v>0</v>
      </c>
      <c r="D27" s="162">
        <v>0.23578410999999999</v>
      </c>
      <c r="E27" s="163">
        <v>0.14537836000000001</v>
      </c>
      <c r="F27" s="161">
        <v>0</v>
      </c>
      <c r="G27" s="161">
        <v>0</v>
      </c>
      <c r="H27" s="162">
        <v>0.20357072000000001</v>
      </c>
      <c r="I27" s="164">
        <v>0</v>
      </c>
    </row>
    <row r="28" spans="1:9" ht="13.5" customHeight="1" x14ac:dyDescent="0.25">
      <c r="A28" s="2" t="s">
        <v>12</v>
      </c>
      <c r="B28" s="63">
        <v>0.50593648999999996</v>
      </c>
      <c r="C28" s="63">
        <v>1.418847E-2</v>
      </c>
      <c r="D28" s="122">
        <v>0.50593648999999996</v>
      </c>
      <c r="E28" s="124">
        <v>0.24494642</v>
      </c>
      <c r="F28" s="63">
        <v>0.15615746</v>
      </c>
      <c r="G28" s="63">
        <v>0</v>
      </c>
      <c r="H28" s="122">
        <v>0.50593648999999996</v>
      </c>
      <c r="I28" s="123">
        <v>0.15113510999999999</v>
      </c>
    </row>
    <row r="29" spans="1:9" x14ac:dyDescent="0.25">
      <c r="A29" s="13" t="s">
        <v>13</v>
      </c>
      <c r="B29" s="161">
        <v>0.30304088000000001</v>
      </c>
      <c r="C29" s="161">
        <v>0.17232122999999999</v>
      </c>
      <c r="D29" s="162">
        <v>0.40870929</v>
      </c>
      <c r="E29" s="163">
        <v>0.23240854</v>
      </c>
      <c r="F29" s="161">
        <v>0.21646049000000001</v>
      </c>
      <c r="G29" s="161">
        <v>0</v>
      </c>
      <c r="H29" s="162">
        <v>0.38963079</v>
      </c>
      <c r="I29" s="164">
        <v>0.22155973000000001</v>
      </c>
    </row>
    <row r="30" spans="1:9" x14ac:dyDescent="0.25">
      <c r="A30" s="2" t="s">
        <v>14</v>
      </c>
      <c r="B30" s="63">
        <v>9.3176019999999998E-2</v>
      </c>
      <c r="C30" s="63">
        <v>5.405604E-2</v>
      </c>
      <c r="D30" s="122">
        <v>0.11979774</v>
      </c>
      <c r="E30" s="124">
        <v>7.4056189999999994E-2</v>
      </c>
      <c r="F30" s="63">
        <v>6.6554299999999997E-2</v>
      </c>
      <c r="G30" s="63">
        <v>2.2690100000000001E-3</v>
      </c>
      <c r="H30" s="122">
        <v>0.11979774</v>
      </c>
      <c r="I30" s="123">
        <v>7.4056189999999994E-2</v>
      </c>
    </row>
    <row r="31" spans="1:9" x14ac:dyDescent="0.25">
      <c r="A31" s="13" t="s">
        <v>15</v>
      </c>
      <c r="B31" s="161">
        <v>0.18482882</v>
      </c>
      <c r="C31" s="161">
        <v>0</v>
      </c>
      <c r="D31" s="162">
        <v>0.17495839999999999</v>
      </c>
      <c r="E31" s="163">
        <v>0</v>
      </c>
      <c r="F31" s="161">
        <v>0.20297198999999999</v>
      </c>
      <c r="G31" s="161">
        <v>0</v>
      </c>
      <c r="H31" s="162">
        <v>0.15846926</v>
      </c>
      <c r="I31" s="164">
        <v>0</v>
      </c>
    </row>
    <row r="32" spans="1:9" x14ac:dyDescent="0.25">
      <c r="A32" s="2" t="s">
        <v>16</v>
      </c>
      <c r="B32" s="63">
        <v>4.89097E-2</v>
      </c>
      <c r="C32" s="63">
        <v>0</v>
      </c>
      <c r="D32" s="122">
        <v>0.12703307999999999</v>
      </c>
      <c r="E32" s="124">
        <v>2.0705649999999999E-2</v>
      </c>
      <c r="F32" s="63">
        <v>2.3529990000000001E-2</v>
      </c>
      <c r="G32" s="63">
        <v>0</v>
      </c>
      <c r="H32" s="122">
        <v>0.12703307999999999</v>
      </c>
      <c r="I32" s="123">
        <v>2.0705649999999999E-2</v>
      </c>
    </row>
    <row r="33" spans="1:9" x14ac:dyDescent="0.25">
      <c r="A33" s="13" t="s">
        <v>41</v>
      </c>
      <c r="B33" s="161">
        <v>0.12037051999999999</v>
      </c>
      <c r="C33" s="161">
        <v>3.4122359999999997E-2</v>
      </c>
      <c r="D33" s="162">
        <v>8.5669110000000007E-2</v>
      </c>
      <c r="E33" s="163">
        <v>1.8612199999999999E-2</v>
      </c>
      <c r="F33" s="161">
        <v>4.4461180000000003E-2</v>
      </c>
      <c r="G33" s="161">
        <v>0</v>
      </c>
      <c r="H33" s="162">
        <v>9.7597719999999999E-2</v>
      </c>
      <c r="I33" s="164">
        <v>0</v>
      </c>
    </row>
    <row r="34" spans="1:9" x14ac:dyDescent="0.25">
      <c r="A34" s="2" t="s">
        <v>17</v>
      </c>
      <c r="B34" s="63">
        <v>0</v>
      </c>
      <c r="C34" s="63">
        <v>0</v>
      </c>
      <c r="D34" s="122">
        <v>1.33775E-3</v>
      </c>
      <c r="E34" s="124">
        <v>0</v>
      </c>
      <c r="F34" s="63">
        <v>0</v>
      </c>
      <c r="G34" s="63">
        <v>0</v>
      </c>
      <c r="H34" s="122">
        <v>0</v>
      </c>
      <c r="I34" s="123">
        <v>0</v>
      </c>
    </row>
    <row r="35" spans="1:9" x14ac:dyDescent="0.25">
      <c r="A35" s="13" t="s">
        <v>18</v>
      </c>
      <c r="B35" s="161">
        <v>0.23689992000000001</v>
      </c>
      <c r="C35" s="161">
        <v>0</v>
      </c>
      <c r="D35" s="162">
        <v>0.23265437</v>
      </c>
      <c r="E35" s="163">
        <v>8.9403570000000002E-2</v>
      </c>
      <c r="F35" s="161">
        <v>0</v>
      </c>
      <c r="G35" s="161">
        <v>0</v>
      </c>
      <c r="H35" s="162">
        <v>0.23689992000000001</v>
      </c>
      <c r="I35" s="164">
        <v>6.3516569999999994E-2</v>
      </c>
    </row>
    <row r="36" spans="1:9" x14ac:dyDescent="0.25">
      <c r="A36" s="2" t="s">
        <v>19</v>
      </c>
      <c r="B36" s="63">
        <v>0</v>
      </c>
      <c r="C36" s="63">
        <v>0</v>
      </c>
      <c r="D36" s="122">
        <v>0</v>
      </c>
      <c r="E36" s="124">
        <v>0</v>
      </c>
      <c r="F36" s="63">
        <v>0</v>
      </c>
      <c r="G36" s="63">
        <v>0</v>
      </c>
      <c r="H36" s="122">
        <v>0</v>
      </c>
      <c r="I36" s="123">
        <v>0</v>
      </c>
    </row>
    <row r="37" spans="1:9" x14ac:dyDescent="0.25">
      <c r="A37" s="13" t="s">
        <v>20</v>
      </c>
      <c r="B37" s="161">
        <v>0</v>
      </c>
      <c r="C37" s="161">
        <v>0</v>
      </c>
      <c r="D37" s="162">
        <v>0</v>
      </c>
      <c r="E37" s="163">
        <v>0</v>
      </c>
      <c r="F37" s="161">
        <v>0</v>
      </c>
      <c r="G37" s="161">
        <v>0</v>
      </c>
      <c r="H37" s="162">
        <v>0</v>
      </c>
      <c r="I37" s="164">
        <v>0</v>
      </c>
    </row>
    <row r="38" spans="1:9" x14ac:dyDescent="0.25">
      <c r="A38" s="2" t="s">
        <v>21</v>
      </c>
      <c r="B38" s="63">
        <v>0</v>
      </c>
      <c r="C38" s="63">
        <v>0</v>
      </c>
      <c r="D38" s="122">
        <v>0</v>
      </c>
      <c r="E38" s="124">
        <v>0</v>
      </c>
      <c r="F38" s="63">
        <v>0</v>
      </c>
      <c r="G38" s="63">
        <v>0</v>
      </c>
      <c r="H38" s="122">
        <v>0</v>
      </c>
      <c r="I38" s="123">
        <v>0</v>
      </c>
    </row>
    <row r="39" spans="1:9" x14ac:dyDescent="0.25">
      <c r="A39" s="13" t="s">
        <v>22</v>
      </c>
      <c r="B39" s="161">
        <v>9.3072390000000005E-2</v>
      </c>
      <c r="C39" s="161">
        <v>0</v>
      </c>
      <c r="D39" s="162">
        <v>0.1344379</v>
      </c>
      <c r="E39" s="163">
        <v>8.7916339999999996E-2</v>
      </c>
      <c r="F39" s="161">
        <v>0</v>
      </c>
      <c r="G39" s="161">
        <v>0</v>
      </c>
      <c r="H39" s="162">
        <v>0.11375515</v>
      </c>
      <c r="I39" s="164">
        <v>7.4390750000000005E-2</v>
      </c>
    </row>
    <row r="40" spans="1:9" x14ac:dyDescent="0.25">
      <c r="A40" s="2" t="s">
        <v>23</v>
      </c>
      <c r="B40" s="63">
        <v>0.1559577</v>
      </c>
      <c r="C40" s="63">
        <v>0</v>
      </c>
      <c r="D40" s="122">
        <v>0.1559577</v>
      </c>
      <c r="E40" s="124">
        <v>0</v>
      </c>
      <c r="F40" s="63">
        <v>0.1559577</v>
      </c>
      <c r="G40" s="63">
        <v>0</v>
      </c>
      <c r="H40" s="122">
        <v>0.1559577</v>
      </c>
      <c r="I40" s="123">
        <v>0</v>
      </c>
    </row>
    <row r="41" spans="1:9" x14ac:dyDescent="0.25">
      <c r="A41" s="13" t="s">
        <v>24</v>
      </c>
      <c r="B41" s="161">
        <v>0</v>
      </c>
      <c r="C41" s="161">
        <v>0</v>
      </c>
      <c r="D41" s="162">
        <v>0</v>
      </c>
      <c r="E41" s="163">
        <v>0</v>
      </c>
      <c r="F41" s="161">
        <v>0</v>
      </c>
      <c r="G41" s="161">
        <v>0</v>
      </c>
      <c r="H41" s="162">
        <v>4.319738E-2</v>
      </c>
      <c r="I41" s="164">
        <v>0</v>
      </c>
    </row>
    <row r="42" spans="1:9" x14ac:dyDescent="0.25">
      <c r="A42" s="2" t="s">
        <v>25</v>
      </c>
      <c r="B42" s="63">
        <v>0</v>
      </c>
      <c r="C42" s="63">
        <v>0</v>
      </c>
      <c r="D42" s="122">
        <v>1.226379E-2</v>
      </c>
      <c r="E42" s="124">
        <v>0</v>
      </c>
      <c r="F42" s="63">
        <v>0</v>
      </c>
      <c r="G42" s="63">
        <v>0</v>
      </c>
      <c r="H42" s="122">
        <v>0</v>
      </c>
      <c r="I42" s="123">
        <v>0</v>
      </c>
    </row>
    <row r="43" spans="1:9" x14ac:dyDescent="0.25">
      <c r="A43" s="13" t="s">
        <v>94</v>
      </c>
      <c r="B43" s="161">
        <v>0</v>
      </c>
      <c r="C43" s="161">
        <v>0</v>
      </c>
      <c r="D43" s="162">
        <v>0</v>
      </c>
      <c r="E43" s="163">
        <v>0</v>
      </c>
      <c r="F43" s="161">
        <v>0</v>
      </c>
      <c r="G43" s="161">
        <v>0</v>
      </c>
      <c r="H43" s="162">
        <v>0</v>
      </c>
      <c r="I43" s="164">
        <v>0</v>
      </c>
    </row>
    <row r="44" spans="1:9" x14ac:dyDescent="0.25">
      <c r="A44" s="2" t="s">
        <v>26</v>
      </c>
      <c r="B44" s="63">
        <v>6.5896150000000001E-2</v>
      </c>
      <c r="C44" s="63">
        <v>0</v>
      </c>
      <c r="D44" s="122">
        <v>0.21721255</v>
      </c>
      <c r="E44" s="124">
        <v>8.1830890000000003E-2</v>
      </c>
      <c r="F44" s="63">
        <v>1.8525150000000001E-2</v>
      </c>
      <c r="G44" s="63">
        <v>0</v>
      </c>
      <c r="H44" s="122">
        <v>0.20115762000000001</v>
      </c>
      <c r="I44" s="123">
        <v>6.4585770000000001E-2</v>
      </c>
    </row>
    <row r="45" spans="1:9" x14ac:dyDescent="0.25">
      <c r="A45" s="159" t="s">
        <v>42</v>
      </c>
      <c r="B45" s="165">
        <v>0</v>
      </c>
      <c r="C45" s="165">
        <v>0</v>
      </c>
      <c r="D45" s="166">
        <v>0</v>
      </c>
      <c r="E45" s="167">
        <v>0</v>
      </c>
      <c r="F45" s="165">
        <v>0</v>
      </c>
      <c r="G45" s="165">
        <v>0</v>
      </c>
      <c r="H45" s="166">
        <v>0</v>
      </c>
      <c r="I45" s="165">
        <v>0</v>
      </c>
    </row>
    <row r="46" spans="1:9" x14ac:dyDescent="0.25">
      <c r="B46" s="3"/>
      <c r="C46" s="3"/>
      <c r="D46" s="3"/>
      <c r="E46" s="3"/>
      <c r="F46" s="3"/>
      <c r="G46" s="3"/>
      <c r="H46" s="3"/>
      <c r="I46" s="3"/>
    </row>
    <row r="48" spans="1:9" x14ac:dyDescent="0.25">
      <c r="A48" s="133" t="s">
        <v>34</v>
      </c>
      <c r="B48" s="134"/>
      <c r="C48" s="134"/>
      <c r="D48" s="134"/>
      <c r="E48" s="134"/>
      <c r="F48" s="134"/>
      <c r="G48" s="134"/>
      <c r="H48" s="134"/>
      <c r="I48" s="134"/>
    </row>
    <row r="49" spans="1:14" ht="13.5" customHeight="1" x14ac:dyDescent="0.25">
      <c r="A49" s="197" t="s">
        <v>69</v>
      </c>
      <c r="B49" s="197"/>
      <c r="C49" s="197"/>
      <c r="D49" s="197"/>
      <c r="E49" s="197"/>
      <c r="F49" s="197"/>
      <c r="G49" s="197"/>
      <c r="H49" s="197"/>
      <c r="I49" s="197"/>
    </row>
    <row r="50" spans="1:14" x14ac:dyDescent="0.25">
      <c r="A50" s="198" t="s">
        <v>121</v>
      </c>
      <c r="B50" s="198"/>
      <c r="C50" s="198"/>
      <c r="D50" s="198"/>
      <c r="E50" s="198"/>
      <c r="F50" s="198"/>
      <c r="G50" s="198"/>
      <c r="H50" s="198"/>
      <c r="I50" s="198"/>
    </row>
    <row r="51" spans="1:14" ht="13.5" customHeight="1" x14ac:dyDescent="0.25">
      <c r="A51" s="198"/>
      <c r="B51" s="198"/>
      <c r="C51" s="198"/>
      <c r="D51" s="198"/>
      <c r="E51" s="198"/>
      <c r="F51" s="198"/>
      <c r="G51" s="198"/>
      <c r="H51" s="198"/>
      <c r="I51" s="198"/>
    </row>
    <row r="52" spans="1:14" x14ac:dyDescent="0.25">
      <c r="A52" s="198" t="s">
        <v>49</v>
      </c>
      <c r="B52" s="198"/>
      <c r="C52" s="198"/>
      <c r="D52" s="198"/>
      <c r="E52" s="198"/>
      <c r="F52" s="198"/>
      <c r="G52" s="198"/>
      <c r="H52" s="198"/>
      <c r="I52" s="198"/>
    </row>
    <row r="53" spans="1:14" ht="13.5" customHeight="1" x14ac:dyDescent="0.25">
      <c r="A53" s="198"/>
      <c r="B53" s="198"/>
      <c r="C53" s="198"/>
      <c r="D53" s="198"/>
      <c r="E53" s="198"/>
      <c r="F53" s="198"/>
      <c r="G53" s="198"/>
      <c r="H53" s="198"/>
      <c r="I53" s="198"/>
    </row>
    <row r="54" spans="1:14" x14ac:dyDescent="0.25">
      <c r="A54" s="198" t="s">
        <v>71</v>
      </c>
      <c r="B54" s="198"/>
      <c r="C54" s="198"/>
      <c r="D54" s="198"/>
      <c r="E54" s="198"/>
      <c r="F54" s="198"/>
      <c r="G54" s="198"/>
      <c r="H54" s="198"/>
      <c r="I54" s="198"/>
    </row>
    <row r="55" spans="1:14" x14ac:dyDescent="0.25">
      <c r="A55" s="198"/>
      <c r="B55" s="198"/>
      <c r="C55" s="198"/>
      <c r="D55" s="198"/>
      <c r="E55" s="198"/>
      <c r="F55" s="198"/>
      <c r="G55" s="198"/>
      <c r="H55" s="198"/>
      <c r="I55" s="198"/>
      <c r="J55" s="69"/>
      <c r="K55" s="23"/>
      <c r="L55" s="23"/>
      <c r="M55" s="23"/>
      <c r="N55" s="23"/>
    </row>
    <row r="56" spans="1:14" x14ac:dyDescent="0.25">
      <c r="A56" s="143"/>
      <c r="B56" s="143"/>
      <c r="C56" s="143"/>
      <c r="D56" s="143"/>
      <c r="E56" s="143"/>
      <c r="F56" s="143"/>
      <c r="G56" s="143"/>
      <c r="H56" s="143"/>
      <c r="I56" s="143"/>
      <c r="J56" s="74"/>
      <c r="K56" s="23"/>
      <c r="L56" s="23"/>
      <c r="M56" s="23"/>
      <c r="N56" s="23"/>
    </row>
    <row r="57" spans="1:14" x14ac:dyDescent="0.25">
      <c r="A57" s="25" t="s">
        <v>72</v>
      </c>
      <c r="B57" s="143"/>
      <c r="C57" s="143"/>
      <c r="D57" s="143"/>
      <c r="E57" s="143"/>
      <c r="F57" s="143"/>
      <c r="G57" s="143"/>
      <c r="H57" s="143"/>
      <c r="I57" s="143"/>
      <c r="J57" s="74"/>
      <c r="K57" s="23"/>
      <c r="L57" s="23"/>
      <c r="M57" s="23"/>
      <c r="N57" s="23"/>
    </row>
    <row r="58" spans="1:14" ht="13.5" customHeight="1" x14ac:dyDescent="0.25">
      <c r="A58" s="102"/>
      <c r="B58" s="102"/>
      <c r="C58" s="102"/>
      <c r="D58" s="102"/>
      <c r="E58" s="102"/>
      <c r="F58" s="102"/>
      <c r="G58" s="102"/>
      <c r="H58" s="102"/>
      <c r="I58" s="102"/>
    </row>
    <row r="59" spans="1:14" x14ac:dyDescent="0.25">
      <c r="A59" s="198" t="s">
        <v>123</v>
      </c>
      <c r="B59" s="198"/>
      <c r="C59" s="198"/>
      <c r="D59" s="198"/>
      <c r="E59" s="198"/>
      <c r="F59" s="198"/>
      <c r="G59" s="198"/>
      <c r="H59" s="198"/>
      <c r="I59" s="198"/>
    </row>
    <row r="60" spans="1:14" x14ac:dyDescent="0.25">
      <c r="A60" s="198"/>
      <c r="B60" s="198"/>
      <c r="C60" s="198"/>
      <c r="D60" s="198"/>
      <c r="E60" s="198"/>
      <c r="F60" s="198"/>
      <c r="G60" s="198"/>
      <c r="H60" s="198"/>
      <c r="I60" s="198"/>
    </row>
    <row r="61" spans="1:14" x14ac:dyDescent="0.25">
      <c r="A61" s="153"/>
      <c r="B61" s="153"/>
      <c r="C61" s="153"/>
      <c r="D61" s="153"/>
      <c r="E61" s="153"/>
      <c r="F61" s="153"/>
      <c r="G61" s="153"/>
      <c r="H61" s="153"/>
      <c r="I61" s="153"/>
    </row>
    <row r="62" spans="1:14" x14ac:dyDescent="0.25">
      <c r="A62" s="196" t="s">
        <v>127</v>
      </c>
      <c r="B62" s="196"/>
      <c r="C62" s="196"/>
      <c r="D62" s="196"/>
      <c r="E62" s="196"/>
      <c r="F62" s="196"/>
      <c r="G62" s="196"/>
      <c r="H62" s="196"/>
      <c r="I62" s="196"/>
    </row>
    <row r="63" spans="1:14" x14ac:dyDescent="0.25">
      <c r="A63" s="196"/>
      <c r="B63" s="196"/>
      <c r="C63" s="196"/>
      <c r="D63" s="196"/>
      <c r="E63" s="196"/>
      <c r="F63" s="196"/>
      <c r="G63" s="196"/>
      <c r="H63" s="196"/>
      <c r="I63" s="196"/>
    </row>
    <row r="64" spans="1:14" x14ac:dyDescent="0.25">
      <c r="A64" s="196"/>
      <c r="B64" s="196"/>
      <c r="C64" s="196"/>
      <c r="D64" s="196"/>
      <c r="E64" s="196"/>
      <c r="F64" s="196"/>
      <c r="G64" s="196"/>
      <c r="H64" s="196"/>
      <c r="I64" s="196"/>
    </row>
    <row r="65" spans="1:9" x14ac:dyDescent="0.25">
      <c r="A65" s="196" t="s">
        <v>81</v>
      </c>
      <c r="B65" s="196"/>
      <c r="C65" s="196"/>
      <c r="D65" s="196"/>
      <c r="E65" s="196"/>
      <c r="F65" s="196"/>
      <c r="G65" s="196"/>
      <c r="H65" s="196"/>
      <c r="I65" s="196"/>
    </row>
    <row r="66" spans="1:9" x14ac:dyDescent="0.25">
      <c r="A66" s="196"/>
      <c r="B66" s="196"/>
      <c r="C66" s="196"/>
      <c r="D66" s="196"/>
      <c r="E66" s="196"/>
      <c r="F66" s="196"/>
      <c r="G66" s="196"/>
      <c r="H66" s="196"/>
      <c r="I66" s="196"/>
    </row>
    <row r="67" spans="1:9" x14ac:dyDescent="0.25">
      <c r="A67" s="125"/>
      <c r="B67" s="125"/>
      <c r="C67" s="125"/>
      <c r="D67" s="125"/>
      <c r="E67" s="125"/>
      <c r="F67" s="125"/>
      <c r="G67" s="125"/>
      <c r="H67" s="125"/>
      <c r="I67" s="125"/>
    </row>
    <row r="68" spans="1:9" x14ac:dyDescent="0.25">
      <c r="A68" s="199" t="s">
        <v>122</v>
      </c>
      <c r="B68" s="199"/>
      <c r="C68" s="199"/>
      <c r="D68" s="199"/>
      <c r="E68" s="199"/>
      <c r="F68" s="199"/>
      <c r="G68" s="199"/>
      <c r="H68" s="199"/>
      <c r="I68" s="199"/>
    </row>
    <row r="69" spans="1:9" x14ac:dyDescent="0.25">
      <c r="A69" s="125"/>
      <c r="B69" s="125"/>
      <c r="C69" s="125"/>
      <c r="D69" s="125"/>
      <c r="E69" s="125"/>
      <c r="F69" s="125"/>
      <c r="G69" s="125"/>
      <c r="H69" s="125"/>
      <c r="I69" s="125"/>
    </row>
    <row r="70" spans="1:9" x14ac:dyDescent="0.25">
      <c r="A70" s="196" t="s">
        <v>100</v>
      </c>
      <c r="B70" s="196"/>
      <c r="C70" s="196"/>
      <c r="D70" s="196"/>
      <c r="E70" s="196"/>
      <c r="F70" s="196"/>
      <c r="G70" s="196"/>
      <c r="H70" s="196"/>
      <c r="I70" s="196"/>
    </row>
    <row r="71" spans="1:9" x14ac:dyDescent="0.25">
      <c r="A71" s="196"/>
      <c r="B71" s="196"/>
      <c r="C71" s="196"/>
      <c r="D71" s="196"/>
      <c r="E71" s="196"/>
      <c r="F71" s="196"/>
      <c r="G71" s="196"/>
      <c r="H71" s="196"/>
      <c r="I71" s="196"/>
    </row>
  </sheetData>
  <mergeCells count="18">
    <mergeCell ref="A70:I71"/>
    <mergeCell ref="A49:I49"/>
    <mergeCell ref="A50:I51"/>
    <mergeCell ref="A52:I53"/>
    <mergeCell ref="A54:I55"/>
    <mergeCell ref="A59:I60"/>
    <mergeCell ref="A62:I64"/>
    <mergeCell ref="A65:I66"/>
    <mergeCell ref="A68:I68"/>
    <mergeCell ref="A2:I3"/>
    <mergeCell ref="B4:B6"/>
    <mergeCell ref="C4:C6"/>
    <mergeCell ref="D4:D6"/>
    <mergeCell ref="E4:E6"/>
    <mergeCell ref="F4:F6"/>
    <mergeCell ref="G4:G6"/>
    <mergeCell ref="H4:H6"/>
    <mergeCell ref="I4:I6"/>
  </mergeCells>
  <hyperlinks>
    <hyperlink ref="A57" r:id="rId1" xr:uid="{01EC6134-8028-41C5-92F7-CF8D51F05C40}"/>
  </hyperlinks>
  <pageMargins left="0.70866141732283472" right="0.70866141732283472" top="0.74803149606299213" bottom="0.74803149606299213" header="0.31496062992125984" footer="0.31496062992125984"/>
  <pageSetup paperSize="9" scale="61" orientation="landscape" r:id="rId2"/>
  <headerFooter>
    <oddHeader>&amp;COECD Affordable Housing Database, http://oe.cd/ahd</oddHeader>
    <oddFooter>&amp;C_x000D_&amp;1#&amp;"Calibri"&amp;10&amp;K0000FF Restricted Use - À usage restreint&amp;R&amp;F -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2BE15-A7E6-4020-9464-EA05E35E896C}">
  <sheetPr>
    <pageSetUpPr fitToPage="1"/>
  </sheetPr>
  <dimension ref="A1:N187"/>
  <sheetViews>
    <sheetView zoomScaleNormal="100" workbookViewId="0">
      <selection sqref="A1:E2"/>
    </sheetView>
  </sheetViews>
  <sheetFormatPr defaultColWidth="9.140625" defaultRowHeight="13.5" x14ac:dyDescent="0.25"/>
  <cols>
    <col min="1" max="1" width="38.85546875" style="2" customWidth="1"/>
    <col min="2" max="4" width="15.28515625" style="2" customWidth="1"/>
    <col min="5" max="5" width="15.28515625" style="2" bestFit="1" customWidth="1"/>
    <col min="6" max="6" width="9.42578125" style="2" customWidth="1"/>
    <col min="7" max="7" width="9.140625" style="2"/>
    <col min="8" max="11" width="9.140625" style="63"/>
    <col min="12" max="16384" width="9.140625" style="2"/>
  </cols>
  <sheetData>
    <row r="1" spans="1:7" ht="13.5" customHeight="1" x14ac:dyDescent="0.25">
      <c r="A1" s="214" t="s">
        <v>112</v>
      </c>
      <c r="B1" s="214"/>
      <c r="C1" s="214"/>
      <c r="D1" s="214"/>
      <c r="E1" s="214"/>
      <c r="F1" s="8"/>
    </row>
    <row r="2" spans="1:7" ht="13.5" customHeight="1" x14ac:dyDescent="0.25">
      <c r="A2" s="214"/>
      <c r="B2" s="214"/>
      <c r="C2" s="214"/>
      <c r="D2" s="214"/>
      <c r="E2" s="214"/>
      <c r="F2" s="8"/>
    </row>
    <row r="3" spans="1:7" ht="13.5" customHeight="1" x14ac:dyDescent="0.25">
      <c r="A3" s="215" t="s">
        <v>54</v>
      </c>
      <c r="B3" s="215"/>
      <c r="C3" s="215"/>
      <c r="D3" s="215"/>
      <c r="E3" s="215"/>
      <c r="F3" s="9"/>
    </row>
    <row r="4" spans="1:7" x14ac:dyDescent="0.25">
      <c r="A4" s="215"/>
      <c r="B4" s="215"/>
      <c r="C4" s="215"/>
      <c r="D4" s="215"/>
      <c r="E4" s="215"/>
      <c r="F4" s="9"/>
    </row>
    <row r="5" spans="1:7" ht="13.5" customHeight="1" x14ac:dyDescent="0.25">
      <c r="A5" s="129"/>
      <c r="B5" s="216" t="s">
        <v>51</v>
      </c>
      <c r="C5" s="218" t="s">
        <v>50</v>
      </c>
      <c r="D5" s="216" t="s">
        <v>52</v>
      </c>
      <c r="E5" s="220" t="s">
        <v>53</v>
      </c>
    </row>
    <row r="6" spans="1:7" x14ac:dyDescent="0.25">
      <c r="A6" s="128"/>
      <c r="B6" s="217"/>
      <c r="C6" s="219"/>
      <c r="D6" s="217"/>
      <c r="E6" s="221"/>
    </row>
    <row r="7" spans="1:7" x14ac:dyDescent="0.25">
      <c r="A7" s="168" t="s">
        <v>37</v>
      </c>
      <c r="B7" s="169"/>
      <c r="C7" s="170"/>
      <c r="D7" s="169"/>
      <c r="E7" s="171"/>
    </row>
    <row r="8" spans="1:7" x14ac:dyDescent="0.25">
      <c r="A8" s="130" t="s">
        <v>65</v>
      </c>
      <c r="B8" s="63">
        <v>0.83289013999999995</v>
      </c>
      <c r="C8" s="131">
        <v>0.73790040999999995</v>
      </c>
      <c r="D8" s="63">
        <v>0.49643653999999998</v>
      </c>
      <c r="E8" s="122">
        <v>0.65511297000000002</v>
      </c>
      <c r="G8" s="4"/>
    </row>
    <row r="9" spans="1:7" x14ac:dyDescent="0.25">
      <c r="A9" s="172" t="s">
        <v>66</v>
      </c>
      <c r="B9" s="161">
        <v>0</v>
      </c>
      <c r="C9" s="173">
        <v>0</v>
      </c>
      <c r="D9" s="161">
        <v>0.19226575000000001</v>
      </c>
      <c r="E9" s="162">
        <v>0</v>
      </c>
      <c r="G9" s="4"/>
    </row>
    <row r="10" spans="1:7" x14ac:dyDescent="0.25">
      <c r="A10" s="174" t="s">
        <v>91</v>
      </c>
      <c r="B10" s="175">
        <v>0.83289013999999995</v>
      </c>
      <c r="C10" s="176">
        <v>0.73790040999999995</v>
      </c>
      <c r="D10" s="175">
        <v>0.68870229999999999</v>
      </c>
      <c r="E10" s="177">
        <v>0.65511297000000002</v>
      </c>
    </row>
    <row r="11" spans="1:7" x14ac:dyDescent="0.25">
      <c r="A11" s="168" t="s">
        <v>0</v>
      </c>
      <c r="B11" s="169"/>
      <c r="C11" s="170"/>
      <c r="D11" s="169"/>
      <c r="E11" s="171"/>
    </row>
    <row r="12" spans="1:7" x14ac:dyDescent="0.25">
      <c r="A12" s="130" t="s">
        <v>65</v>
      </c>
      <c r="B12" s="63">
        <v>0.38142314999999999</v>
      </c>
      <c r="C12" s="131">
        <v>0.70018420999999997</v>
      </c>
      <c r="D12" s="63">
        <v>0.38142314999999999</v>
      </c>
      <c r="E12" s="122">
        <v>0.44027665999999999</v>
      </c>
      <c r="G12" s="4"/>
    </row>
    <row r="13" spans="1:7" x14ac:dyDescent="0.25">
      <c r="A13" s="172" t="s">
        <v>66</v>
      </c>
      <c r="B13" s="161">
        <v>0.27971125000000002</v>
      </c>
      <c r="C13" s="173">
        <v>0.29981579000000003</v>
      </c>
      <c r="D13" s="161">
        <v>2.8565989999999999E-2</v>
      </c>
      <c r="E13" s="162">
        <v>0.30945603999999999</v>
      </c>
      <c r="G13" s="4"/>
    </row>
    <row r="14" spans="1:7" x14ac:dyDescent="0.25">
      <c r="A14" s="174" t="s">
        <v>91</v>
      </c>
      <c r="B14" s="175">
        <v>0.66113440000000001</v>
      </c>
      <c r="C14" s="176">
        <v>1</v>
      </c>
      <c r="D14" s="175">
        <v>0.40998913999999997</v>
      </c>
      <c r="E14" s="177">
        <v>0.74973270000000003</v>
      </c>
    </row>
    <row r="15" spans="1:7" x14ac:dyDescent="0.25">
      <c r="A15" s="168" t="s">
        <v>1</v>
      </c>
      <c r="B15" s="169"/>
      <c r="C15" s="170"/>
      <c r="D15" s="169"/>
      <c r="E15" s="171"/>
    </row>
    <row r="16" spans="1:7" x14ac:dyDescent="0.25">
      <c r="A16" s="130" t="s">
        <v>65</v>
      </c>
      <c r="B16" s="63">
        <v>0.46436353000000002</v>
      </c>
      <c r="C16" s="131">
        <v>0.49136522999999999</v>
      </c>
      <c r="D16" s="63">
        <v>0.50738274999999999</v>
      </c>
      <c r="E16" s="122">
        <v>0.71422556000000004</v>
      </c>
      <c r="G16" s="4"/>
    </row>
    <row r="17" spans="1:7" x14ac:dyDescent="0.25">
      <c r="A17" s="172" t="s">
        <v>66</v>
      </c>
      <c r="B17" s="161">
        <v>0</v>
      </c>
      <c r="C17" s="173">
        <v>0</v>
      </c>
      <c r="D17" s="161">
        <v>0</v>
      </c>
      <c r="E17" s="162">
        <v>0</v>
      </c>
      <c r="G17" s="4"/>
    </row>
    <row r="18" spans="1:7" x14ac:dyDescent="0.25">
      <c r="A18" s="174" t="s">
        <v>91</v>
      </c>
      <c r="B18" s="175">
        <v>0.46436353000000002</v>
      </c>
      <c r="C18" s="176">
        <v>0.49136522999999999</v>
      </c>
      <c r="D18" s="175">
        <v>0.50738274999999999</v>
      </c>
      <c r="E18" s="177">
        <v>0.71422556000000004</v>
      </c>
    </row>
    <row r="19" spans="1:7" x14ac:dyDescent="0.25">
      <c r="A19" s="168" t="s">
        <v>2</v>
      </c>
      <c r="B19" s="169"/>
      <c r="C19" s="170"/>
      <c r="D19" s="169"/>
      <c r="E19" s="171"/>
    </row>
    <row r="20" spans="1:7" x14ac:dyDescent="0.25">
      <c r="A20" s="130" t="s">
        <v>65</v>
      </c>
      <c r="B20" s="63">
        <v>0.22402</v>
      </c>
      <c r="C20" s="131">
        <v>0.22520097</v>
      </c>
      <c r="D20" s="63">
        <v>0.22402</v>
      </c>
      <c r="E20" s="122">
        <v>0.13780000000000001</v>
      </c>
      <c r="G20" s="4"/>
    </row>
    <row r="21" spans="1:7" x14ac:dyDescent="0.25">
      <c r="A21" s="172" t="s">
        <v>66</v>
      </c>
      <c r="B21" s="161">
        <v>0</v>
      </c>
      <c r="C21" s="173">
        <v>0</v>
      </c>
      <c r="D21" s="161">
        <v>0</v>
      </c>
      <c r="E21" s="162">
        <v>0</v>
      </c>
      <c r="G21" s="4"/>
    </row>
    <row r="22" spans="1:7" ht="13.5" customHeight="1" x14ac:dyDescent="0.25">
      <c r="A22" s="174" t="s">
        <v>91</v>
      </c>
      <c r="B22" s="175">
        <v>0.22402</v>
      </c>
      <c r="C22" s="176">
        <v>0.22520097</v>
      </c>
      <c r="D22" s="175">
        <v>0.22402</v>
      </c>
      <c r="E22" s="177">
        <v>0.13780000000000001</v>
      </c>
    </row>
    <row r="23" spans="1:7" x14ac:dyDescent="0.25">
      <c r="A23" s="168" t="s">
        <v>38</v>
      </c>
      <c r="B23" s="169"/>
      <c r="C23" s="170"/>
      <c r="D23" s="169"/>
      <c r="E23" s="171"/>
    </row>
    <row r="24" spans="1:7" x14ac:dyDescent="0.25">
      <c r="A24" s="130" t="s">
        <v>65</v>
      </c>
      <c r="B24" s="63">
        <v>0.48713330999999999</v>
      </c>
      <c r="C24" s="131">
        <v>0.63312416000000005</v>
      </c>
      <c r="D24" s="63">
        <v>0.39352062999999998</v>
      </c>
      <c r="E24" s="122">
        <v>0.53490972999999997</v>
      </c>
      <c r="G24" s="4"/>
    </row>
    <row r="25" spans="1:7" x14ac:dyDescent="0.25">
      <c r="A25" s="172" t="s">
        <v>66</v>
      </c>
      <c r="B25" s="161">
        <v>0</v>
      </c>
      <c r="C25" s="173">
        <v>0</v>
      </c>
      <c r="D25" s="161">
        <v>0</v>
      </c>
      <c r="E25" s="162">
        <v>0</v>
      </c>
      <c r="G25" s="4"/>
    </row>
    <row r="26" spans="1:7" ht="13.5" customHeight="1" x14ac:dyDescent="0.25">
      <c r="A26" s="174" t="s">
        <v>91</v>
      </c>
      <c r="B26" s="175">
        <v>0.48713330999999999</v>
      </c>
      <c r="C26" s="176">
        <v>0.63312416000000005</v>
      </c>
      <c r="D26" s="175">
        <v>0.39352062999999998</v>
      </c>
      <c r="E26" s="177">
        <v>0.53490972999999997</v>
      </c>
    </row>
    <row r="27" spans="1:7" x14ac:dyDescent="0.25">
      <c r="A27" s="168" t="s">
        <v>28</v>
      </c>
      <c r="B27" s="169"/>
      <c r="C27" s="170"/>
      <c r="D27" s="169"/>
      <c r="E27" s="171"/>
    </row>
    <row r="28" spans="1:7" x14ac:dyDescent="0.25">
      <c r="A28" s="130" t="s">
        <v>65</v>
      </c>
      <c r="B28" s="63">
        <v>0.20049017999999999</v>
      </c>
      <c r="C28" s="131">
        <v>0.50612811999999996</v>
      </c>
      <c r="D28" s="63">
        <v>0.23185214000000001</v>
      </c>
      <c r="E28" s="122">
        <v>0.5972189</v>
      </c>
      <c r="G28" s="4"/>
    </row>
    <row r="29" spans="1:7" ht="13.5" customHeight="1" x14ac:dyDescent="0.25">
      <c r="A29" s="172" t="s">
        <v>66</v>
      </c>
      <c r="B29" s="161">
        <v>0</v>
      </c>
      <c r="C29" s="173">
        <v>8.0378190000000002E-2</v>
      </c>
      <c r="D29" s="161">
        <v>0</v>
      </c>
      <c r="E29" s="162">
        <v>0.10600844</v>
      </c>
      <c r="G29" s="4"/>
    </row>
    <row r="30" spans="1:7" x14ac:dyDescent="0.25">
      <c r="A30" s="174" t="s">
        <v>91</v>
      </c>
      <c r="B30" s="175">
        <v>0.20049017999999999</v>
      </c>
      <c r="C30" s="176">
        <v>0.58650630999999998</v>
      </c>
      <c r="D30" s="175">
        <v>0.23185214000000001</v>
      </c>
      <c r="E30" s="177">
        <v>0.70322735000000003</v>
      </c>
    </row>
    <row r="31" spans="1:7" x14ac:dyDescent="0.25">
      <c r="A31" s="168" t="s">
        <v>98</v>
      </c>
      <c r="B31" s="169"/>
      <c r="C31" s="170"/>
      <c r="D31" s="169"/>
      <c r="E31" s="171"/>
    </row>
    <row r="32" spans="1:7" x14ac:dyDescent="0.25">
      <c r="A32" s="130" t="s">
        <v>65</v>
      </c>
      <c r="B32" s="63">
        <v>0.73869627000000004</v>
      </c>
      <c r="C32" s="131">
        <v>1.0599805</v>
      </c>
      <c r="D32" s="63">
        <v>0.30071076000000002</v>
      </c>
      <c r="E32" s="122">
        <v>0.1145</v>
      </c>
      <c r="G32" s="4"/>
    </row>
    <row r="33" spans="1:7" x14ac:dyDescent="0.25">
      <c r="A33" s="172" t="s">
        <v>66</v>
      </c>
      <c r="B33" s="161">
        <v>0.40750902</v>
      </c>
      <c r="C33" s="173">
        <v>0.74092548999999996</v>
      </c>
      <c r="D33" s="161">
        <v>0.40750902</v>
      </c>
      <c r="E33" s="162">
        <v>0</v>
      </c>
      <c r="G33" s="4"/>
    </row>
    <row r="34" spans="1:7" x14ac:dyDescent="0.25">
      <c r="A34" s="174" t="s">
        <v>91</v>
      </c>
      <c r="B34" s="175">
        <v>1.1462053000000001</v>
      </c>
      <c r="C34" s="176">
        <v>1.8009059999999999</v>
      </c>
      <c r="D34" s="175">
        <v>0.70821977000000003</v>
      </c>
      <c r="E34" s="177">
        <v>0.1145</v>
      </c>
    </row>
    <row r="35" spans="1:7" x14ac:dyDescent="0.25">
      <c r="A35" s="168" t="s">
        <v>88</v>
      </c>
      <c r="B35" s="169"/>
      <c r="C35" s="170"/>
      <c r="D35" s="169"/>
      <c r="E35" s="171"/>
    </row>
    <row r="36" spans="1:7" x14ac:dyDescent="0.25">
      <c r="A36" s="130" t="s">
        <v>65</v>
      </c>
      <c r="B36" s="63">
        <v>0.54776658</v>
      </c>
      <c r="C36" s="131">
        <v>0.49120065000000002</v>
      </c>
      <c r="D36" s="63">
        <v>0.21964350999999999</v>
      </c>
      <c r="E36" s="122">
        <v>0.1849654</v>
      </c>
      <c r="G36" s="4"/>
    </row>
    <row r="37" spans="1:7" x14ac:dyDescent="0.25">
      <c r="A37" s="172" t="s">
        <v>66</v>
      </c>
      <c r="B37" s="161">
        <v>0.29313038000000002</v>
      </c>
      <c r="C37" s="173">
        <v>0.27583809999999997</v>
      </c>
      <c r="D37" s="161">
        <v>0.29313038000000002</v>
      </c>
      <c r="E37" s="162">
        <v>0.24451038</v>
      </c>
      <c r="G37" s="4"/>
    </row>
    <row r="38" spans="1:7" x14ac:dyDescent="0.25">
      <c r="A38" s="174" t="s">
        <v>91</v>
      </c>
      <c r="B38" s="175">
        <v>0.84089696000000003</v>
      </c>
      <c r="C38" s="176">
        <v>0.76703874999999999</v>
      </c>
      <c r="D38" s="175">
        <v>0.51277388999999995</v>
      </c>
      <c r="E38" s="177">
        <v>0.42947577999999997</v>
      </c>
    </row>
    <row r="39" spans="1:7" x14ac:dyDescent="0.25">
      <c r="A39" s="168" t="s">
        <v>3</v>
      </c>
      <c r="B39" s="169"/>
      <c r="C39" s="170"/>
      <c r="D39" s="169"/>
      <c r="E39" s="171"/>
    </row>
    <row r="40" spans="1:7" x14ac:dyDescent="0.25">
      <c r="A40" s="130" t="s">
        <v>65</v>
      </c>
      <c r="B40" s="63">
        <v>0.87250152999999997</v>
      </c>
      <c r="C40" s="131">
        <v>0.87250152999999997</v>
      </c>
      <c r="D40" s="63">
        <v>0.58095280999999999</v>
      </c>
      <c r="E40" s="122">
        <v>0.76865419999999995</v>
      </c>
      <c r="G40" s="4"/>
    </row>
    <row r="41" spans="1:7" x14ac:dyDescent="0.25">
      <c r="A41" s="172" t="s">
        <v>66</v>
      </c>
      <c r="B41" s="161">
        <v>-0.13425956</v>
      </c>
      <c r="C41" s="173">
        <v>-9.7462469999999995E-2</v>
      </c>
      <c r="D41" s="161">
        <v>0.31434733999999998</v>
      </c>
      <c r="E41" s="162">
        <v>3.8215689999999997E-2</v>
      </c>
      <c r="G41" s="4"/>
    </row>
    <row r="42" spans="1:7" x14ac:dyDescent="0.25">
      <c r="A42" s="174" t="s">
        <v>91</v>
      </c>
      <c r="B42" s="175">
        <v>0.73824197000000003</v>
      </c>
      <c r="C42" s="176">
        <v>0.77503906</v>
      </c>
      <c r="D42" s="175">
        <v>0.89530014999999996</v>
      </c>
      <c r="E42" s="177">
        <v>0.80686988000000004</v>
      </c>
    </row>
    <row r="43" spans="1:7" x14ac:dyDescent="0.25">
      <c r="A43" s="168" t="s">
        <v>4</v>
      </c>
      <c r="B43" s="169"/>
      <c r="C43" s="170"/>
      <c r="D43" s="169"/>
      <c r="E43" s="171"/>
    </row>
    <row r="44" spans="1:7" x14ac:dyDescent="0.25">
      <c r="A44" s="130" t="s">
        <v>65</v>
      </c>
      <c r="B44" s="63">
        <v>0.13007250000000001</v>
      </c>
      <c r="C44" s="131">
        <v>0.59927355000000004</v>
      </c>
      <c r="D44" s="63">
        <v>0.13007250000000001</v>
      </c>
      <c r="E44" s="122">
        <v>0.13007250000000001</v>
      </c>
      <c r="G44" s="4"/>
    </row>
    <row r="45" spans="1:7" x14ac:dyDescent="0.25">
      <c r="A45" s="172" t="s">
        <v>66</v>
      </c>
      <c r="B45" s="161">
        <v>0.27351317000000003</v>
      </c>
      <c r="C45" s="173">
        <v>0.40072645000000001</v>
      </c>
      <c r="D45" s="161">
        <v>0</v>
      </c>
      <c r="E45" s="162">
        <v>0</v>
      </c>
      <c r="G45" s="4"/>
    </row>
    <row r="46" spans="1:7" x14ac:dyDescent="0.25">
      <c r="A46" s="174" t="s">
        <v>91</v>
      </c>
      <c r="B46" s="175">
        <v>0.40358567000000001</v>
      </c>
      <c r="C46" s="176">
        <v>1</v>
      </c>
      <c r="D46" s="175">
        <v>0.13007250000000001</v>
      </c>
      <c r="E46" s="177">
        <v>0.13007250000000001</v>
      </c>
    </row>
    <row r="47" spans="1:7" x14ac:dyDescent="0.25">
      <c r="A47" s="168" t="s">
        <v>5</v>
      </c>
      <c r="B47" s="169"/>
      <c r="C47" s="170"/>
      <c r="D47" s="169"/>
      <c r="E47" s="171"/>
    </row>
    <row r="48" spans="1:7" x14ac:dyDescent="0.25">
      <c r="A48" s="130" t="s">
        <v>65</v>
      </c>
      <c r="B48" s="63">
        <v>0.44116706</v>
      </c>
      <c r="C48" s="131">
        <v>0.73326683000000004</v>
      </c>
      <c r="D48" s="63">
        <v>0.31737281000000001</v>
      </c>
      <c r="E48" s="122">
        <v>0.31737281000000001</v>
      </c>
      <c r="G48" s="4"/>
    </row>
    <row r="49" spans="1:7" x14ac:dyDescent="0.25">
      <c r="A49" s="172" t="s">
        <v>66</v>
      </c>
      <c r="B49" s="161">
        <v>0.36407750999999999</v>
      </c>
      <c r="C49" s="173">
        <v>0.26673317000000002</v>
      </c>
      <c r="D49" s="161">
        <v>0.30871999999999999</v>
      </c>
      <c r="E49" s="162">
        <v>0.26116709999999999</v>
      </c>
      <c r="G49" s="4"/>
    </row>
    <row r="50" spans="1:7" x14ac:dyDescent="0.25">
      <c r="A50" s="174" t="s">
        <v>91</v>
      </c>
      <c r="B50" s="175">
        <v>0.80524457999999999</v>
      </c>
      <c r="C50" s="176">
        <v>1</v>
      </c>
      <c r="D50" s="175">
        <v>0.62609281000000006</v>
      </c>
      <c r="E50" s="177">
        <v>0.57853991000000005</v>
      </c>
    </row>
    <row r="51" spans="1:7" x14ac:dyDescent="0.25">
      <c r="A51" s="168" t="s">
        <v>6</v>
      </c>
      <c r="B51" s="169"/>
      <c r="C51" s="170"/>
      <c r="D51" s="169"/>
      <c r="E51" s="171"/>
    </row>
    <row r="52" spans="1:7" x14ac:dyDescent="0.25">
      <c r="A52" s="130" t="s">
        <v>65</v>
      </c>
      <c r="B52" s="63">
        <v>0.23800818000000001</v>
      </c>
      <c r="C52" s="131">
        <v>0.37932547</v>
      </c>
      <c r="D52" s="63">
        <v>0.32922099999999999</v>
      </c>
      <c r="E52" s="122">
        <v>0.37932547</v>
      </c>
      <c r="G52" s="4"/>
    </row>
    <row r="53" spans="1:7" x14ac:dyDescent="0.25">
      <c r="A53" s="172" t="s">
        <v>66</v>
      </c>
      <c r="B53" s="161">
        <v>0.28978186</v>
      </c>
      <c r="C53" s="173">
        <v>0.23889584999999999</v>
      </c>
      <c r="D53" s="161">
        <v>0.16693416</v>
      </c>
      <c r="E53" s="162">
        <v>0.23889584999999999</v>
      </c>
      <c r="G53" s="4"/>
    </row>
    <row r="54" spans="1:7" x14ac:dyDescent="0.25">
      <c r="A54" s="174" t="s">
        <v>91</v>
      </c>
      <c r="B54" s="175">
        <v>0.52779003999999996</v>
      </c>
      <c r="C54" s="176">
        <v>0.61822131999999996</v>
      </c>
      <c r="D54" s="175">
        <v>0.49615515999999998</v>
      </c>
      <c r="E54" s="177">
        <v>0.61822131999999996</v>
      </c>
    </row>
    <row r="55" spans="1:7" x14ac:dyDescent="0.25">
      <c r="A55" s="168" t="s">
        <v>39</v>
      </c>
      <c r="B55" s="169"/>
      <c r="C55" s="170"/>
      <c r="D55" s="169"/>
      <c r="E55" s="171"/>
    </row>
    <row r="56" spans="1:7" x14ac:dyDescent="0.25">
      <c r="A56" s="130" t="s">
        <v>65</v>
      </c>
      <c r="B56" s="63">
        <v>0.61216382999999996</v>
      </c>
      <c r="C56" s="131">
        <v>0.32350668999999999</v>
      </c>
      <c r="D56" s="63">
        <v>0.52052067999999996</v>
      </c>
      <c r="E56" s="122">
        <v>0.59838656000000001</v>
      </c>
      <c r="G56" s="4"/>
    </row>
    <row r="57" spans="1:7" x14ac:dyDescent="0.25">
      <c r="A57" s="172" t="s">
        <v>66</v>
      </c>
      <c r="B57" s="161">
        <v>0.18731302</v>
      </c>
      <c r="C57" s="173">
        <v>0.21472699000000001</v>
      </c>
      <c r="D57" s="161">
        <v>8.7896080000000001E-2</v>
      </c>
      <c r="E57" s="162">
        <v>0.28020112000000003</v>
      </c>
      <c r="G57" s="4"/>
    </row>
    <row r="58" spans="1:7" x14ac:dyDescent="0.25">
      <c r="A58" s="174" t="s">
        <v>91</v>
      </c>
      <c r="B58" s="175">
        <v>0.79947685000000002</v>
      </c>
      <c r="C58" s="176">
        <v>0.53823367</v>
      </c>
      <c r="D58" s="175">
        <v>0.60841676</v>
      </c>
      <c r="E58" s="177">
        <v>0.87858767999999998</v>
      </c>
    </row>
    <row r="59" spans="1:7" x14ac:dyDescent="0.25">
      <c r="A59" s="168" t="s">
        <v>7</v>
      </c>
      <c r="B59" s="169"/>
      <c r="C59" s="170"/>
      <c r="D59" s="169"/>
      <c r="E59" s="171"/>
    </row>
    <row r="60" spans="1:7" x14ac:dyDescent="0.25">
      <c r="A60" s="130" t="s">
        <v>65</v>
      </c>
      <c r="B60" s="63">
        <v>0.21019355000000001</v>
      </c>
      <c r="C60" s="131">
        <v>0.15941594000000001</v>
      </c>
      <c r="D60" s="63">
        <v>0.21019355000000001</v>
      </c>
      <c r="E60" s="122">
        <v>0.25889860999999997</v>
      </c>
      <c r="G60" s="4"/>
    </row>
    <row r="61" spans="1:7" x14ac:dyDescent="0.25">
      <c r="A61" s="172" t="s">
        <v>66</v>
      </c>
      <c r="B61" s="161">
        <v>0.18653001999999999</v>
      </c>
      <c r="C61" s="173">
        <v>0</v>
      </c>
      <c r="D61" s="161">
        <v>0.12435334000000001</v>
      </c>
      <c r="E61" s="162">
        <v>0</v>
      </c>
      <c r="G61" s="4"/>
    </row>
    <row r="62" spans="1:7" x14ac:dyDescent="0.25">
      <c r="A62" s="174" t="s">
        <v>91</v>
      </c>
      <c r="B62" s="175">
        <v>0.39672357000000003</v>
      </c>
      <c r="C62" s="176">
        <v>0.15941594000000001</v>
      </c>
      <c r="D62" s="175">
        <v>0.33454689999999998</v>
      </c>
      <c r="E62" s="177">
        <v>0.25889860999999997</v>
      </c>
    </row>
    <row r="63" spans="1:7" x14ac:dyDescent="0.25">
      <c r="A63" s="168" t="s">
        <v>8</v>
      </c>
      <c r="B63" s="169"/>
      <c r="C63" s="170"/>
      <c r="D63" s="169"/>
      <c r="E63" s="171"/>
    </row>
    <row r="64" spans="1:7" x14ac:dyDescent="0.25">
      <c r="A64" s="130" t="s">
        <v>65</v>
      </c>
      <c r="B64" s="63">
        <v>0.33500000000000002</v>
      </c>
      <c r="C64" s="131">
        <v>0.34900344</v>
      </c>
      <c r="D64" s="63">
        <v>0.33500000000000002</v>
      </c>
      <c r="E64" s="122">
        <v>0.33500000000000002</v>
      </c>
      <c r="G64" s="4"/>
    </row>
    <row r="65" spans="1:7" x14ac:dyDescent="0.25">
      <c r="A65" s="172" t="s">
        <v>66</v>
      </c>
      <c r="B65" s="161">
        <v>0</v>
      </c>
      <c r="C65" s="173">
        <v>0</v>
      </c>
      <c r="D65" s="161">
        <v>0</v>
      </c>
      <c r="E65" s="162">
        <v>0</v>
      </c>
      <c r="G65" s="4"/>
    </row>
    <row r="66" spans="1:7" x14ac:dyDescent="0.25">
      <c r="A66" s="174" t="s">
        <v>91</v>
      </c>
      <c r="B66" s="175">
        <v>0.33500000000000002</v>
      </c>
      <c r="C66" s="176">
        <v>0.34900344</v>
      </c>
      <c r="D66" s="175">
        <v>0.33500000000000002</v>
      </c>
      <c r="E66" s="177">
        <v>0.33500000000000002</v>
      </c>
    </row>
    <row r="67" spans="1:7" x14ac:dyDescent="0.25">
      <c r="A67" s="168" t="s">
        <v>9</v>
      </c>
      <c r="B67" s="169"/>
      <c r="C67" s="170"/>
      <c r="D67" s="169"/>
      <c r="E67" s="171"/>
    </row>
    <row r="68" spans="1:7" x14ac:dyDescent="0.25">
      <c r="A68" s="130" t="s">
        <v>65</v>
      </c>
      <c r="B68" s="63">
        <v>0.52794410999999997</v>
      </c>
      <c r="C68" s="131">
        <v>0.52794410999999997</v>
      </c>
      <c r="D68" s="63">
        <v>0.36921209999999999</v>
      </c>
      <c r="E68" s="122">
        <v>0.46063486999999997</v>
      </c>
      <c r="G68" s="4"/>
    </row>
    <row r="69" spans="1:7" x14ac:dyDescent="0.25">
      <c r="A69" s="172" t="s">
        <v>66</v>
      </c>
      <c r="B69" s="161">
        <v>0</v>
      </c>
      <c r="C69" s="173">
        <v>0</v>
      </c>
      <c r="D69" s="161">
        <v>3.5276990000000001E-2</v>
      </c>
      <c r="E69" s="162">
        <v>0</v>
      </c>
      <c r="G69" s="4"/>
    </row>
    <row r="70" spans="1:7" x14ac:dyDescent="0.25">
      <c r="A70" s="174" t="s">
        <v>91</v>
      </c>
      <c r="B70" s="175">
        <v>0.52794410999999997</v>
      </c>
      <c r="C70" s="176">
        <v>0.52794410999999997</v>
      </c>
      <c r="D70" s="175">
        <v>0.40448909</v>
      </c>
      <c r="E70" s="177">
        <v>0.46063486999999997</v>
      </c>
    </row>
    <row r="71" spans="1:7" x14ac:dyDescent="0.25">
      <c r="A71" s="168" t="s">
        <v>10</v>
      </c>
      <c r="B71" s="169"/>
      <c r="C71" s="170"/>
      <c r="D71" s="169"/>
      <c r="E71" s="171"/>
    </row>
    <row r="72" spans="1:7" x14ac:dyDescent="0.25">
      <c r="A72" s="130" t="s">
        <v>65</v>
      </c>
      <c r="B72" s="63">
        <v>0.39547768</v>
      </c>
      <c r="C72" s="131">
        <v>0.64325054999999998</v>
      </c>
      <c r="D72" s="63">
        <v>0.27612698000000002</v>
      </c>
      <c r="E72" s="122">
        <v>0.87045055000000005</v>
      </c>
      <c r="G72" s="4"/>
    </row>
    <row r="73" spans="1:7" x14ac:dyDescent="0.25">
      <c r="A73" s="172" t="s">
        <v>66</v>
      </c>
      <c r="B73" s="161">
        <v>9.0678350000000005E-2</v>
      </c>
      <c r="C73" s="173">
        <v>5.3512419999999998E-2</v>
      </c>
      <c r="D73" s="161">
        <v>0.10858095</v>
      </c>
      <c r="E73" s="162">
        <v>1.9432419999999999E-2</v>
      </c>
      <c r="G73" s="4"/>
    </row>
    <row r="74" spans="1:7" x14ac:dyDescent="0.25">
      <c r="A74" s="174" t="s">
        <v>91</v>
      </c>
      <c r="B74" s="175">
        <v>0.48615602000000002</v>
      </c>
      <c r="C74" s="176">
        <v>0.69676296999999998</v>
      </c>
      <c r="D74" s="175">
        <v>0.38470792999999998</v>
      </c>
      <c r="E74" s="177">
        <v>0.88988297000000005</v>
      </c>
    </row>
    <row r="75" spans="1:7" x14ac:dyDescent="0.25">
      <c r="A75" s="168" t="s">
        <v>75</v>
      </c>
      <c r="B75" s="169"/>
      <c r="C75" s="170"/>
      <c r="D75" s="169"/>
      <c r="E75" s="171"/>
    </row>
    <row r="76" spans="1:7" x14ac:dyDescent="0.25">
      <c r="A76" s="130" t="s">
        <v>65</v>
      </c>
      <c r="B76" s="63">
        <v>0.36110150000000002</v>
      </c>
      <c r="C76" s="131">
        <v>0.66993881</v>
      </c>
      <c r="D76" s="63">
        <v>8.5706569999999996E-2</v>
      </c>
      <c r="E76" s="122">
        <v>0.58664731000000003</v>
      </c>
      <c r="G76" s="4"/>
    </row>
    <row r="77" spans="1:7" x14ac:dyDescent="0.25">
      <c r="A77" s="172" t="s">
        <v>66</v>
      </c>
      <c r="B77" s="161">
        <v>0.25664477000000002</v>
      </c>
      <c r="C77" s="173">
        <v>0</v>
      </c>
      <c r="D77" s="161">
        <v>0</v>
      </c>
      <c r="E77" s="162">
        <v>0</v>
      </c>
      <c r="G77" s="4"/>
    </row>
    <row r="78" spans="1:7" x14ac:dyDescent="0.25">
      <c r="A78" s="174" t="s">
        <v>91</v>
      </c>
      <c r="B78" s="175">
        <v>0.61774627999999998</v>
      </c>
      <c r="C78" s="176">
        <v>0.66993881</v>
      </c>
      <c r="D78" s="175">
        <v>8.5706569999999996E-2</v>
      </c>
      <c r="E78" s="177">
        <v>0.58664731000000003</v>
      </c>
    </row>
    <row r="79" spans="1:7" x14ac:dyDescent="0.25">
      <c r="A79" s="168" t="s">
        <v>11</v>
      </c>
      <c r="B79" s="169"/>
      <c r="C79" s="170"/>
      <c r="D79" s="169"/>
      <c r="E79" s="171"/>
    </row>
    <row r="80" spans="1:7" x14ac:dyDescent="0.25">
      <c r="A80" s="130" t="s">
        <v>65</v>
      </c>
      <c r="B80" s="63">
        <v>0.36614959000000002</v>
      </c>
      <c r="C80" s="131">
        <v>0.36614959000000002</v>
      </c>
      <c r="D80" s="63">
        <v>0.36686405999999999</v>
      </c>
      <c r="E80" s="122">
        <v>0.35355942000000001</v>
      </c>
      <c r="G80" s="4"/>
    </row>
    <row r="81" spans="1:7" x14ac:dyDescent="0.25">
      <c r="A81" s="172" t="s">
        <v>66</v>
      </c>
      <c r="B81" s="161">
        <v>1.275921E-2</v>
      </c>
      <c r="C81" s="173">
        <v>1.275921E-2</v>
      </c>
      <c r="D81" s="161">
        <v>1.275921E-2</v>
      </c>
      <c r="E81" s="162">
        <v>1.275921E-2</v>
      </c>
      <c r="G81" s="4"/>
    </row>
    <row r="82" spans="1:7" x14ac:dyDescent="0.25">
      <c r="A82" s="174" t="s">
        <v>91</v>
      </c>
      <c r="B82" s="175">
        <v>0.37890879999999999</v>
      </c>
      <c r="C82" s="176">
        <v>0.37890879999999999</v>
      </c>
      <c r="D82" s="175">
        <v>0.37962328000000001</v>
      </c>
      <c r="E82" s="177">
        <v>0.36631862999999998</v>
      </c>
    </row>
    <row r="83" spans="1:7" x14ac:dyDescent="0.25">
      <c r="A83" s="168" t="s">
        <v>40</v>
      </c>
      <c r="B83" s="169"/>
      <c r="C83" s="170"/>
      <c r="D83" s="169"/>
      <c r="E83" s="171"/>
    </row>
    <row r="84" spans="1:7" x14ac:dyDescent="0.25">
      <c r="A84" s="130" t="s">
        <v>65</v>
      </c>
      <c r="B84" s="63">
        <v>0.72092166999999996</v>
      </c>
      <c r="C84" s="131">
        <v>0.74588863000000005</v>
      </c>
      <c r="D84" s="63">
        <v>0.38797404000000002</v>
      </c>
      <c r="E84" s="122">
        <v>0.74588863000000005</v>
      </c>
      <c r="G84" s="4"/>
    </row>
    <row r="85" spans="1:7" x14ac:dyDescent="0.25">
      <c r="A85" s="172" t="s">
        <v>66</v>
      </c>
      <c r="B85" s="161">
        <v>2.496696E-2</v>
      </c>
      <c r="C85" s="173">
        <v>0</v>
      </c>
      <c r="D85" s="161">
        <v>0.35791458999999998</v>
      </c>
      <c r="E85" s="162">
        <v>0</v>
      </c>
      <c r="G85" s="4"/>
    </row>
    <row r="86" spans="1:7" x14ac:dyDescent="0.25">
      <c r="A86" s="174" t="s">
        <v>91</v>
      </c>
      <c r="B86" s="175">
        <v>0.74588863000000005</v>
      </c>
      <c r="C86" s="176">
        <v>0.74588863000000005</v>
      </c>
      <c r="D86" s="175">
        <v>0.74588863000000005</v>
      </c>
      <c r="E86" s="177">
        <v>0.74588863000000005</v>
      </c>
    </row>
    <row r="87" spans="1:7" x14ac:dyDescent="0.25">
      <c r="A87" s="168" t="s">
        <v>76</v>
      </c>
      <c r="B87" s="169"/>
      <c r="C87" s="170"/>
      <c r="D87" s="169"/>
      <c r="E87" s="171"/>
    </row>
    <row r="88" spans="1:7" x14ac:dyDescent="0.25">
      <c r="A88" s="130" t="s">
        <v>65</v>
      </c>
      <c r="B88" s="63">
        <v>0.52269988999999994</v>
      </c>
      <c r="C88" s="131">
        <v>0.93433882000000001</v>
      </c>
      <c r="D88" s="63">
        <v>0.19706081</v>
      </c>
      <c r="E88" s="122">
        <v>0.79305192999999996</v>
      </c>
      <c r="G88" s="4"/>
    </row>
    <row r="89" spans="1:7" x14ac:dyDescent="0.25">
      <c r="A89" s="172" t="s">
        <v>66</v>
      </c>
      <c r="B89" s="161">
        <v>0</v>
      </c>
      <c r="C89" s="173">
        <v>0</v>
      </c>
      <c r="D89" s="161">
        <v>0.30513237999999998</v>
      </c>
      <c r="E89" s="162">
        <v>0</v>
      </c>
      <c r="G89" s="4"/>
    </row>
    <row r="90" spans="1:7" x14ac:dyDescent="0.25">
      <c r="A90" s="174" t="s">
        <v>91</v>
      </c>
      <c r="B90" s="175">
        <v>0.52269988999999994</v>
      </c>
      <c r="C90" s="176">
        <v>0.93433882000000001</v>
      </c>
      <c r="D90" s="175">
        <v>0.50219318999999996</v>
      </c>
      <c r="E90" s="177">
        <v>0.79305192999999996</v>
      </c>
    </row>
    <row r="91" spans="1:7" x14ac:dyDescent="0.25">
      <c r="A91" s="168" t="s">
        <v>12</v>
      </c>
      <c r="B91" s="169"/>
      <c r="C91" s="170"/>
      <c r="D91" s="169"/>
      <c r="E91" s="171"/>
    </row>
    <row r="92" spans="1:7" x14ac:dyDescent="0.25">
      <c r="A92" s="130" t="s">
        <v>65</v>
      </c>
      <c r="B92" s="63">
        <v>0.20019066999999999</v>
      </c>
      <c r="C92" s="131">
        <v>0.48890224999999998</v>
      </c>
      <c r="D92" s="63">
        <v>0.20019066999999999</v>
      </c>
      <c r="E92" s="122">
        <v>0.2000208</v>
      </c>
      <c r="G92" s="4"/>
    </row>
    <row r="93" spans="1:7" x14ac:dyDescent="0.25">
      <c r="A93" s="172" t="s">
        <v>66</v>
      </c>
      <c r="B93" s="161">
        <v>0</v>
      </c>
      <c r="C93" s="173">
        <v>0</v>
      </c>
      <c r="D93" s="161">
        <v>0.69955807000000003</v>
      </c>
      <c r="E93" s="162">
        <v>0</v>
      </c>
      <c r="G93" s="4"/>
    </row>
    <row r="94" spans="1:7" x14ac:dyDescent="0.25">
      <c r="A94" s="174" t="s">
        <v>91</v>
      </c>
      <c r="B94" s="175">
        <v>0.20019066999999999</v>
      </c>
      <c r="C94" s="176">
        <v>0.48890224999999998</v>
      </c>
      <c r="D94" s="175">
        <v>0.89974874000000005</v>
      </c>
      <c r="E94" s="177">
        <v>0.2000208</v>
      </c>
    </row>
    <row r="95" spans="1:7" x14ac:dyDescent="0.25">
      <c r="A95" s="168" t="s">
        <v>13</v>
      </c>
      <c r="B95" s="169"/>
      <c r="C95" s="170"/>
      <c r="D95" s="169"/>
      <c r="E95" s="171"/>
    </row>
    <row r="96" spans="1:7" x14ac:dyDescent="0.25">
      <c r="A96" s="130" t="s">
        <v>65</v>
      </c>
      <c r="B96" s="63">
        <v>0.42319542999999998</v>
      </c>
      <c r="C96" s="131">
        <v>0.74630996000000005</v>
      </c>
      <c r="D96" s="63">
        <v>0.33458350999999997</v>
      </c>
      <c r="E96" s="122">
        <v>0.51281140999999997</v>
      </c>
      <c r="G96" s="4"/>
    </row>
    <row r="97" spans="1:7" x14ac:dyDescent="0.25">
      <c r="A97" s="172" t="s">
        <v>66</v>
      </c>
      <c r="B97" s="161">
        <v>0</v>
      </c>
      <c r="C97" s="173">
        <v>0</v>
      </c>
      <c r="D97" s="161">
        <v>0</v>
      </c>
      <c r="E97" s="162">
        <v>0</v>
      </c>
      <c r="G97" s="4"/>
    </row>
    <row r="98" spans="1:7" x14ac:dyDescent="0.25">
      <c r="A98" s="174" t="s">
        <v>91</v>
      </c>
      <c r="B98" s="175">
        <v>0.42319542999999998</v>
      </c>
      <c r="C98" s="176">
        <v>0.74630996000000005</v>
      </c>
      <c r="D98" s="175">
        <v>0.33458350999999997</v>
      </c>
      <c r="E98" s="177">
        <v>0.51281140999999997</v>
      </c>
    </row>
    <row r="99" spans="1:7" x14ac:dyDescent="0.25">
      <c r="A99" s="168" t="s">
        <v>14</v>
      </c>
      <c r="B99" s="169"/>
      <c r="C99" s="170"/>
      <c r="D99" s="169"/>
      <c r="E99" s="171"/>
    </row>
    <row r="100" spans="1:7" x14ac:dyDescent="0.25">
      <c r="A100" s="130" t="s">
        <v>65</v>
      </c>
      <c r="B100" s="63">
        <v>0.83715128999999999</v>
      </c>
      <c r="C100" s="131">
        <v>0.84036807999999996</v>
      </c>
      <c r="D100" s="63">
        <v>0.76470327999999999</v>
      </c>
      <c r="E100" s="122">
        <v>0.86099992000000003</v>
      </c>
      <c r="G100" s="4"/>
    </row>
    <row r="101" spans="1:7" x14ac:dyDescent="0.25">
      <c r="A101" s="172" t="s">
        <v>66</v>
      </c>
      <c r="B101" s="161">
        <v>0</v>
      </c>
      <c r="C101" s="173">
        <v>0</v>
      </c>
      <c r="D101" s="161">
        <v>0</v>
      </c>
      <c r="E101" s="162">
        <v>0</v>
      </c>
      <c r="G101" s="4"/>
    </row>
    <row r="102" spans="1:7" x14ac:dyDescent="0.25">
      <c r="A102" s="174" t="s">
        <v>91</v>
      </c>
      <c r="B102" s="175">
        <v>0.83715128999999999</v>
      </c>
      <c r="C102" s="176">
        <v>0.84036807999999996</v>
      </c>
      <c r="D102" s="175">
        <v>0.76470327999999999</v>
      </c>
      <c r="E102" s="177">
        <v>0.86099992000000003</v>
      </c>
    </row>
    <row r="103" spans="1:7" x14ac:dyDescent="0.25">
      <c r="A103" s="168" t="s">
        <v>15</v>
      </c>
      <c r="B103" s="169"/>
      <c r="C103" s="170"/>
      <c r="D103" s="169"/>
      <c r="E103" s="171"/>
    </row>
    <row r="104" spans="1:7" x14ac:dyDescent="0.25">
      <c r="A104" s="130" t="s">
        <v>65</v>
      </c>
      <c r="B104" s="63">
        <v>0.36533774000000002</v>
      </c>
      <c r="C104" s="131">
        <v>0.34542537000000001</v>
      </c>
      <c r="D104" s="63">
        <v>0.28236286999999999</v>
      </c>
      <c r="E104" s="122">
        <v>-0.12227849</v>
      </c>
      <c r="G104" s="4"/>
    </row>
    <row r="105" spans="1:7" x14ac:dyDescent="0.25">
      <c r="A105" s="172" t="s">
        <v>66</v>
      </c>
      <c r="B105" s="161">
        <v>0.19256023999999999</v>
      </c>
      <c r="C105" s="173">
        <v>0.22193752</v>
      </c>
      <c r="D105" s="161">
        <v>0.22707073</v>
      </c>
      <c r="E105" s="162">
        <v>0.33900544999999999</v>
      </c>
      <c r="G105" s="4"/>
    </row>
    <row r="106" spans="1:7" x14ac:dyDescent="0.25">
      <c r="A106" s="174" t="s">
        <v>91</v>
      </c>
      <c r="B106" s="175">
        <v>0.55789798000000002</v>
      </c>
      <c r="C106" s="176">
        <v>0.5673629</v>
      </c>
      <c r="D106" s="175">
        <v>0.50943358999999999</v>
      </c>
      <c r="E106" s="177">
        <v>0.21672696</v>
      </c>
    </row>
    <row r="107" spans="1:7" x14ac:dyDescent="0.25">
      <c r="A107" s="168" t="s">
        <v>16</v>
      </c>
      <c r="B107" s="169"/>
      <c r="C107" s="170"/>
      <c r="D107" s="169"/>
      <c r="E107" s="171"/>
    </row>
    <row r="108" spans="1:7" x14ac:dyDescent="0.25">
      <c r="A108" s="130" t="s">
        <v>65</v>
      </c>
      <c r="B108" s="63">
        <v>0.61310306999999997</v>
      </c>
      <c r="C108" s="131">
        <v>0.62014132</v>
      </c>
      <c r="D108" s="63">
        <v>0.36588593000000003</v>
      </c>
      <c r="E108" s="122">
        <v>0.34837706000000002</v>
      </c>
      <c r="G108" s="4"/>
    </row>
    <row r="109" spans="1:7" x14ac:dyDescent="0.25">
      <c r="A109" s="172" t="s">
        <v>66</v>
      </c>
      <c r="B109" s="161">
        <v>0.13791500000000001</v>
      </c>
      <c r="C109" s="173">
        <v>0</v>
      </c>
      <c r="D109" s="161">
        <v>0.24411958</v>
      </c>
      <c r="E109" s="162">
        <v>0</v>
      </c>
      <c r="G109" s="4"/>
    </row>
    <row r="110" spans="1:7" x14ac:dyDescent="0.25">
      <c r="A110" s="174" t="s">
        <v>91</v>
      </c>
      <c r="B110" s="175">
        <v>0.75101806999999998</v>
      </c>
      <c r="C110" s="176">
        <v>0.62014132</v>
      </c>
      <c r="D110" s="175">
        <v>0.61000551000000003</v>
      </c>
      <c r="E110" s="177">
        <v>0.34837706000000002</v>
      </c>
    </row>
    <row r="111" spans="1:7" x14ac:dyDescent="0.25">
      <c r="A111" s="168" t="s">
        <v>41</v>
      </c>
      <c r="B111" s="169"/>
      <c r="C111" s="170"/>
      <c r="D111" s="169"/>
      <c r="E111" s="171"/>
    </row>
    <row r="112" spans="1:7" x14ac:dyDescent="0.25">
      <c r="A112" s="130" t="s">
        <v>65</v>
      </c>
      <c r="B112" s="63">
        <v>1.0051013</v>
      </c>
      <c r="C112" s="131">
        <v>0.91055074000000003</v>
      </c>
      <c r="D112" s="63">
        <v>0.47614222</v>
      </c>
      <c r="E112" s="122">
        <v>0.74321713</v>
      </c>
      <c r="G112" s="4"/>
    </row>
    <row r="113" spans="1:7" x14ac:dyDescent="0.25">
      <c r="A113" s="172" t="s">
        <v>66</v>
      </c>
      <c r="B113" s="161">
        <v>2.91959E-2</v>
      </c>
      <c r="C113" s="173">
        <v>2.91959E-2</v>
      </c>
      <c r="D113" s="161">
        <v>0.15757444000000001</v>
      </c>
      <c r="E113" s="162">
        <v>5.9559630000000002E-2</v>
      </c>
      <c r="G113" s="4"/>
    </row>
    <row r="114" spans="1:7" x14ac:dyDescent="0.25">
      <c r="A114" s="174" t="s">
        <v>91</v>
      </c>
      <c r="B114" s="175">
        <v>1.0342971999999999</v>
      </c>
      <c r="C114" s="176">
        <v>0.93974663999999997</v>
      </c>
      <c r="D114" s="175">
        <v>0.63371664999999999</v>
      </c>
      <c r="E114" s="177">
        <v>0.80277675999999998</v>
      </c>
    </row>
    <row r="115" spans="1:7" x14ac:dyDescent="0.25">
      <c r="A115" s="168" t="s">
        <v>17</v>
      </c>
      <c r="B115" s="169"/>
      <c r="C115" s="170"/>
      <c r="D115" s="169"/>
      <c r="E115" s="171"/>
    </row>
    <row r="116" spans="1:7" x14ac:dyDescent="0.25">
      <c r="A116" s="130" t="s">
        <v>65</v>
      </c>
      <c r="B116" s="63">
        <v>0.35078291</v>
      </c>
      <c r="C116" s="131">
        <v>0.53789670000000001</v>
      </c>
      <c r="D116" s="63">
        <v>0.33332079999999997</v>
      </c>
      <c r="E116" s="122">
        <v>0.37967505000000001</v>
      </c>
      <c r="G116" s="4"/>
    </row>
    <row r="117" spans="1:7" x14ac:dyDescent="0.25">
      <c r="A117" s="172" t="s">
        <v>66</v>
      </c>
      <c r="B117" s="161">
        <v>0.27323750000000002</v>
      </c>
      <c r="C117" s="173">
        <v>0.46210329999999999</v>
      </c>
      <c r="D117" s="161">
        <v>0.14023360000000001</v>
      </c>
      <c r="E117" s="162">
        <v>0.31558913999999999</v>
      </c>
      <c r="G117" s="4"/>
    </row>
    <row r="118" spans="1:7" x14ac:dyDescent="0.25">
      <c r="A118" s="174" t="s">
        <v>91</v>
      </c>
      <c r="B118" s="175">
        <v>0.62402040999999997</v>
      </c>
      <c r="C118" s="176">
        <v>1</v>
      </c>
      <c r="D118" s="175">
        <v>0.47355439999999999</v>
      </c>
      <c r="E118" s="177">
        <v>0.6952642</v>
      </c>
    </row>
    <row r="119" spans="1:7" x14ac:dyDescent="0.25">
      <c r="A119" s="168" t="s">
        <v>18</v>
      </c>
      <c r="B119" s="169"/>
      <c r="C119" s="170"/>
      <c r="D119" s="169"/>
      <c r="E119" s="171"/>
    </row>
    <row r="120" spans="1:7" x14ac:dyDescent="0.25">
      <c r="A120" s="130" t="s">
        <v>65</v>
      </c>
      <c r="B120" s="63">
        <v>0.21476100000000001</v>
      </c>
      <c r="C120" s="131">
        <v>0.26462996999999999</v>
      </c>
      <c r="D120" s="63">
        <v>0.24008852</v>
      </c>
      <c r="E120" s="122">
        <v>0.54800322000000001</v>
      </c>
      <c r="G120" s="4"/>
    </row>
    <row r="121" spans="1:7" x14ac:dyDescent="0.25">
      <c r="A121" s="172" t="s">
        <v>66</v>
      </c>
      <c r="B121" s="161">
        <v>0.103548</v>
      </c>
      <c r="C121" s="173">
        <v>9.7563720000000007E-2</v>
      </c>
      <c r="D121" s="161">
        <v>0.55146083999999995</v>
      </c>
      <c r="E121" s="162">
        <v>6.355893E-2</v>
      </c>
      <c r="G121" s="4"/>
    </row>
    <row r="122" spans="1:7" x14ac:dyDescent="0.25">
      <c r="A122" s="174" t="s">
        <v>91</v>
      </c>
      <c r="B122" s="175">
        <v>0.31830900000000001</v>
      </c>
      <c r="C122" s="176">
        <v>0.36219369000000001</v>
      </c>
      <c r="D122" s="175">
        <v>0.79154935999999998</v>
      </c>
      <c r="E122" s="177">
        <v>0.61156215000000003</v>
      </c>
    </row>
    <row r="123" spans="1:7" x14ac:dyDescent="0.25">
      <c r="A123" s="168" t="s">
        <v>19</v>
      </c>
      <c r="B123" s="169"/>
      <c r="C123" s="170"/>
      <c r="D123" s="169"/>
      <c r="E123" s="171"/>
    </row>
    <row r="124" spans="1:7" x14ac:dyDescent="0.25">
      <c r="A124" s="130" t="s">
        <v>65</v>
      </c>
      <c r="B124" s="63">
        <v>0.2216978</v>
      </c>
      <c r="C124" s="131">
        <v>0.70622591999999995</v>
      </c>
      <c r="D124" s="63">
        <v>0.11</v>
      </c>
      <c r="E124" s="122">
        <v>0.31242555999999999</v>
      </c>
      <c r="G124" s="4"/>
    </row>
    <row r="125" spans="1:7" x14ac:dyDescent="0.25">
      <c r="A125" s="172" t="s">
        <v>66</v>
      </c>
      <c r="B125" s="161">
        <v>0.40845363000000001</v>
      </c>
      <c r="C125" s="173">
        <v>0.40845363000000001</v>
      </c>
      <c r="D125" s="161">
        <v>0.40845363000000001</v>
      </c>
      <c r="E125" s="162">
        <v>0.40845363000000001</v>
      </c>
      <c r="G125" s="4"/>
    </row>
    <row r="126" spans="1:7" x14ac:dyDescent="0.25">
      <c r="A126" s="174" t="s">
        <v>91</v>
      </c>
      <c r="B126" s="175">
        <v>0.63015142999999996</v>
      </c>
      <c r="C126" s="176">
        <v>1.1146795</v>
      </c>
      <c r="D126" s="175">
        <v>0.51845363</v>
      </c>
      <c r="E126" s="177">
        <v>0.72087919</v>
      </c>
    </row>
    <row r="127" spans="1:7" x14ac:dyDescent="0.25">
      <c r="A127" s="168" t="s">
        <v>20</v>
      </c>
      <c r="B127" s="169"/>
      <c r="C127" s="170"/>
      <c r="D127" s="169"/>
      <c r="E127" s="171"/>
    </row>
    <row r="128" spans="1:7" x14ac:dyDescent="0.25">
      <c r="A128" s="130" t="s">
        <v>65</v>
      </c>
      <c r="B128" s="63">
        <v>0.36639474999999999</v>
      </c>
      <c r="C128" s="131">
        <v>0.38329735999999998</v>
      </c>
      <c r="D128" s="63">
        <v>0.36639474999999999</v>
      </c>
      <c r="E128" s="122">
        <v>0.37941372000000001</v>
      </c>
      <c r="G128" s="4"/>
    </row>
    <row r="129" spans="1:7" x14ac:dyDescent="0.25">
      <c r="A129" s="172" t="s">
        <v>66</v>
      </c>
      <c r="B129" s="161">
        <v>0</v>
      </c>
      <c r="C129" s="173">
        <v>0</v>
      </c>
      <c r="D129" s="161">
        <v>0</v>
      </c>
      <c r="E129" s="162">
        <v>0</v>
      </c>
      <c r="G129" s="4"/>
    </row>
    <row r="130" spans="1:7" x14ac:dyDescent="0.25">
      <c r="A130" s="174" t="s">
        <v>91</v>
      </c>
      <c r="B130" s="175">
        <v>0.36639474999999999</v>
      </c>
      <c r="C130" s="176">
        <v>0.38329735999999998</v>
      </c>
      <c r="D130" s="175">
        <v>0.36639474999999999</v>
      </c>
      <c r="E130" s="177">
        <v>0.37941372000000001</v>
      </c>
    </row>
    <row r="131" spans="1:7" x14ac:dyDescent="0.25">
      <c r="A131" s="168" t="s">
        <v>21</v>
      </c>
      <c r="B131" s="169"/>
      <c r="C131" s="170"/>
      <c r="D131" s="169"/>
      <c r="E131" s="171"/>
    </row>
    <row r="132" spans="1:7" x14ac:dyDescent="0.25">
      <c r="A132" s="130" t="s">
        <v>65</v>
      </c>
      <c r="B132" s="63">
        <v>0.22581296000000001</v>
      </c>
      <c r="C132" s="131">
        <v>0.11691124999999999</v>
      </c>
      <c r="D132" s="63">
        <v>0.27080641999999999</v>
      </c>
      <c r="E132" s="122">
        <v>4.6944189999999997E-2</v>
      </c>
      <c r="G132" s="4"/>
    </row>
    <row r="133" spans="1:7" x14ac:dyDescent="0.25">
      <c r="A133" s="172" t="s">
        <v>66</v>
      </c>
      <c r="B133" s="161">
        <v>6.0183500000000001E-2</v>
      </c>
      <c r="C133" s="173">
        <v>0.17281246</v>
      </c>
      <c r="D133" s="161">
        <v>0</v>
      </c>
      <c r="E133" s="162">
        <v>0</v>
      </c>
      <c r="G133" s="4"/>
    </row>
    <row r="134" spans="1:7" x14ac:dyDescent="0.25">
      <c r="A134" s="174" t="s">
        <v>91</v>
      </c>
      <c r="B134" s="175">
        <v>0.28599646000000001</v>
      </c>
      <c r="C134" s="176">
        <v>0.28972369999999997</v>
      </c>
      <c r="D134" s="175">
        <v>0.27080641999999999</v>
      </c>
      <c r="E134" s="177">
        <v>4.6944189999999997E-2</v>
      </c>
    </row>
    <row r="135" spans="1:7" x14ac:dyDescent="0.25">
      <c r="A135" s="168" t="s">
        <v>22</v>
      </c>
      <c r="B135" s="169"/>
      <c r="C135" s="170"/>
      <c r="D135" s="169"/>
      <c r="E135" s="171"/>
    </row>
    <row r="136" spans="1:7" x14ac:dyDescent="0.25">
      <c r="A136" s="130" t="s">
        <v>65</v>
      </c>
      <c r="B136" s="63">
        <v>0.81558702999999999</v>
      </c>
      <c r="C136" s="131">
        <v>0.81558702999999999</v>
      </c>
      <c r="D136" s="63">
        <v>0.54033724000000005</v>
      </c>
      <c r="E136" s="122">
        <v>0.83490414999999996</v>
      </c>
      <c r="G136" s="4"/>
    </row>
    <row r="137" spans="1:7" x14ac:dyDescent="0.25">
      <c r="A137" s="172" t="s">
        <v>66</v>
      </c>
      <c r="B137" s="161">
        <v>0</v>
      </c>
      <c r="C137" s="173">
        <v>0</v>
      </c>
      <c r="D137" s="161">
        <v>0.12409652</v>
      </c>
      <c r="E137" s="162">
        <v>0</v>
      </c>
      <c r="G137" s="4"/>
    </row>
    <row r="138" spans="1:7" x14ac:dyDescent="0.25">
      <c r="A138" s="174" t="s">
        <v>91</v>
      </c>
      <c r="B138" s="175">
        <v>0.81558702999999999</v>
      </c>
      <c r="C138" s="176">
        <v>0.81558702999999999</v>
      </c>
      <c r="D138" s="175">
        <v>0.66443375999999998</v>
      </c>
      <c r="E138" s="177">
        <v>0.83490414999999996</v>
      </c>
    </row>
    <row r="139" spans="1:7" x14ac:dyDescent="0.25">
      <c r="A139" s="168" t="s">
        <v>23</v>
      </c>
      <c r="B139" s="169"/>
      <c r="C139" s="170"/>
      <c r="D139" s="169"/>
      <c r="E139" s="171"/>
    </row>
    <row r="140" spans="1:7" x14ac:dyDescent="0.25">
      <c r="A140" s="130" t="s">
        <v>65</v>
      </c>
      <c r="B140" s="63">
        <v>0.28165551999999999</v>
      </c>
      <c r="C140" s="131">
        <v>0.60573710000000003</v>
      </c>
      <c r="D140" s="63">
        <v>0.36002897</v>
      </c>
      <c r="E140" s="122">
        <v>0.45718101</v>
      </c>
      <c r="G140" s="4"/>
    </row>
    <row r="141" spans="1:7" x14ac:dyDescent="0.25">
      <c r="A141" s="172" t="s">
        <v>66</v>
      </c>
      <c r="B141" s="161">
        <v>0</v>
      </c>
      <c r="C141" s="173">
        <v>0</v>
      </c>
      <c r="D141" s="161">
        <v>0</v>
      </c>
      <c r="E141" s="162">
        <v>0</v>
      </c>
      <c r="G141" s="4"/>
    </row>
    <row r="142" spans="1:7" x14ac:dyDescent="0.25">
      <c r="A142" s="174" t="s">
        <v>91</v>
      </c>
      <c r="B142" s="175">
        <v>0.28165551999999999</v>
      </c>
      <c r="C142" s="176">
        <v>0.60573710000000003</v>
      </c>
      <c r="D142" s="175">
        <v>0.36002897</v>
      </c>
      <c r="E142" s="177">
        <v>0.45718101</v>
      </c>
    </row>
    <row r="143" spans="1:7" x14ac:dyDescent="0.25">
      <c r="A143" s="168" t="s">
        <v>24</v>
      </c>
      <c r="B143" s="169"/>
      <c r="C143" s="170"/>
      <c r="D143" s="169"/>
      <c r="E143" s="171"/>
    </row>
    <row r="144" spans="1:7" x14ac:dyDescent="0.25">
      <c r="A144" s="130" t="s">
        <v>65</v>
      </c>
      <c r="B144" s="63">
        <v>0.41750095999999998</v>
      </c>
      <c r="C144" s="131">
        <v>0.51399649999999997</v>
      </c>
      <c r="D144" s="63">
        <v>0.30099838000000001</v>
      </c>
      <c r="E144" s="122">
        <v>0.2639707</v>
      </c>
      <c r="G144" s="4"/>
    </row>
    <row r="145" spans="1:7" x14ac:dyDescent="0.25">
      <c r="A145" s="172" t="s">
        <v>66</v>
      </c>
      <c r="B145" s="161">
        <v>0.16746264999999999</v>
      </c>
      <c r="C145" s="173">
        <v>0.33289410000000003</v>
      </c>
      <c r="D145" s="161">
        <v>6.5921289999999994E-2</v>
      </c>
      <c r="E145" s="162">
        <v>0.27838313999999997</v>
      </c>
      <c r="G145" s="4"/>
    </row>
    <row r="146" spans="1:7" x14ac:dyDescent="0.25">
      <c r="A146" s="174" t="s">
        <v>91</v>
      </c>
      <c r="B146" s="175">
        <v>0.58496360999999997</v>
      </c>
      <c r="C146" s="176">
        <v>0.84689060000000005</v>
      </c>
      <c r="D146" s="175">
        <v>0.36691966999999998</v>
      </c>
      <c r="E146" s="177">
        <v>0.54235383000000004</v>
      </c>
    </row>
    <row r="147" spans="1:7" x14ac:dyDescent="0.25">
      <c r="A147" s="168" t="s">
        <v>25</v>
      </c>
      <c r="B147" s="169"/>
      <c r="C147" s="170"/>
      <c r="D147" s="169"/>
      <c r="E147" s="171"/>
    </row>
    <row r="148" spans="1:7" x14ac:dyDescent="0.25">
      <c r="A148" s="130" t="s">
        <v>65</v>
      </c>
      <c r="B148" s="63">
        <v>0.56971337</v>
      </c>
      <c r="C148" s="131">
        <v>0.58070982000000004</v>
      </c>
      <c r="D148" s="63">
        <v>0.38195832000000002</v>
      </c>
      <c r="E148" s="122">
        <v>0.50260042999999999</v>
      </c>
      <c r="G148" s="4"/>
    </row>
    <row r="149" spans="1:7" x14ac:dyDescent="0.25">
      <c r="A149" s="172" t="s">
        <v>66</v>
      </c>
      <c r="B149" s="161">
        <v>0.23849131000000001</v>
      </c>
      <c r="C149" s="173">
        <v>0.24593100000000001</v>
      </c>
      <c r="D149" s="161">
        <v>8.0961119999999998E-2</v>
      </c>
      <c r="E149" s="162">
        <v>0.22786783999999999</v>
      </c>
      <c r="G149" s="4"/>
    </row>
    <row r="150" spans="1:7" x14ac:dyDescent="0.25">
      <c r="A150" s="174" t="s">
        <v>91</v>
      </c>
      <c r="B150" s="175">
        <v>0.80820468999999995</v>
      </c>
      <c r="C150" s="176">
        <v>0.82664082999999999</v>
      </c>
      <c r="D150" s="175">
        <v>0.46291944000000002</v>
      </c>
      <c r="E150" s="177">
        <v>0.73046825999999998</v>
      </c>
    </row>
    <row r="151" spans="1:7" x14ac:dyDescent="0.25">
      <c r="A151" s="168" t="s">
        <v>94</v>
      </c>
      <c r="B151" s="169"/>
      <c r="C151" s="170"/>
      <c r="D151" s="169"/>
      <c r="E151" s="171"/>
    </row>
    <row r="152" spans="1:7" x14ac:dyDescent="0.25">
      <c r="A152" s="130" t="s">
        <v>65</v>
      </c>
      <c r="B152" s="63">
        <v>0.23271732000000001</v>
      </c>
      <c r="C152" s="131">
        <v>0.23271732000000001</v>
      </c>
      <c r="D152" s="63">
        <v>0.23271732000000001</v>
      </c>
      <c r="E152" s="122">
        <v>0.27400405</v>
      </c>
      <c r="G152" s="4"/>
    </row>
    <row r="153" spans="1:7" x14ac:dyDescent="0.25">
      <c r="A153" s="172" t="s">
        <v>66</v>
      </c>
      <c r="B153" s="161">
        <v>0</v>
      </c>
      <c r="C153" s="173">
        <v>0</v>
      </c>
      <c r="D153" s="161">
        <v>0</v>
      </c>
      <c r="E153" s="162">
        <v>0</v>
      </c>
      <c r="G153" s="4"/>
    </row>
    <row r="154" spans="1:7" x14ac:dyDescent="0.25">
      <c r="A154" s="174" t="s">
        <v>91</v>
      </c>
      <c r="B154" s="175">
        <v>0.23271732000000001</v>
      </c>
      <c r="C154" s="176">
        <v>0.23271732000000001</v>
      </c>
      <c r="D154" s="175">
        <v>0.23271732000000001</v>
      </c>
      <c r="E154" s="177">
        <v>0.27400405</v>
      </c>
    </row>
    <row r="155" spans="1:7" x14ac:dyDescent="0.25">
      <c r="A155" s="168" t="s">
        <v>26</v>
      </c>
      <c r="B155" s="169"/>
      <c r="C155" s="170"/>
      <c r="D155" s="169"/>
      <c r="E155" s="171"/>
    </row>
    <row r="156" spans="1:7" x14ac:dyDescent="0.25">
      <c r="A156" s="130" t="s">
        <v>65</v>
      </c>
      <c r="B156" s="63">
        <v>0.45910189000000001</v>
      </c>
      <c r="C156" s="131">
        <v>0.51427919</v>
      </c>
      <c r="D156" s="63">
        <v>0.41650646000000002</v>
      </c>
      <c r="E156" s="122">
        <v>0.49489293000000001</v>
      </c>
      <c r="G156" s="4"/>
    </row>
    <row r="157" spans="1:7" x14ac:dyDescent="0.25">
      <c r="A157" s="172" t="s">
        <v>66</v>
      </c>
      <c r="B157" s="161">
        <v>0.21689811000000001</v>
      </c>
      <c r="C157" s="173">
        <v>0.16172080999999999</v>
      </c>
      <c r="D157" s="161">
        <v>0.25949354000000002</v>
      </c>
      <c r="E157" s="162">
        <v>0.18110707000000001</v>
      </c>
      <c r="G157" s="4"/>
    </row>
    <row r="158" spans="1:7" x14ac:dyDescent="0.25">
      <c r="A158" s="174" t="s">
        <v>91</v>
      </c>
      <c r="B158" s="175">
        <v>0.67600000000000005</v>
      </c>
      <c r="C158" s="176">
        <v>0.67600000000000005</v>
      </c>
      <c r="D158" s="175">
        <v>0.67600000000000005</v>
      </c>
      <c r="E158" s="177">
        <v>0.67600000000000005</v>
      </c>
    </row>
    <row r="159" spans="1:7" x14ac:dyDescent="0.25">
      <c r="A159" s="168" t="s">
        <v>42</v>
      </c>
      <c r="B159" s="169"/>
      <c r="C159" s="170"/>
      <c r="D159" s="169"/>
      <c r="E159" s="171"/>
    </row>
    <row r="160" spans="1:7" x14ac:dyDescent="0.25">
      <c r="A160" s="130" t="s">
        <v>65</v>
      </c>
      <c r="B160" s="63">
        <v>0.51665068000000003</v>
      </c>
      <c r="C160" s="131">
        <v>0.21786322999999999</v>
      </c>
      <c r="D160" s="63">
        <v>0.54380357000000001</v>
      </c>
      <c r="E160" s="122">
        <v>0.23667199</v>
      </c>
      <c r="G160" s="4"/>
    </row>
    <row r="161" spans="1:14" x14ac:dyDescent="0.25">
      <c r="A161" s="172" t="s">
        <v>66</v>
      </c>
      <c r="B161" s="161">
        <v>0</v>
      </c>
      <c r="C161" s="173">
        <v>0</v>
      </c>
      <c r="D161" s="161">
        <v>0</v>
      </c>
      <c r="E161" s="162">
        <v>0</v>
      </c>
      <c r="G161" s="4"/>
    </row>
    <row r="162" spans="1:14" ht="13.5" customHeight="1" x14ac:dyDescent="0.25">
      <c r="A162" s="174" t="s">
        <v>91</v>
      </c>
      <c r="B162" s="175">
        <v>0.51665068000000003</v>
      </c>
      <c r="C162" s="176">
        <v>0.21786322999999999</v>
      </c>
      <c r="D162" s="175">
        <v>0.54380357000000001</v>
      </c>
      <c r="E162" s="177">
        <v>0.23667199</v>
      </c>
      <c r="F162" s="65"/>
    </row>
    <row r="163" spans="1:14" x14ac:dyDescent="0.25">
      <c r="B163" s="3"/>
      <c r="C163" s="3"/>
      <c r="D163" s="3"/>
      <c r="E163" s="3"/>
      <c r="F163" s="65"/>
    </row>
    <row r="164" spans="1:14" ht="13.5" customHeight="1" x14ac:dyDescent="0.25">
      <c r="A164" s="133" t="s">
        <v>34</v>
      </c>
      <c r="B164" s="134"/>
      <c r="C164" s="134"/>
      <c r="D164" s="134"/>
      <c r="E164" s="134"/>
      <c r="F164" s="132"/>
      <c r="G164" s="125"/>
      <c r="H164" s="135"/>
      <c r="I164" s="135"/>
    </row>
    <row r="165" spans="1:14" x14ac:dyDescent="0.25">
      <c r="A165" s="197" t="s">
        <v>69</v>
      </c>
      <c r="B165" s="197"/>
      <c r="C165" s="197"/>
      <c r="D165" s="197"/>
      <c r="E165" s="197"/>
      <c r="F165" s="197"/>
      <c r="G165" s="197"/>
      <c r="H165" s="197"/>
      <c r="I165" s="197"/>
    </row>
    <row r="166" spans="1:14" ht="13.5" customHeight="1" x14ac:dyDescent="0.25">
      <c r="A166" s="198" t="s">
        <v>121</v>
      </c>
      <c r="B166" s="198"/>
      <c r="C166" s="198"/>
      <c r="D166" s="198"/>
      <c r="E166" s="198"/>
      <c r="F166" s="198"/>
      <c r="G166" s="198"/>
      <c r="H166" s="198"/>
      <c r="I166" s="198"/>
    </row>
    <row r="167" spans="1:14" x14ac:dyDescent="0.25">
      <c r="A167" s="198"/>
      <c r="B167" s="198"/>
      <c r="C167" s="198"/>
      <c r="D167" s="198"/>
      <c r="E167" s="198"/>
      <c r="F167" s="198"/>
      <c r="G167" s="198"/>
      <c r="H167" s="198"/>
      <c r="I167" s="198"/>
    </row>
    <row r="168" spans="1:14" ht="13.5" customHeight="1" x14ac:dyDescent="0.25">
      <c r="A168" s="198" t="s">
        <v>46</v>
      </c>
      <c r="B168" s="198"/>
      <c r="C168" s="198"/>
      <c r="D168" s="198"/>
      <c r="E168" s="198"/>
      <c r="F168" s="198"/>
      <c r="G168" s="198"/>
      <c r="H168" s="198"/>
      <c r="I168" s="198"/>
    </row>
    <row r="169" spans="1:14" x14ac:dyDescent="0.25">
      <c r="A169" s="198"/>
      <c r="B169" s="198"/>
      <c r="C169" s="198"/>
      <c r="D169" s="198"/>
      <c r="E169" s="198"/>
      <c r="F169" s="198"/>
      <c r="G169" s="198"/>
      <c r="H169" s="198"/>
      <c r="I169" s="198"/>
    </row>
    <row r="170" spans="1:14" ht="13.5" customHeight="1" x14ac:dyDescent="0.25">
      <c r="A170" s="198" t="s">
        <v>47</v>
      </c>
      <c r="B170" s="198"/>
      <c r="C170" s="198"/>
      <c r="D170" s="198"/>
      <c r="E170" s="198"/>
      <c r="F170" s="198"/>
      <c r="G170" s="198"/>
      <c r="H170" s="198"/>
      <c r="I170" s="198"/>
    </row>
    <row r="171" spans="1:14" ht="13.5" customHeight="1" x14ac:dyDescent="0.25">
      <c r="A171" s="196" t="s">
        <v>48</v>
      </c>
      <c r="B171" s="196"/>
      <c r="C171" s="196"/>
      <c r="D171" s="196"/>
      <c r="E171" s="196"/>
      <c r="F171" s="196"/>
      <c r="G171" s="196"/>
      <c r="H171" s="196"/>
      <c r="I171" s="196"/>
    </row>
    <row r="172" spans="1:14" x14ac:dyDescent="0.25">
      <c r="A172" s="142"/>
      <c r="B172" s="142"/>
      <c r="C172" s="142"/>
      <c r="D172" s="142"/>
      <c r="E172" s="142"/>
      <c r="F172" s="136"/>
      <c r="G172" s="136"/>
      <c r="H172" s="136"/>
      <c r="I172" s="136"/>
      <c r="J172" s="74"/>
      <c r="K172" s="23"/>
      <c r="L172" s="23"/>
      <c r="M172" s="23"/>
      <c r="N172" s="23"/>
    </row>
    <row r="173" spans="1:14" x14ac:dyDescent="0.25">
      <c r="A173" s="25" t="s">
        <v>72</v>
      </c>
      <c r="B173" s="143"/>
      <c r="C173" s="143"/>
      <c r="D173" s="143"/>
      <c r="E173" s="143"/>
      <c r="F173" s="143"/>
      <c r="G173" s="143"/>
      <c r="H173" s="143"/>
      <c r="I173" s="143"/>
      <c r="J173" s="74"/>
      <c r="K173" s="23"/>
      <c r="L173" s="23"/>
      <c r="M173" s="23"/>
      <c r="N173" s="23"/>
    </row>
    <row r="174" spans="1:14" ht="13.5" customHeight="1" x14ac:dyDescent="0.25">
      <c r="A174" s="142"/>
      <c r="B174" s="142"/>
      <c r="C174" s="142"/>
      <c r="D174" s="142"/>
      <c r="E174" s="142"/>
      <c r="F174" s="142"/>
      <c r="G174" s="142"/>
      <c r="H174" s="142"/>
      <c r="I174" s="142"/>
      <c r="J174" s="2"/>
      <c r="K174" s="2"/>
    </row>
    <row r="175" spans="1:14" x14ac:dyDescent="0.25">
      <c r="A175" s="198" t="s">
        <v>123</v>
      </c>
      <c r="B175" s="198"/>
      <c r="C175" s="198"/>
      <c r="D175" s="198"/>
      <c r="E175" s="198"/>
      <c r="F175" s="198"/>
      <c r="G175" s="198"/>
      <c r="H175" s="198"/>
      <c r="I175" s="198"/>
      <c r="J175" s="2"/>
      <c r="K175" s="2"/>
    </row>
    <row r="176" spans="1:14" x14ac:dyDescent="0.25">
      <c r="A176" s="198"/>
      <c r="B176" s="198"/>
      <c r="C176" s="198"/>
      <c r="D176" s="198"/>
      <c r="E176" s="198"/>
      <c r="F176" s="198"/>
      <c r="G176" s="198"/>
      <c r="H176" s="198"/>
      <c r="I176" s="198"/>
      <c r="J176" s="2"/>
      <c r="K176" s="2"/>
    </row>
    <row r="177" spans="1:11" x14ac:dyDescent="0.25">
      <c r="A177" s="153"/>
      <c r="B177" s="153"/>
      <c r="C177" s="153"/>
      <c r="D177" s="153"/>
      <c r="E177" s="153"/>
      <c r="F177" s="153"/>
      <c r="G177" s="153"/>
      <c r="H177" s="153"/>
      <c r="I177" s="153"/>
      <c r="J177" s="2"/>
      <c r="K177" s="2"/>
    </row>
    <row r="178" spans="1:11" x14ac:dyDescent="0.25">
      <c r="A178" s="196" t="s">
        <v>127</v>
      </c>
      <c r="B178" s="196"/>
      <c r="C178" s="196"/>
      <c r="D178" s="196"/>
      <c r="E178" s="196"/>
      <c r="F178" s="196"/>
      <c r="G178" s="196"/>
      <c r="H178" s="196"/>
      <c r="I178" s="196"/>
      <c r="J178" s="2"/>
      <c r="K178" s="2"/>
    </row>
    <row r="179" spans="1:11" x14ac:dyDescent="0.25">
      <c r="A179" s="196"/>
      <c r="B179" s="196"/>
      <c r="C179" s="196"/>
      <c r="D179" s="196"/>
      <c r="E179" s="196"/>
      <c r="F179" s="196"/>
      <c r="G179" s="196"/>
      <c r="H179" s="196"/>
      <c r="I179" s="196"/>
      <c r="J179" s="2"/>
      <c r="K179" s="2"/>
    </row>
    <row r="180" spans="1:11" x14ac:dyDescent="0.25">
      <c r="A180" s="196"/>
      <c r="B180" s="196"/>
      <c r="C180" s="196"/>
      <c r="D180" s="196"/>
      <c r="E180" s="196"/>
      <c r="F180" s="196"/>
      <c r="G180" s="196"/>
      <c r="H180" s="196"/>
      <c r="I180" s="196"/>
      <c r="J180" s="2"/>
      <c r="K180" s="2"/>
    </row>
    <row r="181" spans="1:11" x14ac:dyDescent="0.25">
      <c r="A181" s="196" t="s">
        <v>81</v>
      </c>
      <c r="B181" s="196"/>
      <c r="C181" s="196"/>
      <c r="D181" s="196"/>
      <c r="E181" s="196"/>
      <c r="F181" s="196"/>
      <c r="G181" s="196"/>
      <c r="H181" s="196"/>
      <c r="I181" s="196"/>
      <c r="J181" s="2"/>
      <c r="K181" s="2"/>
    </row>
    <row r="182" spans="1:11" x14ac:dyDescent="0.25">
      <c r="A182" s="196"/>
      <c r="B182" s="196"/>
      <c r="C182" s="196"/>
      <c r="D182" s="196"/>
      <c r="E182" s="196"/>
      <c r="F182" s="196"/>
      <c r="G182" s="196"/>
      <c r="H182" s="196"/>
      <c r="I182" s="196"/>
      <c r="J182" s="2"/>
      <c r="K182" s="2"/>
    </row>
    <row r="183" spans="1:11" x14ac:dyDescent="0.25">
      <c r="A183" s="125"/>
      <c r="B183" s="125"/>
      <c r="C183" s="125"/>
      <c r="D183" s="125"/>
      <c r="E183" s="125"/>
      <c r="F183" s="125"/>
      <c r="G183" s="125"/>
      <c r="H183" s="125"/>
      <c r="I183" s="125"/>
      <c r="J183" s="2"/>
      <c r="K183" s="2"/>
    </row>
    <row r="184" spans="1:11" x14ac:dyDescent="0.25">
      <c r="A184" s="199" t="s">
        <v>122</v>
      </c>
      <c r="B184" s="199"/>
      <c r="C184" s="199"/>
      <c r="D184" s="199"/>
      <c r="E184" s="199"/>
      <c r="F184" s="199"/>
      <c r="G184" s="199"/>
      <c r="H184" s="199"/>
      <c r="I184" s="199"/>
      <c r="J184" s="2"/>
      <c r="K184" s="2"/>
    </row>
    <row r="185" spans="1:11" x14ac:dyDescent="0.25">
      <c r="A185" s="125"/>
      <c r="B185" s="125"/>
      <c r="C185" s="125"/>
      <c r="D185" s="125"/>
      <c r="E185" s="125"/>
      <c r="F185" s="125"/>
      <c r="G185" s="125"/>
      <c r="H185" s="125"/>
      <c r="I185" s="125"/>
      <c r="J185" s="2"/>
      <c r="K185" s="2"/>
    </row>
    <row r="186" spans="1:11" ht="13.5" customHeight="1" x14ac:dyDescent="0.25">
      <c r="A186" s="158" t="s">
        <v>100</v>
      </c>
      <c r="B186" s="142"/>
      <c r="C186" s="142"/>
      <c r="D186" s="142"/>
      <c r="E186" s="142"/>
      <c r="F186" s="142"/>
      <c r="G186" s="142"/>
      <c r="H186" s="142"/>
      <c r="I186" s="142"/>
      <c r="J186" s="2"/>
      <c r="K186" s="2"/>
    </row>
    <row r="187" spans="1:11" x14ac:dyDescent="0.25">
      <c r="A187" s="142"/>
      <c r="B187" s="142"/>
      <c r="C187" s="142"/>
      <c r="D187" s="142"/>
      <c r="E187" s="142"/>
      <c r="F187" s="142"/>
      <c r="G187" s="142"/>
      <c r="H187" s="142"/>
      <c r="I187" s="142"/>
    </row>
  </sheetData>
  <mergeCells count="15">
    <mergeCell ref="A178:I180"/>
    <mergeCell ref="A181:I182"/>
    <mergeCell ref="A184:I184"/>
    <mergeCell ref="A165:I165"/>
    <mergeCell ref="A166:I167"/>
    <mergeCell ref="A168:I169"/>
    <mergeCell ref="A170:I170"/>
    <mergeCell ref="A171:I171"/>
    <mergeCell ref="A175:I176"/>
    <mergeCell ref="A1:E2"/>
    <mergeCell ref="A3:E4"/>
    <mergeCell ref="B5:B6"/>
    <mergeCell ref="C5:C6"/>
    <mergeCell ref="D5:D6"/>
    <mergeCell ref="E5:E6"/>
  </mergeCells>
  <hyperlinks>
    <hyperlink ref="A173" r:id="rId1" xr:uid="{C4D380D6-5E7D-4D23-8BE3-700CDA2E6517}"/>
  </hyperlinks>
  <pageMargins left="0.70866141732283472" right="0.70866141732283472" top="0.74803149606299213" bottom="0.74803149606299213" header="0.31496062992125984" footer="0.31496062992125984"/>
  <pageSetup paperSize="9" scale="30" orientation="portrait" r:id="rId2"/>
  <headerFooter>
    <oddHeader>&amp;COECD Affordable Housing Database, http://oe.cd/ahd</oddHeader>
    <oddFooter>&amp;C_x000D_&amp;1#&amp;"Calibri"&amp;10&amp;K0000FF Restricted Use - À usage restreint&amp;R&amp;F - &amp;A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ELS/SPD</DisplayName>
        <AccountId>219</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CTP/COM</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DisplayName>
        <AccountId>4856</AccountId>
        <AccountType/>
      </UserInfo>
      <UserInfo>
        <DisplayName>MENDÍA Santiago, ELS/SPD</DisplayName>
        <AccountId>5416</AccountId>
        <AccountType/>
      </UserInfo>
      <UserInfo>
        <DisplayName>ELKURD Marie-Aurélie, ELS/SPD</DisplayName>
        <AccountId>5937</AccountId>
        <AccountType/>
      </UserInfo>
      <UserInfo>
        <DisplayName>KANG Harman, ELS/SPD</DisplayName>
        <AccountId>6481</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2.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3.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5.xml><?xml version="1.0" encoding="utf-8"?>
<?mso-contentType ?>
<FormTemplates xmlns="http://schemas.microsoft.com/sharepoint/v3/contenttype/forms">
  <Display>OECDListFormCollapsible</Display>
  <Edit>OECDListFormCollapsible</Edit>
  <New>OECDListFormCollapsible</New>
</FormTemplates>
</file>

<file path=customXml/itemProps1.xml><?xml version="1.0" encoding="utf-8"?>
<ds:datastoreItem xmlns:ds="http://schemas.openxmlformats.org/officeDocument/2006/customXml" ds:itemID="{C8E818CA-B232-4CC6-8F48-7B63C354974A}">
  <ds:schemaRefs>
    <ds:schemaRef ds:uri="c9f238dd-bb73-4aef-a7a5-d644ad823e52"/>
    <ds:schemaRef ds:uri="ca82dde9-3436-4d3d-bddd-d31447390034"/>
    <ds:schemaRef ds:uri="http://purl.org/dc/dcmitype/"/>
    <ds:schemaRef ds:uri="http://www.w3.org/XML/1998/namespace"/>
    <ds:schemaRef ds:uri="http://schemas.microsoft.com/office/2006/documentManagement/types"/>
    <ds:schemaRef ds:uri="54c4cd27-f286-408f-9ce0-33c1e0f3ab39"/>
    <ds:schemaRef ds:uri="http://schemas.microsoft.com/office/infopath/2007/PartnerControls"/>
    <ds:schemaRef ds:uri="22a5b7d0-1699-458f-b8e2-4d8247229549"/>
    <ds:schemaRef ds:uri="http://purl.org/dc/terms/"/>
    <ds:schemaRef ds:uri="http://schemas.microsoft.com/office/2006/metadata/properties"/>
    <ds:schemaRef ds:uri="http://purl.org/dc/elements/1.1/"/>
    <ds:schemaRef ds:uri="http://schemas.openxmlformats.org/package/2006/metadata/core-properties"/>
    <ds:schemaRef ds:uri="http://schemas.microsoft.com/sharepoint/v4"/>
    <ds:schemaRef ds:uri="c5805097-db0a-42f9-a837-be9035f1f571"/>
  </ds:schemaRefs>
</ds:datastoreItem>
</file>

<file path=customXml/itemProps2.xml><?xml version="1.0" encoding="utf-8"?>
<ds:datastoreItem xmlns:ds="http://schemas.openxmlformats.org/officeDocument/2006/customXml" ds:itemID="{A54E24FF-CA51-46D7-B372-842C6B37275C}">
  <ds:schemaRefs>
    <ds:schemaRef ds:uri="http://www.oecd.org/eshare/projectsentre/CtFieldPriority/"/>
    <ds:schemaRef ds:uri="http://schemas.microsoft.com/2003/10/Serialization/Arrays"/>
  </ds:schemaRefs>
</ds:datastoreItem>
</file>

<file path=customXml/itemProps3.xml><?xml version="1.0" encoding="utf-8"?>
<ds:datastoreItem xmlns:ds="http://schemas.openxmlformats.org/officeDocument/2006/customXml" ds:itemID="{54417321-1BC8-4BBF-B446-222F6EB07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4CD82BC-DA41-4615-AEF4-5C86AB6A772C}">
  <ds:schemaRefs>
    <ds:schemaRef ds:uri="Microsoft.SharePoint.Taxonomy.ContentTypeSync"/>
  </ds:schemaRefs>
</ds:datastoreItem>
</file>

<file path=customXml/itemProps5.xml><?xml version="1.0" encoding="utf-8"?>
<ds:datastoreItem xmlns:ds="http://schemas.openxmlformats.org/officeDocument/2006/customXml" ds:itemID="{6BED9C37-B9AB-4692-9705-A213D4F185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PH3.3.1</vt:lpstr>
      <vt:lpstr>PH3.3.2</vt:lpstr>
      <vt:lpstr>PH3.3.3</vt:lpstr>
      <vt:lpstr>PH3.3.4</vt:lpstr>
      <vt:lpstr>PH3.3.A1</vt:lpstr>
      <vt:lpstr>PH3.3.A2</vt:lpstr>
      <vt:lpstr>PH3.3.A3</vt:lpstr>
      <vt:lpstr>PH3.3.A4</vt:lpstr>
      <vt:lpstr>PH3.3.1!Print_Area</vt:lpstr>
      <vt:lpstr>PH3.3.2!Print_Area</vt:lpstr>
      <vt:lpstr>PH3.3.3!Print_Area</vt:lpstr>
      <vt:lpstr>PH3.3.4!Print_Area</vt:lpstr>
      <vt:lpstr>PH3.3.A1!Print_Area</vt:lpstr>
      <vt:lpstr>PH3.3.A2!Print_Area</vt:lpstr>
      <vt:lpstr>PH3.3.A4!Print_Area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RATTENHUBER Pia</dc:creator>
  <cp:lastModifiedBy>LLOYD Alexandre, ELS</cp:lastModifiedBy>
  <cp:lastPrinted>2019-10-18T16:32:34Z</cp:lastPrinted>
  <dcterms:created xsi:type="dcterms:W3CDTF">2016-06-28T16:19:39Z</dcterms:created>
  <dcterms:modified xsi:type="dcterms:W3CDTF">2025-10-06T08:15:16Z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2024-06-26T08:51:00Z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e8a468a4-f689-4968-838f-3d76daee5562</vt:lpwstr>
  </property>
  <property fmtid="{D5CDD505-2E9C-101B-9397-08002B2CF9AE}" pid="19" name="MSIP_Label_0e5510b0-e729-4ef0-a3dd-4ba0dfe56c99_ContentBits">
    <vt:lpwstr>2</vt:lpwstr>
  </property>
</Properties>
</file>
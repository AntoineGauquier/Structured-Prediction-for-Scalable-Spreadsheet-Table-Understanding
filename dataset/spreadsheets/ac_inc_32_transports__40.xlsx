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2"/>
    <sheet name="fig 1 - trafic fluvial" sheetId="2" state="visible" r:id="rId3"/>
    <sheet name="Pass_aerien_Lignes_nat" sheetId="3" state="visible" r:id="rId4"/>
    <sheet name="Pass_aerien_Lignes_internat" sheetId="4" state="visible" r:id="rId5"/>
    <sheet name="Pass_aerien_Transit" sheetId="5" state="visible" r:id="rId6"/>
    <sheet name="Pass_aerien_Ensemble" sheetId="6" state="visible" r:id="rId7"/>
    <sheet name="Pass_aerien_Low_cost" sheetId="7" state="visible" r:id="rId8"/>
    <sheet name="Pass_aerien_Part_low_cost" sheetId="8" state="visible" r:id="rId9"/>
    <sheet name="Immat_Véhicules_particuliers" sheetId="9" state="visible" r:id="rId10"/>
    <sheet name="Immat_Véhicules_util_légers" sheetId="10" state="visible" r:id="rId11"/>
    <sheet name="Immat_Véhicules_indust_moteur" sheetId="11" state="visible" r:id="rId12"/>
    <sheet name="Immat_Transp_commun" sheetId="12" state="visible" r:id="rId13"/>
    <sheet name="Immat_Ensemble" sheetId="13" state="visible" r:id="rId1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<sst xmlns="http://schemas.openxmlformats.org/spreadsheetml/2006/main" count="304" uniqueCount="66">
  <si>
    <t xml:space="preserve">Titre : Transport</t>
  </si>
  <si>
    <t xml:space="preserve">Immatriculations de véhicules neufs : données mises à jour en mars 2022.</t>
  </si>
  <si>
    <t xml:space="preserve">Trafic passager aéroports : données mises à jour en mai 2022.</t>
  </si>
  <si>
    <t xml:space="preserve">Trafic fluvial</t>
  </si>
  <si>
    <t xml:space="preserve">Chargement et déchargement dans les ports fluviaux du Grand Est</t>
  </si>
  <si>
    <t xml:space="preserve">2020
 (en tonnes)</t>
  </si>
  <si>
    <t xml:space="preserve">2021
 (en tonnes)</t>
  </si>
  <si>
    <t xml:space="preserve">Répartition en 2021 
(en %)</t>
  </si>
  <si>
    <t xml:space="preserve">Evolution 2021/2020
 (en %)</t>
  </si>
  <si>
    <t xml:space="preserve">Evolution 2021/2019
 (en %)</t>
  </si>
  <si>
    <t xml:space="preserve">Minéraux bruts, matériaux de construction</t>
  </si>
  <si>
    <t xml:space="preserve">Produits Agricoles + Denrées alimentaires, fourrages</t>
  </si>
  <si>
    <t xml:space="preserve">Produits pétroliers</t>
  </si>
  <si>
    <t xml:space="preserve">Engrais + Produits chimiques</t>
  </si>
  <si>
    <t xml:space="preserve">Produits métallurgiques</t>
  </si>
  <si>
    <t xml:space="preserve">Machines, véhicules, transactions</t>
  </si>
  <si>
    <t xml:space="preserve">Minerais, déchets pour la métallurgie</t>
  </si>
  <si>
    <t xml:space="preserve">Combustibles minéraux</t>
  </si>
  <si>
    <t xml:space="preserve">Total </t>
  </si>
  <si>
    <t xml:space="preserve">Source : Voies Navigables de France.</t>
  </si>
  <si>
    <t xml:space="preserve">Passagers aériens  - Lignes nationales</t>
  </si>
  <si>
    <t xml:space="preserve">série :brute</t>
  </si>
  <si>
    <t xml:space="preserve">fréquence :annuelle</t>
  </si>
  <si>
    <t xml:space="preserve">unité : en nombre</t>
  </si>
  <si>
    <t xml:space="preserve">source : Union des aéroports français.</t>
  </si>
  <si>
    <t xml:space="preserve">note : </t>
  </si>
  <si>
    <t xml:space="preserve">periode</t>
  </si>
  <si>
    <t xml:space="preserve">Grand Est</t>
  </si>
  <si>
    <t xml:space="preserve">France entière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</si>
  <si>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</si>
  <si>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</si>
  <si>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</si>
  <si>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</si>
  <si>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</si>
  <si>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</si>
  <si>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</si>
  <si>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</si>
  <si>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</si>
  <si>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</si>
  <si>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</si>
  <si>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</si>
  <si>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</si>
  <si>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</si>
  <si>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</si>
  <si>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Passagers aériens  - Lignes internationales</t>
  </si>
  <si>
    <t xml:space="preserve">Passagers aériens  - En transit</t>
  </si>
  <si>
    <t xml:space="preserve">Passagers aériens  - Ensemble</t>
  </si>
  <si>
    <t xml:space="preserve">Passagers aériens  - Lignes à bas coût (low cost)</t>
  </si>
  <si>
    <t xml:space="preserve">Passagers aériens  - Part des lignes à bas coût (%)</t>
  </si>
  <si>
    <t xml:space="preserve">unité : en pourcentage</t>
  </si>
  <si>
    <t xml:space="preserve">Immatriculation des véhicules neufs - Véhicules particuliers</t>
  </si>
  <si>
    <t xml:space="preserve">source : SDES, Rsvero.</t>
  </si>
  <si>
    <t xml:space="preserve">Ardennes</t>
  </si>
  <si>
    <t xml:space="preserve">Aube</t>
  </si>
  <si>
    <t xml:space="preserve">Marne</t>
  </si>
  <si>
    <t xml:space="preserve">Haute-Marne</t>
  </si>
  <si>
    <t xml:space="preserve">Meurthe-et-Moselle</t>
  </si>
  <si>
    <t xml:space="preserve">Meuse</t>
  </si>
  <si>
    <t xml:space="preserve">Moselle</t>
  </si>
  <si>
    <t xml:space="preserve">Bas-Rhin</t>
  </si>
  <si>
    <t xml:space="preserve">Haut-Rhin</t>
  </si>
  <si>
    <t xml:space="preserve">Vosges</t>
  </si>
  <si>
    <t xml:space="preserve">Immatriculation des véhicules neufs - Véhicules utilitaires légers</t>
  </si>
  <si>
    <t xml:space="preserve">Immatriculation des véhicules neufs - Véhicules industriels à moteur</t>
  </si>
  <si>
    <t xml:space="preserve">Immatriculation des véhicules neufs - Transports en commun</t>
  </si>
  <si>
    <t xml:space="preserve">Immatriculation des véhicules neufs - Ensemble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</si>
</sst>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\ %"/>
    <numFmt numFmtId="167" formatCode="#,##0"/>
    <numFmt numFmtId="168" formatCode="0"/>
    <numFmt numFmtId="169" formatCode="#,###.00"/>
    <numFmt numFmtId="170" formatCode="#,##0.#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2"/>
      <color rgb="FFFFFFFF"/>
      <name val="Calibri"/>
      <family val="0"/>
      <charset val="1"/>
    </font>
    <font>
      <sz val="11"/>
      <color rgb="FF0000CD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b val="true"/>
      <sz val="12"/>
      <name val="Arial"/>
      <family val="2"/>
    </font>
    <font>
      <b val="true"/>
      <sz val="10"/>
      <color rgb="FF000000"/>
      <name val="Arial"/>
      <family val="2"/>
    </font>
    <font>
      <b val="true"/>
      <sz val="10"/>
      <name val="Arial"/>
      <family val="2"/>
    </font>
    <font>
      <b val="true"/>
      <sz val="11"/>
      <name val="Arial"/>
      <family val="2"/>
    </font>
    <font>
      <i val="true"/>
      <sz val="10"/>
      <color rgb="FF000000"/>
      <name val="Arial"/>
      <family val="2"/>
    </font>
    <font>
      <i val="true"/>
      <sz val="10"/>
      <name val="Arial"/>
      <family val="2"/>
    </font>
    <font>
      <sz val="10"/>
      <color rgb="FFC9211E"/>
      <name val="Arial"/>
      <family val="2"/>
    </font>
    <font>
      <sz val="10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F81BD"/>
      </top>
      <bottom style="thin">
        <color rgb="FF4F81B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true" applyProtection="false">
      <alignment horizontal="right" vertical="bottom" textRotation="0" wrapText="true" indent="0" shrinkToFit="tru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CD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100.71"/>
    <col collapsed="false" customWidth="true" hidden="false" outlineLevel="0" max="2" min="2" style="0" width="3.71"/>
  </cols>
  <sheetData>
    <row r="1" customFormat="false" ht="4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1"/>
      <c r="B2" s="1"/>
      <c r="C2" s="1"/>
      <c r="D2" s="1"/>
      <c r="E2" s="1"/>
    </row>
    <row r="3" customFormat="false" ht="15" hidden="false" customHeight="false" outlineLevel="0" collapsed="false">
      <c r="A3" s="1" t="s">
        <v>1</v>
      </c>
      <c r="B3" s="1"/>
      <c r="C3" s="1"/>
      <c r="D3" s="1"/>
      <c r="E3" s="1"/>
    </row>
    <row r="4" customFormat="false" ht="15" hidden="false" customHeight="false" outlineLevel="0" collapsed="false">
      <c r="A4" s="1" t="s">
        <v>2</v>
      </c>
      <c r="B4" s="1"/>
      <c r="C4" s="1"/>
      <c r="D4" s="1"/>
      <c r="E4" s="1"/>
    </row>
    <row r="5" customFormat="false" ht="15" hidden="false" customHeight="false" outlineLevel="0" collapsed="false">
      <c r="A5" s="1"/>
      <c r="B5" s="1"/>
      <c r="C5" s="1"/>
      <c r="D5" s="1"/>
      <c r="E5" s="1"/>
    </row>
    <row r="6" customFormat="false" ht="15" hidden="false" customHeight="false" outlineLevel="0" collapsed="false">
      <c r="A6" s="2" t="s">
        <v>3</v>
      </c>
      <c r="B6" s="3"/>
      <c r="C6" s="3"/>
      <c r="D6" s="3"/>
      <c r="E6" s="3"/>
    </row>
    <row r="7" customFormat="false" ht="15" hidden="false" customHeight="false" outlineLevel="0" collapsed="false">
      <c r="A7" s="4" t="str">
        <f aca="false">HYPERLINK("#Pass_aerien_Lignes_nat!A1", "Passagers aériens  - Lignes nationales")</f>
        <v>Passagers aériens  - Lignes nationales</v>
      </c>
    </row>
    <row r="8" customFormat="false" ht="15" hidden="false" customHeight="false" outlineLevel="0" collapsed="false">
      <c r="A8" s="4" t="str">
        <f aca="false">HYPERLINK("#Pass_aerien_Lignes_internat!A1", "Passagers aériens  - Lignes internationales")</f>
        <v>Passagers aériens  - Lignes internationales</v>
      </c>
    </row>
    <row r="9" customFormat="false" ht="15" hidden="false" customHeight="false" outlineLevel="0" collapsed="false">
      <c r="A9" s="4" t="str">
        <f aca="false">HYPERLINK("#Pass_aerien_Transit!A1", "Passagers aériens  - En transit")</f>
        <v>Passagers aériens  - En transit</v>
      </c>
    </row>
    <row r="10" customFormat="false" ht="15" hidden="false" customHeight="false" outlineLevel="0" collapsed="false">
      <c r="A10" s="4" t="str">
        <f aca="false">HYPERLINK("#Pass_aerien_Ensemble!A1", "Passagers aériens  - Ensemble")</f>
        <v>Passagers aériens  - Ensemble</v>
      </c>
    </row>
    <row r="11" customFormat="false" ht="15" hidden="false" customHeight="false" outlineLevel="0" collapsed="false">
      <c r="A11" s="4" t="str">
        <f aca="false">HYPERLINK("#Pass_aerien_Low_cost!A1", "Passagers aériens  - Lignes à bas coût (low cost)")</f>
        <v>Passagers aériens  - Lignes à bas coût (low cost)</v>
      </c>
    </row>
    <row r="12" customFormat="false" ht="15" hidden="false" customHeight="false" outlineLevel="0" collapsed="false">
      <c r="A12" s="4" t="str">
        <f aca="false">HYPERLINK("#Pass_aerien_Part_low_cost!A1", "Passagers aériens  - Part des lignes à bas coût (%)")</f>
        <v>Passagers aériens  - Part des lignes à bas coût (%)</v>
      </c>
    </row>
    <row r="13" customFormat="false" ht="15" hidden="false" customHeight="false" outlineLevel="0" collapsed="false">
      <c r="A13" s="4" t="str">
        <f aca="false">HYPERLINK("#Immat_Véhicules_particuliers!A1", "Immatriculation des véhicules neufs - Véhicules particuliers")</f>
        <v>Immatriculation des véhicules neufs - Véhicules particuliers</v>
      </c>
    </row>
    <row r="14" customFormat="false" ht="15" hidden="false" customHeight="false" outlineLevel="0" collapsed="false">
      <c r="A14" s="4" t="str">
        <f aca="false">HYPERLINK("#Immat_Véhicules_util_légers!A1", "Immatriculation des véhicules neufs - Véhicules utilitaires légers")</f>
        <v>Immatriculation des véhicules neufs - Véhicules utilitaires légers</v>
      </c>
    </row>
    <row r="15" customFormat="false" ht="15" hidden="false" customHeight="false" outlineLevel="0" collapsed="false">
      <c r="A15" s="4" t="str">
        <f aca="false">HYPERLINK("#Immat_Véhicules_indust_moteur!A1", "Immatriculation des véhicules neufs - Véhicules industriels à moteur")</f>
        <v>Immatriculation des véhicules neufs - Véhicules industriels à moteur</v>
      </c>
    </row>
    <row r="16" customFormat="false" ht="15" hidden="false" customHeight="false" outlineLevel="0" collapsed="false">
      <c r="A16" s="4" t="str">
        <f aca="false">HYPERLINK("#Immat_Transp_commun!A1", "Immatriculation des véhicules neufs - Transports en commun")</f>
        <v>Immatriculation des véhicules neufs - Transports en commun</v>
      </c>
    </row>
    <row r="17" customFormat="false" ht="15" hidden="false" customHeight="false" outlineLevel="0" collapsed="false">
      <c r="A17" s="4" t="str">
        <f aca="false">HYPERLINK("#Immat_Ensemble!A1", "Immatriculation des véhicules neufs - Ensemble")</f>
        <v>Immatriculation des véhicules neufs - Ensemble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01171875" defaultRowHeight="12.75" zeroHeight="false" outlineLevelRow="0" outlineLevelCol="0"/>
  <cols>
    <col collapsed="false" customWidth="true" hidden="false" outlineLevel="0" max="1" min="1" style="5" width="47.09"/>
    <col collapsed="false" customWidth="true" hidden="false" outlineLevel="0" max="3" min="2" style="6" width="15.06"/>
    <col collapsed="false" customWidth="true" hidden="false" outlineLevel="0" max="4" min="4" style="6" width="14.18"/>
    <col collapsed="false" customWidth="true" hidden="false" outlineLevel="0" max="6" min="5" style="6" width="13.74"/>
    <col collapsed="false" customWidth="false" hidden="false" outlineLevel="0" max="64" min="7" style="5" width="10.99"/>
    <col collapsed="false" customWidth="false" hidden="false" outlineLevel="0" max="195" min="65" style="7" width="10.99"/>
    <col collapsed="false" customWidth="true" hidden="false" outlineLevel="0" max="196" min="196" style="7" width="21.57"/>
    <col collapsed="false" customWidth="true" hidden="false" outlineLevel="0" max="200" min="197" style="7" width="12.42"/>
    <col collapsed="false" customWidth="true" hidden="false" outlineLevel="0" max="201" min="201" style="7" width="14.15"/>
    <col collapsed="false" customWidth="false" hidden="false" outlineLevel="0" max="205" min="202" style="7" width="10.99"/>
    <col collapsed="false" customWidth="true" hidden="false" outlineLevel="0" max="206" min="206" style="7" width="16.42"/>
    <col collapsed="false" customWidth="true" hidden="false" outlineLevel="0" max="207" min="207" style="7" width="10.85"/>
    <col collapsed="false" customWidth="true" hidden="false" outlineLevel="0" max="208" min="208" style="7" width="11.14"/>
    <col collapsed="false" customWidth="true" hidden="false" outlineLevel="0" max="209" min="209" style="7" width="6.57"/>
    <col collapsed="false" customWidth="true" hidden="false" outlineLevel="0" max="211" min="210" style="7" width="20.14"/>
    <col collapsed="false" customWidth="true" hidden="false" outlineLevel="0" max="212" min="212" style="7" width="11.57"/>
    <col collapsed="false" customWidth="true" hidden="false" outlineLevel="0" max="214" min="213" style="7" width="10.29"/>
    <col collapsed="false" customWidth="false" hidden="false" outlineLevel="0" max="215" min="215" style="7" width="10.99"/>
    <col collapsed="false" customWidth="true" hidden="false" outlineLevel="0" max="216" min="216" style="7" width="13.14"/>
    <col collapsed="false" customWidth="false" hidden="false" outlineLevel="0" max="217" min="217" style="7" width="10.99"/>
    <col collapsed="false" customWidth="true" hidden="false" outlineLevel="0" max="218" min="218" style="7" width="11.99"/>
    <col collapsed="false" customWidth="false" hidden="false" outlineLevel="0" max="451" min="219" style="7" width="10.99"/>
    <col collapsed="false" customWidth="true" hidden="false" outlineLevel="0" max="452" min="452" style="7" width="21.57"/>
    <col collapsed="false" customWidth="true" hidden="false" outlineLevel="0" max="456" min="453" style="7" width="12.42"/>
    <col collapsed="false" customWidth="true" hidden="false" outlineLevel="0" max="457" min="457" style="7" width="14.15"/>
    <col collapsed="false" customWidth="false" hidden="false" outlineLevel="0" max="461" min="458" style="7" width="10.99"/>
    <col collapsed="false" customWidth="true" hidden="false" outlineLevel="0" max="462" min="462" style="7" width="16.42"/>
    <col collapsed="false" customWidth="true" hidden="false" outlineLevel="0" max="463" min="463" style="7" width="10.85"/>
    <col collapsed="false" customWidth="true" hidden="false" outlineLevel="0" max="464" min="464" style="7" width="11.14"/>
    <col collapsed="false" customWidth="true" hidden="false" outlineLevel="0" max="465" min="465" style="7" width="6.57"/>
    <col collapsed="false" customWidth="true" hidden="false" outlineLevel="0" max="467" min="466" style="7" width="20.14"/>
    <col collapsed="false" customWidth="true" hidden="false" outlineLevel="0" max="468" min="468" style="7" width="11.57"/>
    <col collapsed="false" customWidth="true" hidden="false" outlineLevel="0" max="470" min="469" style="7" width="10.29"/>
    <col collapsed="false" customWidth="false" hidden="false" outlineLevel="0" max="471" min="471" style="7" width="10.99"/>
    <col collapsed="false" customWidth="true" hidden="false" outlineLevel="0" max="472" min="472" style="7" width="13.14"/>
    <col collapsed="false" customWidth="false" hidden="false" outlineLevel="0" max="473" min="473" style="7" width="10.99"/>
    <col collapsed="false" customWidth="true" hidden="false" outlineLevel="0" max="474" min="474" style="7" width="11.99"/>
    <col collapsed="false" customWidth="false" hidden="false" outlineLevel="0" max="707" min="475" style="7" width="10.99"/>
    <col collapsed="false" customWidth="true" hidden="false" outlineLevel="0" max="708" min="708" style="7" width="21.57"/>
    <col collapsed="false" customWidth="true" hidden="false" outlineLevel="0" max="712" min="709" style="7" width="12.42"/>
    <col collapsed="false" customWidth="true" hidden="false" outlineLevel="0" max="713" min="713" style="7" width="14.15"/>
    <col collapsed="false" customWidth="false" hidden="false" outlineLevel="0" max="717" min="714" style="7" width="10.99"/>
    <col collapsed="false" customWidth="true" hidden="false" outlineLevel="0" max="718" min="718" style="7" width="16.42"/>
    <col collapsed="false" customWidth="true" hidden="false" outlineLevel="0" max="719" min="719" style="7" width="10.85"/>
    <col collapsed="false" customWidth="true" hidden="false" outlineLevel="0" max="720" min="720" style="7" width="11.14"/>
    <col collapsed="false" customWidth="true" hidden="false" outlineLevel="0" max="721" min="721" style="7" width="6.57"/>
    <col collapsed="false" customWidth="true" hidden="false" outlineLevel="0" max="723" min="722" style="7" width="20.14"/>
    <col collapsed="false" customWidth="true" hidden="false" outlineLevel="0" max="724" min="724" style="7" width="11.57"/>
    <col collapsed="false" customWidth="true" hidden="false" outlineLevel="0" max="726" min="725" style="7" width="10.29"/>
    <col collapsed="false" customWidth="false" hidden="false" outlineLevel="0" max="727" min="727" style="7" width="10.99"/>
    <col collapsed="false" customWidth="true" hidden="false" outlineLevel="0" max="728" min="728" style="7" width="13.14"/>
    <col collapsed="false" customWidth="false" hidden="false" outlineLevel="0" max="729" min="729" style="7" width="10.99"/>
    <col collapsed="false" customWidth="true" hidden="false" outlineLevel="0" max="730" min="730" style="7" width="11.99"/>
    <col collapsed="false" customWidth="false" hidden="false" outlineLevel="0" max="963" min="731" style="7" width="10.99"/>
    <col collapsed="false" customWidth="true" hidden="false" outlineLevel="0" max="964" min="964" style="7" width="21.57"/>
    <col collapsed="false" customWidth="true" hidden="false" outlineLevel="0" max="968" min="965" style="7" width="12.42"/>
    <col collapsed="false" customWidth="true" hidden="false" outlineLevel="0" max="969" min="969" style="7" width="14.15"/>
    <col collapsed="false" customWidth="false" hidden="false" outlineLevel="0" max="973" min="970" style="7" width="10.99"/>
    <col collapsed="false" customWidth="true" hidden="false" outlineLevel="0" max="974" min="974" style="7" width="16.42"/>
    <col collapsed="false" customWidth="true" hidden="false" outlineLevel="0" max="975" min="975" style="7" width="10.85"/>
    <col collapsed="false" customWidth="true" hidden="false" outlineLevel="0" max="976" min="976" style="7" width="11.14"/>
    <col collapsed="false" customWidth="true" hidden="false" outlineLevel="0" max="977" min="977" style="7" width="6.57"/>
    <col collapsed="false" customWidth="true" hidden="false" outlineLevel="0" max="979" min="978" style="7" width="20.14"/>
    <col collapsed="false" customWidth="true" hidden="false" outlineLevel="0" max="980" min="980" style="7" width="11.57"/>
    <col collapsed="false" customWidth="true" hidden="false" outlineLevel="0" max="982" min="981" style="7" width="10.29"/>
    <col collapsed="false" customWidth="false" hidden="false" outlineLevel="0" max="983" min="983" style="7" width="10.99"/>
    <col collapsed="false" customWidth="true" hidden="false" outlineLevel="0" max="984" min="984" style="7" width="13.14"/>
    <col collapsed="false" customWidth="false" hidden="false" outlineLevel="0" max="985" min="985" style="7" width="10.99"/>
    <col collapsed="false" customWidth="true" hidden="false" outlineLevel="0" max="986" min="986" style="7" width="11.99"/>
    <col collapsed="false" customWidth="false" hidden="false" outlineLevel="0" max="1024" min="987" style="7" width="10.99"/>
  </cols>
  <sheetData>
    <row r="1" customFormat="false" ht="22.15" hidden="false" customHeight="true" outlineLevel="0" collapsed="false">
      <c r="A1" s="8" t="s">
        <v>4</v>
      </c>
    </row>
    <row r="3" s="11" customFormat="true" ht="35.05" hidden="false" customHeight="false" outlineLevel="0" collapsed="false">
      <c r="A3" s="5"/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="11" customFormat="true" ht="20.4" hidden="false" customHeight="true" outlineLevel="0" collapsed="false">
      <c r="A4" s="12" t="s">
        <v>10</v>
      </c>
      <c r="B4" s="13" t="n">
        <v>6478109</v>
      </c>
      <c r="C4" s="13" t="n">
        <v>6510676</v>
      </c>
      <c r="D4" s="14" t="n">
        <v>34.1771807856661</v>
      </c>
      <c r="E4" s="14" t="n">
        <v>0.502723865868882</v>
      </c>
      <c r="F4" s="14" t="n">
        <v>-12.3203393268032</v>
      </c>
      <c r="G4" s="10"/>
      <c r="H4" s="15"/>
      <c r="I4" s="15"/>
      <c r="J4" s="15"/>
      <c r="K4" s="10"/>
      <c r="L4" s="14"/>
      <c r="M4" s="14"/>
      <c r="N4" s="14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</row>
    <row r="5" s="17" customFormat="true" ht="20.4" hidden="false" customHeight="true" outlineLevel="0" collapsed="false">
      <c r="A5" s="12" t="s">
        <v>11</v>
      </c>
      <c r="B5" s="13" t="n">
        <v>5903240</v>
      </c>
      <c r="C5" s="13" t="n">
        <v>5569187.88</v>
      </c>
      <c r="D5" s="14" t="n">
        <v>29.2349275258207</v>
      </c>
      <c r="E5" s="14" t="n">
        <v>-5.65879279853098</v>
      </c>
      <c r="F5" s="14" t="n">
        <v>-17.3513081619248</v>
      </c>
      <c r="G5" s="16"/>
      <c r="H5" s="15"/>
      <c r="I5" s="15"/>
      <c r="J5" s="15"/>
      <c r="K5" s="16"/>
      <c r="L5" s="14"/>
      <c r="M5" s="14"/>
      <c r="N5" s="14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</row>
    <row r="6" s="17" customFormat="true" ht="20.4" hidden="false" customHeight="true" outlineLevel="0" collapsed="false">
      <c r="A6" s="12" t="s">
        <v>12</v>
      </c>
      <c r="B6" s="13" t="n">
        <v>2261905</v>
      </c>
      <c r="C6" s="13" t="n">
        <v>2492880</v>
      </c>
      <c r="D6" s="14" t="n">
        <v>13.0861388950965</v>
      </c>
      <c r="E6" s="14" t="n">
        <v>10.2115252408921</v>
      </c>
      <c r="F6" s="14" t="n">
        <v>4.40568818512987</v>
      </c>
      <c r="G6" s="16"/>
      <c r="H6" s="15"/>
      <c r="I6" s="15"/>
      <c r="J6" s="15"/>
      <c r="K6" s="16"/>
      <c r="L6" s="14"/>
      <c r="M6" s="14"/>
      <c r="N6" s="14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</row>
    <row r="7" s="17" customFormat="true" ht="20.4" hidden="false" customHeight="true" outlineLevel="0" collapsed="false">
      <c r="A7" s="12" t="s">
        <v>13</v>
      </c>
      <c r="B7" s="13" t="n">
        <v>1396209</v>
      </c>
      <c r="C7" s="13" t="n">
        <v>1382225</v>
      </c>
      <c r="D7" s="14" t="n">
        <v>7.25586002305556</v>
      </c>
      <c r="E7" s="14" t="n">
        <v>-1.00156924930293</v>
      </c>
      <c r="F7" s="14" t="n">
        <v>-22.0239226864986</v>
      </c>
      <c r="G7" s="16"/>
      <c r="H7" s="15"/>
      <c r="I7" s="15"/>
      <c r="J7" s="15"/>
      <c r="K7" s="16"/>
      <c r="L7" s="14"/>
      <c r="M7" s="14"/>
      <c r="N7" s="14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</row>
    <row r="8" customFormat="false" ht="20.4" hidden="false" customHeight="true" outlineLevel="0" collapsed="false">
      <c r="A8" s="12" t="s">
        <v>14</v>
      </c>
      <c r="B8" s="13" t="n">
        <v>853551</v>
      </c>
      <c r="C8" s="13" t="n">
        <v>1144671</v>
      </c>
      <c r="D8" s="14" t="n">
        <v>6.00884266197691</v>
      </c>
      <c r="E8" s="14" t="n">
        <v>34.1069250695038</v>
      </c>
      <c r="F8" s="14" t="n">
        <v>-10.5805420454741</v>
      </c>
      <c r="H8" s="15"/>
      <c r="I8" s="15"/>
      <c r="J8" s="15"/>
      <c r="L8" s="14"/>
      <c r="M8" s="14"/>
      <c r="N8" s="14"/>
    </row>
    <row r="9" s="17" customFormat="true" ht="20.4" hidden="false" customHeight="true" outlineLevel="0" collapsed="false">
      <c r="A9" s="12" t="s">
        <v>15</v>
      </c>
      <c r="B9" s="13" t="n">
        <v>983654</v>
      </c>
      <c r="C9" s="13" t="n">
        <v>923752</v>
      </c>
      <c r="D9" s="14" t="n">
        <v>4.84914916747825</v>
      </c>
      <c r="E9" s="14" t="n">
        <v>-6.08974293806562</v>
      </c>
      <c r="F9" s="14" t="n">
        <v>-5.70581912501314</v>
      </c>
      <c r="G9" s="16"/>
      <c r="H9" s="15"/>
      <c r="I9" s="15"/>
      <c r="J9" s="15"/>
      <c r="K9" s="16"/>
      <c r="L9" s="14"/>
      <c r="M9" s="14"/>
      <c r="N9" s="14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</row>
    <row r="10" customFormat="false" ht="20.4" hidden="false" customHeight="true" outlineLevel="0" collapsed="false">
      <c r="A10" s="12" t="s">
        <v>16</v>
      </c>
      <c r="B10" s="13" t="n">
        <v>584973</v>
      </c>
      <c r="C10" s="13" t="n">
        <v>608797</v>
      </c>
      <c r="D10" s="14" t="n">
        <v>3.1958225429696</v>
      </c>
      <c r="E10" s="14" t="n">
        <v>4.0726666017064</v>
      </c>
      <c r="F10" s="14" t="n">
        <v>3.43927075634393</v>
      </c>
      <c r="H10" s="15"/>
      <c r="I10" s="15"/>
      <c r="J10" s="15"/>
      <c r="L10" s="14"/>
      <c r="M10" s="14"/>
      <c r="N10" s="14"/>
    </row>
    <row r="11" customFormat="false" ht="20.4" hidden="false" customHeight="true" outlineLevel="0" collapsed="false">
      <c r="A11" s="12" t="s">
        <v>17</v>
      </c>
      <c r="B11" s="13" t="n">
        <v>277505</v>
      </c>
      <c r="C11" s="13" t="n">
        <v>417586</v>
      </c>
      <c r="D11" s="14" t="n">
        <v>2.19207839793643</v>
      </c>
      <c r="E11" s="14" t="n">
        <v>50.4787301129709</v>
      </c>
      <c r="F11" s="14" t="n">
        <v>9.87630607471103</v>
      </c>
      <c r="H11" s="15"/>
      <c r="I11" s="15"/>
      <c r="J11" s="15"/>
      <c r="L11" s="14"/>
      <c r="M11" s="14"/>
      <c r="N11" s="14"/>
    </row>
    <row r="12" customFormat="false" ht="20.4" hidden="false" customHeight="true" outlineLevel="0" collapsed="false">
      <c r="A12" s="18" t="s">
        <v>18</v>
      </c>
      <c r="B12" s="19" t="n">
        <v>18739146</v>
      </c>
      <c r="C12" s="19" t="n">
        <v>19049774.88</v>
      </c>
      <c r="D12" s="20" t="n">
        <v>100</v>
      </c>
      <c r="E12" s="20" t="n">
        <v>1.65764693865985</v>
      </c>
      <c r="F12" s="20" t="n">
        <v>-11.612612013199</v>
      </c>
      <c r="H12" s="21"/>
      <c r="I12" s="21"/>
      <c r="J12" s="21"/>
      <c r="L12" s="14"/>
      <c r="M12" s="14"/>
      <c r="N12" s="14"/>
    </row>
    <row r="14" customFormat="false" ht="12.75" hidden="false" customHeight="false" outlineLevel="0" collapsed="false">
      <c r="A14" s="22" t="s">
        <v>19</v>
      </c>
      <c r="B14" s="23"/>
      <c r="D14" s="24"/>
      <c r="E14" s="24"/>
      <c r="F14" s="24"/>
    </row>
    <row r="15" customFormat="false" ht="12.75" hidden="false" customHeight="false" outlineLevel="0" collapsed="false">
      <c r="D15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26" t="s">
        <v>20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5" hidden="false" customHeight="false" outlineLevel="0" collapsed="false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15" hidden="false" customHeight="false" outlineLevel="0" collapsed="false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</row>
    <row r="4" customFormat="false" ht="15" hidden="false" customHeight="false" outlineLevel="0" collapsed="false">
      <c r="A4" s="26" t="s">
        <v>23</v>
      </c>
      <c r="B4" s="26"/>
      <c r="C4" s="26"/>
      <c r="D4" s="26"/>
      <c r="E4" s="26"/>
      <c r="F4" s="26"/>
      <c r="G4" s="26"/>
      <c r="H4" s="26"/>
      <c r="I4" s="26"/>
      <c r="J4" s="26"/>
    </row>
    <row r="5" customFormat="false" ht="15" hidden="false" customHeight="false" outlineLevel="0" collapsed="false">
      <c r="A5" s="26" t="s">
        <v>24</v>
      </c>
      <c r="B5" s="26"/>
      <c r="C5" s="26"/>
      <c r="D5" s="26"/>
      <c r="E5" s="26"/>
      <c r="F5" s="26"/>
      <c r="G5" s="26"/>
      <c r="H5" s="26"/>
      <c r="I5" s="26"/>
      <c r="J5" s="26"/>
    </row>
    <row r="6" customFormat="false" ht="15" hidden="false" customHeight="true" outlineLevel="0" collapsed="false">
      <c r="A6" s="27" t="s">
        <v>25</v>
      </c>
      <c r="B6" s="27"/>
      <c r="C6" s="27"/>
      <c r="D6" s="27"/>
      <c r="E6" s="27"/>
      <c r="F6" s="27"/>
      <c r="G6" s="27"/>
      <c r="H6" s="27"/>
      <c r="I6" s="27"/>
      <c r="J6" s="27"/>
    </row>
    <row r="9" customFormat="false" ht="15" hidden="false" customHeight="false" outlineLevel="0" collapsed="false">
      <c r="A9" s="28" t="s">
        <v>26</v>
      </c>
      <c r="B9" s="28" t="s">
        <v>27</v>
      </c>
      <c r="C9" s="28" t="s">
        <v>28</v>
      </c>
    </row>
    <row r="10" customFormat="false" ht="15" hidden="false" customHeight="false" outlineLevel="0" collapsed="false">
      <c r="A10" s="29" t="s">
        <v>29</v>
      </c>
      <c r="B10" s="29" t="n">
        <v>2133488</v>
      </c>
      <c r="C10" s="29" t="n">
        <v>50809020</v>
      </c>
    </row>
    <row r="11" customFormat="false" ht="15" hidden="false" customHeight="false" outlineLevel="0" collapsed="false">
      <c r="A11" s="29" t="s">
        <v>30</v>
      </c>
      <c r="B11" s="29" t="n">
        <v>1657358</v>
      </c>
      <c r="C11" s="29" t="n">
        <v>49986410</v>
      </c>
    </row>
    <row r="12" customFormat="false" ht="15" hidden="false" customHeight="false" outlineLevel="0" collapsed="false">
      <c r="A12" s="29" t="s">
        <v>31</v>
      </c>
      <c r="B12" s="29" t="n">
        <v>1539590</v>
      </c>
      <c r="C12" s="29" t="n">
        <v>48664398</v>
      </c>
    </row>
    <row r="13" customFormat="false" ht="15" hidden="false" customHeight="false" outlineLevel="0" collapsed="false">
      <c r="A13" s="29" t="s">
        <v>32</v>
      </c>
      <c r="B13" s="29" t="n">
        <v>1489304</v>
      </c>
      <c r="C13" s="29" t="n">
        <v>48563086</v>
      </c>
    </row>
    <row r="14" customFormat="false" ht="15" hidden="false" customHeight="false" outlineLevel="0" collapsed="false">
      <c r="A14" s="29" t="s">
        <v>33</v>
      </c>
      <c r="B14" s="29" t="n">
        <v>1609209</v>
      </c>
      <c r="C14" s="29" t="n">
        <v>51420016</v>
      </c>
    </row>
    <row r="15" customFormat="false" ht="15" hidden="false" customHeight="false" outlineLevel="0" collapsed="false">
      <c r="A15" s="29" t="s">
        <v>34</v>
      </c>
      <c r="B15" s="29" t="n">
        <v>1672035</v>
      </c>
      <c r="C15" s="29" t="n">
        <v>52350146</v>
      </c>
    </row>
    <row r="16" customFormat="false" ht="15" hidden="false" customHeight="false" outlineLevel="0" collapsed="false">
      <c r="A16" s="0" t="s">
        <v>35</v>
      </c>
      <c r="B16" s="0" t="n">
        <v>1667742</v>
      </c>
      <c r="C16" s="0" t="n">
        <v>53716475</v>
      </c>
    </row>
    <row r="17" customFormat="false" ht="15" hidden="false" customHeight="false" outlineLevel="0" collapsed="false">
      <c r="A17" s="0" t="s">
        <v>36</v>
      </c>
      <c r="B17" s="0" t="n">
        <v>1680516</v>
      </c>
      <c r="C17" s="0" t="n">
        <v>52535835</v>
      </c>
    </row>
    <row r="18" customFormat="false" ht="15" hidden="false" customHeight="false" outlineLevel="0" collapsed="false">
      <c r="A18" s="0" t="s">
        <v>37</v>
      </c>
      <c r="B18" s="0" t="n">
        <v>1670818</v>
      </c>
      <c r="C18" s="0" t="n">
        <v>53030517</v>
      </c>
    </row>
    <row r="19" customFormat="false" ht="15" hidden="false" customHeight="false" outlineLevel="0" collapsed="false">
      <c r="A19" s="0" t="s">
        <v>38</v>
      </c>
      <c r="B19" s="0" t="n">
        <v>1390461</v>
      </c>
      <c r="C19" s="0" t="n">
        <v>54295010</v>
      </c>
    </row>
    <row r="20" customFormat="false" ht="15" hidden="false" customHeight="false" outlineLevel="0" collapsed="false">
      <c r="A20" s="0" t="s">
        <v>39</v>
      </c>
      <c r="B20" s="0" t="n">
        <v>1728977</v>
      </c>
      <c r="C20" s="0" t="n">
        <v>56499478</v>
      </c>
    </row>
    <row r="21" customFormat="false" ht="15" hidden="false" customHeight="false" outlineLevel="0" collapsed="false">
      <c r="A21" s="0" t="s">
        <v>40</v>
      </c>
      <c r="B21" s="0" t="n">
        <v>1792268</v>
      </c>
      <c r="C21" s="0" t="n">
        <v>58080198</v>
      </c>
    </row>
    <row r="22" customFormat="false" ht="15" hidden="false" customHeight="false" outlineLevel="0" collapsed="false">
      <c r="A22" s="0" t="s">
        <v>41</v>
      </c>
      <c r="B22" s="0" t="n">
        <v>1844426</v>
      </c>
      <c r="C22" s="0" t="n">
        <v>59292205</v>
      </c>
    </row>
    <row r="23" customFormat="false" ht="15" hidden="false" customHeight="false" outlineLevel="0" collapsed="false">
      <c r="A23" s="0" t="s">
        <v>42</v>
      </c>
      <c r="B23" s="0" t="n">
        <v>731167</v>
      </c>
      <c r="C23" s="0" t="n">
        <v>26267594</v>
      </c>
    </row>
    <row r="24" customFormat="false" ht="15" hidden="false" customHeight="false" outlineLevel="0" collapsed="false">
      <c r="A24" s="0" t="s">
        <v>43</v>
      </c>
      <c r="B24" s="0" t="n">
        <v>923911</v>
      </c>
      <c r="C24" s="0" t="n">
        <v>35005180</v>
      </c>
    </row>
  </sheetData>
  <mergeCells count="1"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3" min="3" style="0" width="13.75"/>
  </cols>
  <sheetData>
    <row r="1" customFormat="false" ht="15" hidden="false" customHeight="false" outlineLevel="0" collapsed="false">
      <c r="A1" s="26" t="s">
        <v>44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5" hidden="false" customHeight="false" outlineLevel="0" collapsed="false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15" hidden="false" customHeight="false" outlineLevel="0" collapsed="false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</row>
    <row r="4" customFormat="false" ht="15" hidden="false" customHeight="false" outlineLevel="0" collapsed="false">
      <c r="A4" s="26" t="s">
        <v>23</v>
      </c>
      <c r="B4" s="26"/>
      <c r="C4" s="26"/>
      <c r="D4" s="26"/>
      <c r="E4" s="26"/>
      <c r="F4" s="26"/>
      <c r="G4" s="26"/>
      <c r="H4" s="26"/>
      <c r="I4" s="26"/>
      <c r="J4" s="26"/>
    </row>
    <row r="5" customFormat="false" ht="15" hidden="false" customHeight="false" outlineLevel="0" collapsed="false">
      <c r="A5" s="26" t="s">
        <v>24</v>
      </c>
      <c r="B5" s="26"/>
      <c r="C5" s="26"/>
      <c r="D5" s="26"/>
      <c r="E5" s="26"/>
      <c r="F5" s="26"/>
      <c r="G5" s="26"/>
      <c r="H5" s="26"/>
      <c r="I5" s="26"/>
      <c r="J5" s="26"/>
    </row>
    <row r="6" customFormat="false" ht="15" hidden="false" customHeight="true" outlineLevel="0" collapsed="false">
      <c r="A6" s="27" t="s">
        <v>25</v>
      </c>
      <c r="B6" s="27"/>
      <c r="C6" s="27"/>
      <c r="D6" s="27"/>
      <c r="E6" s="27"/>
      <c r="F6" s="27"/>
      <c r="G6" s="27"/>
      <c r="H6" s="27"/>
      <c r="I6" s="27"/>
      <c r="J6" s="27"/>
    </row>
    <row r="9" customFormat="false" ht="15" hidden="false" customHeight="false" outlineLevel="0" collapsed="false">
      <c r="A9" s="28" t="s">
        <v>26</v>
      </c>
      <c r="B9" s="28" t="s">
        <v>27</v>
      </c>
      <c r="C9" s="28" t="s">
        <v>28</v>
      </c>
    </row>
    <row r="10" customFormat="false" ht="15" hidden="false" customHeight="false" outlineLevel="0" collapsed="false">
      <c r="A10" s="29" t="s">
        <v>29</v>
      </c>
      <c r="B10" s="29" t="n">
        <v>4145113</v>
      </c>
      <c r="C10" s="29" t="n">
        <v>99708229</v>
      </c>
    </row>
    <row r="11" customFormat="false" ht="15" hidden="false" customHeight="false" outlineLevel="0" collapsed="false">
      <c r="A11" s="29" t="s">
        <v>30</v>
      </c>
      <c r="B11" s="29" t="n">
        <v>4156339</v>
      </c>
      <c r="C11" s="29" t="n">
        <v>102793374</v>
      </c>
    </row>
    <row r="12" customFormat="false" ht="15" hidden="false" customHeight="false" outlineLevel="0" collapsed="false">
      <c r="A12" s="29" t="s">
        <v>31</v>
      </c>
      <c r="B12" s="29" t="n">
        <v>3611130</v>
      </c>
      <c r="C12" s="29" t="n">
        <v>97901240</v>
      </c>
    </row>
    <row r="13" customFormat="false" ht="15" hidden="false" customHeight="false" outlineLevel="0" collapsed="false">
      <c r="A13" s="29" t="s">
        <v>32</v>
      </c>
      <c r="B13" s="29" t="n">
        <v>3903427</v>
      </c>
      <c r="C13" s="29" t="n">
        <v>100082025</v>
      </c>
    </row>
    <row r="14" customFormat="false" ht="15" hidden="false" customHeight="false" outlineLevel="0" collapsed="false">
      <c r="A14" s="29" t="s">
        <v>33</v>
      </c>
      <c r="B14" s="29" t="n">
        <v>4792237</v>
      </c>
      <c r="C14" s="29" t="n">
        <v>107223105</v>
      </c>
    </row>
    <row r="15" customFormat="false" ht="15" hidden="false" customHeight="false" outlineLevel="0" collapsed="false">
      <c r="A15" s="29" t="s">
        <v>34</v>
      </c>
      <c r="B15" s="29" t="n">
        <v>5165721</v>
      </c>
      <c r="C15" s="29" t="n">
        <v>110745465</v>
      </c>
    </row>
    <row r="16" customFormat="false" ht="15" hidden="false" customHeight="false" outlineLevel="0" collapsed="false">
      <c r="A16" s="0" t="s">
        <v>35</v>
      </c>
      <c r="B16" s="0" t="n">
        <v>5707798</v>
      </c>
      <c r="C16" s="0" t="n">
        <v>113512232</v>
      </c>
    </row>
    <row r="17" customFormat="false" ht="15" hidden="false" customHeight="false" outlineLevel="0" collapsed="false">
      <c r="A17" s="0" t="s">
        <v>36</v>
      </c>
      <c r="B17" s="0" t="n">
        <v>6326113</v>
      </c>
      <c r="C17" s="0" t="n">
        <v>118215780</v>
      </c>
    </row>
    <row r="18" customFormat="false" ht="15" hidden="false" customHeight="false" outlineLevel="0" collapsed="false">
      <c r="A18" s="0" t="s">
        <v>37</v>
      </c>
      <c r="B18" s="0" t="n">
        <v>6884598</v>
      </c>
      <c r="C18" s="0" t="n">
        <v>123016753</v>
      </c>
    </row>
    <row r="19" customFormat="false" ht="15" hidden="false" customHeight="false" outlineLevel="0" collapsed="false">
      <c r="A19" s="0" t="s">
        <v>38</v>
      </c>
      <c r="B19" s="0" t="n">
        <v>7330152</v>
      </c>
      <c r="C19" s="0" t="n">
        <v>127136682</v>
      </c>
    </row>
    <row r="20" customFormat="false" ht="15" hidden="false" customHeight="false" outlineLevel="0" collapsed="false">
      <c r="A20" s="0" t="s">
        <v>39</v>
      </c>
      <c r="B20" s="0" t="n">
        <v>7685449</v>
      </c>
      <c r="C20" s="0" t="n">
        <v>135498399</v>
      </c>
    </row>
    <row r="21" customFormat="false" ht="15" hidden="false" customHeight="false" outlineLevel="0" collapsed="false">
      <c r="A21" s="0" t="s">
        <v>40</v>
      </c>
      <c r="B21" s="0" t="n">
        <v>8382903</v>
      </c>
      <c r="C21" s="0" t="n">
        <v>143120906</v>
      </c>
    </row>
    <row r="22" customFormat="false" ht="15" hidden="false" customHeight="false" outlineLevel="0" collapsed="false">
      <c r="A22" s="0" t="s">
        <v>41</v>
      </c>
      <c r="B22" s="0" t="n">
        <v>8855226</v>
      </c>
      <c r="C22" s="0" t="n">
        <v>149650660</v>
      </c>
    </row>
    <row r="23" customFormat="false" ht="15" hidden="false" customHeight="false" outlineLevel="0" collapsed="false">
      <c r="A23" s="0" t="s">
        <v>42</v>
      </c>
      <c r="B23" s="0" t="n">
        <v>2456746</v>
      </c>
      <c r="C23" s="0" t="n">
        <v>41071154</v>
      </c>
    </row>
    <row r="24" customFormat="false" ht="15" hidden="false" customHeight="false" outlineLevel="0" collapsed="false">
      <c r="A24" s="0" t="s">
        <v>43</v>
      </c>
      <c r="B24" s="0" t="n">
        <v>3394021</v>
      </c>
      <c r="C24" s="0" t="n">
        <v>52849552</v>
      </c>
    </row>
  </sheetData>
  <mergeCells count="1"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26" t="s">
        <v>45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5" hidden="false" customHeight="false" outlineLevel="0" collapsed="false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15" hidden="false" customHeight="false" outlineLevel="0" collapsed="false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</row>
    <row r="4" customFormat="false" ht="15" hidden="false" customHeight="false" outlineLevel="0" collapsed="false">
      <c r="A4" s="26" t="s">
        <v>23</v>
      </c>
      <c r="B4" s="26"/>
      <c r="C4" s="26"/>
      <c r="D4" s="26"/>
      <c r="E4" s="26"/>
      <c r="F4" s="26"/>
      <c r="G4" s="26"/>
      <c r="H4" s="26"/>
      <c r="I4" s="26"/>
      <c r="J4" s="26"/>
    </row>
    <row r="5" customFormat="false" ht="15" hidden="false" customHeight="false" outlineLevel="0" collapsed="false">
      <c r="A5" s="26" t="s">
        <v>24</v>
      </c>
      <c r="B5" s="26"/>
      <c r="C5" s="26"/>
      <c r="D5" s="26"/>
      <c r="E5" s="26"/>
      <c r="F5" s="26"/>
      <c r="G5" s="26"/>
      <c r="H5" s="26"/>
      <c r="I5" s="26"/>
      <c r="J5" s="26"/>
    </row>
    <row r="6" customFormat="false" ht="15" hidden="false" customHeight="true" outlineLevel="0" collapsed="false">
      <c r="A6" s="27" t="s">
        <v>25</v>
      </c>
      <c r="B6" s="27"/>
      <c r="C6" s="27"/>
      <c r="D6" s="27"/>
      <c r="E6" s="27"/>
      <c r="F6" s="27"/>
      <c r="G6" s="27"/>
      <c r="H6" s="27"/>
      <c r="I6" s="27"/>
      <c r="J6" s="27"/>
    </row>
    <row r="9" customFormat="false" ht="15" hidden="false" customHeight="false" outlineLevel="0" collapsed="false">
      <c r="A9" s="28" t="s">
        <v>26</v>
      </c>
      <c r="B9" s="28" t="s">
        <v>27</v>
      </c>
      <c r="C9" s="28" t="s">
        <v>28</v>
      </c>
    </row>
    <row r="10" customFormat="false" ht="15" hidden="false" customHeight="false" outlineLevel="0" collapsed="false">
      <c r="A10" s="29" t="s">
        <v>29</v>
      </c>
      <c r="B10" s="29" t="n">
        <v>86097</v>
      </c>
      <c r="C10" s="29" t="n">
        <v>1173194</v>
      </c>
    </row>
    <row r="11" customFormat="false" ht="15" hidden="false" customHeight="false" outlineLevel="0" collapsed="false">
      <c r="A11" s="29" t="s">
        <v>30</v>
      </c>
      <c r="B11" s="29" t="n">
        <v>76287</v>
      </c>
      <c r="C11" s="29" t="n">
        <v>1165724</v>
      </c>
    </row>
    <row r="12" customFormat="false" ht="15" hidden="false" customHeight="false" outlineLevel="0" collapsed="false">
      <c r="A12" s="29" t="s">
        <v>31</v>
      </c>
      <c r="B12" s="29" t="n">
        <v>83541</v>
      </c>
      <c r="C12" s="29" t="n">
        <v>1104764</v>
      </c>
    </row>
    <row r="13" customFormat="false" ht="15" hidden="false" customHeight="false" outlineLevel="0" collapsed="false">
      <c r="A13" s="29" t="s">
        <v>32</v>
      </c>
      <c r="B13" s="29" t="n">
        <v>77167</v>
      </c>
      <c r="C13" s="29" t="n">
        <v>1191909</v>
      </c>
    </row>
    <row r="14" customFormat="false" ht="15" hidden="false" customHeight="false" outlineLevel="0" collapsed="false">
      <c r="A14" s="29" t="s">
        <v>33</v>
      </c>
      <c r="B14" s="29" t="n">
        <v>63220</v>
      </c>
      <c r="C14" s="29" t="n">
        <v>1049405</v>
      </c>
    </row>
    <row r="15" customFormat="false" ht="15" hidden="false" customHeight="false" outlineLevel="0" collapsed="false">
      <c r="A15" s="29" t="s">
        <v>34</v>
      </c>
      <c r="B15" s="29" t="n">
        <v>53243</v>
      </c>
      <c r="C15" s="29" t="n">
        <v>962997</v>
      </c>
    </row>
    <row r="16" customFormat="false" ht="15" hidden="false" customHeight="false" outlineLevel="0" collapsed="false">
      <c r="A16" s="0" t="s">
        <v>35</v>
      </c>
      <c r="B16" s="0" t="n">
        <v>34383</v>
      </c>
      <c r="C16" s="0" t="n">
        <v>716184</v>
      </c>
    </row>
    <row r="17" customFormat="false" ht="15" hidden="false" customHeight="false" outlineLevel="0" collapsed="false">
      <c r="A17" s="0" t="s">
        <v>36</v>
      </c>
      <c r="B17" s="0" t="n">
        <v>27912</v>
      </c>
      <c r="C17" s="0" t="n">
        <v>669127</v>
      </c>
    </row>
    <row r="18" customFormat="false" ht="15" hidden="false" customHeight="false" outlineLevel="0" collapsed="false">
      <c r="A18" s="0" t="s">
        <v>37</v>
      </c>
      <c r="B18" s="0" t="n">
        <v>39097</v>
      </c>
      <c r="C18" s="0" t="n">
        <v>670696</v>
      </c>
    </row>
    <row r="19" customFormat="false" ht="15" hidden="false" customHeight="false" outlineLevel="0" collapsed="false">
      <c r="A19" s="0" t="s">
        <v>38</v>
      </c>
      <c r="B19" s="0" t="n">
        <v>29566</v>
      </c>
      <c r="C19" s="0" t="n">
        <v>730853</v>
      </c>
    </row>
    <row r="20" customFormat="false" ht="15" hidden="false" customHeight="false" outlineLevel="0" collapsed="false">
      <c r="A20" s="0" t="s">
        <v>39</v>
      </c>
      <c r="B20" s="0" t="n">
        <v>36246</v>
      </c>
      <c r="C20" s="0" t="n">
        <v>726004</v>
      </c>
    </row>
    <row r="21" customFormat="false" ht="15" hidden="false" customHeight="false" outlineLevel="0" collapsed="false">
      <c r="A21" s="0" t="s">
        <v>40</v>
      </c>
      <c r="B21" s="0" t="n">
        <v>50088</v>
      </c>
      <c r="C21" s="0" t="n">
        <v>742556</v>
      </c>
    </row>
    <row r="22" customFormat="false" ht="15" hidden="false" customHeight="false" outlineLevel="0" collapsed="false">
      <c r="A22" s="0" t="s">
        <v>41</v>
      </c>
      <c r="B22" s="0" t="n">
        <v>46736</v>
      </c>
      <c r="C22" s="0" t="n">
        <v>548761</v>
      </c>
    </row>
    <row r="23" customFormat="false" ht="15" hidden="false" customHeight="false" outlineLevel="0" collapsed="false">
      <c r="A23" s="0" t="s">
        <v>42</v>
      </c>
      <c r="B23" s="0" t="n">
        <v>3105</v>
      </c>
      <c r="C23" s="0" t="n">
        <v>168218</v>
      </c>
    </row>
    <row r="24" customFormat="false" ht="15" hidden="false" customHeight="false" outlineLevel="0" collapsed="false">
      <c r="A24" s="0" t="s">
        <v>43</v>
      </c>
      <c r="B24" s="0" t="n">
        <v>4491</v>
      </c>
      <c r="C24" s="0" t="n">
        <v>232197</v>
      </c>
    </row>
  </sheetData>
  <mergeCells count="1"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3" min="3" style="0" width="13.34"/>
  </cols>
  <sheetData>
    <row r="1" customFormat="false" ht="15" hidden="false" customHeight="false" outlineLevel="0" collapsed="false">
      <c r="A1" s="26" t="s">
        <v>46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5" hidden="false" customHeight="false" outlineLevel="0" collapsed="false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15" hidden="false" customHeight="false" outlineLevel="0" collapsed="false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</row>
    <row r="4" customFormat="false" ht="15" hidden="false" customHeight="false" outlineLevel="0" collapsed="false">
      <c r="A4" s="26" t="s">
        <v>23</v>
      </c>
      <c r="B4" s="26"/>
      <c r="C4" s="26"/>
      <c r="D4" s="26"/>
      <c r="E4" s="26"/>
      <c r="F4" s="26"/>
      <c r="G4" s="26"/>
      <c r="H4" s="26"/>
      <c r="I4" s="26"/>
      <c r="J4" s="26"/>
    </row>
    <row r="5" customFormat="false" ht="15" hidden="false" customHeight="false" outlineLevel="0" collapsed="false">
      <c r="A5" s="26" t="s">
        <v>24</v>
      </c>
      <c r="B5" s="26"/>
      <c r="C5" s="26"/>
      <c r="D5" s="26"/>
      <c r="E5" s="26"/>
      <c r="F5" s="26"/>
      <c r="G5" s="26"/>
      <c r="H5" s="26"/>
      <c r="I5" s="26"/>
      <c r="J5" s="26"/>
    </row>
    <row r="6" customFormat="false" ht="15" hidden="false" customHeight="true" outlineLevel="0" collapsed="false">
      <c r="A6" s="27" t="s">
        <v>25</v>
      </c>
      <c r="B6" s="27"/>
      <c r="C6" s="27"/>
      <c r="D6" s="27"/>
      <c r="E6" s="27"/>
      <c r="F6" s="27"/>
      <c r="G6" s="27"/>
      <c r="H6" s="27"/>
      <c r="I6" s="27"/>
      <c r="J6" s="27"/>
    </row>
    <row r="9" customFormat="false" ht="15" hidden="false" customHeight="false" outlineLevel="0" collapsed="false">
      <c r="A9" s="28" t="s">
        <v>26</v>
      </c>
      <c r="B9" s="28" t="s">
        <v>27</v>
      </c>
      <c r="C9" s="28" t="s">
        <v>28</v>
      </c>
    </row>
    <row r="10" customFormat="false" ht="15" hidden="false" customHeight="false" outlineLevel="0" collapsed="false">
      <c r="A10" s="29" t="s">
        <v>29</v>
      </c>
      <c r="B10" s="29" t="n">
        <v>6364698</v>
      </c>
      <c r="C10" s="29" t="n">
        <v>151690443</v>
      </c>
    </row>
    <row r="11" customFormat="false" ht="15" hidden="false" customHeight="false" outlineLevel="0" collapsed="false">
      <c r="A11" s="29" t="s">
        <v>30</v>
      </c>
      <c r="B11" s="29" t="n">
        <v>5889984</v>
      </c>
      <c r="C11" s="29" t="n">
        <v>153945508</v>
      </c>
    </row>
    <row r="12" customFormat="false" ht="15" hidden="false" customHeight="false" outlineLevel="0" collapsed="false">
      <c r="A12" s="29" t="s">
        <v>31</v>
      </c>
      <c r="B12" s="29" t="n">
        <v>5234261</v>
      </c>
      <c r="C12" s="29" t="n">
        <v>147670402</v>
      </c>
    </row>
    <row r="13" customFormat="false" ht="15" hidden="false" customHeight="false" outlineLevel="0" collapsed="false">
      <c r="A13" s="29" t="s">
        <v>32</v>
      </c>
      <c r="B13" s="29" t="n">
        <v>5469898</v>
      </c>
      <c r="C13" s="29" t="n">
        <v>149837020</v>
      </c>
    </row>
    <row r="14" customFormat="false" ht="15" hidden="false" customHeight="false" outlineLevel="0" collapsed="false">
      <c r="A14" s="29" t="s">
        <v>33</v>
      </c>
      <c r="B14" s="29" t="n">
        <v>6464666</v>
      </c>
      <c r="C14" s="29" t="n">
        <v>159692526</v>
      </c>
    </row>
    <row r="15" customFormat="false" ht="15" hidden="false" customHeight="false" outlineLevel="0" collapsed="false">
      <c r="A15" s="29" t="s">
        <v>34</v>
      </c>
      <c r="B15" s="29" t="n">
        <v>6890999</v>
      </c>
      <c r="C15" s="29" t="n">
        <v>164058608</v>
      </c>
    </row>
    <row r="16" customFormat="false" ht="15" hidden="false" customHeight="false" outlineLevel="0" collapsed="false">
      <c r="A16" s="0" t="s">
        <v>35</v>
      </c>
      <c r="B16" s="0" t="n">
        <v>7409923</v>
      </c>
      <c r="C16" s="0" t="n">
        <v>167944891</v>
      </c>
    </row>
    <row r="17" customFormat="false" ht="15" hidden="false" customHeight="false" outlineLevel="0" collapsed="false">
      <c r="A17" s="0" t="s">
        <v>36</v>
      </c>
      <c r="B17" s="0" t="n">
        <v>8034541</v>
      </c>
      <c r="C17" s="0" t="n">
        <v>171420742</v>
      </c>
    </row>
    <row r="18" customFormat="false" ht="15" hidden="false" customHeight="false" outlineLevel="0" collapsed="false">
      <c r="A18" s="0" t="s">
        <v>37</v>
      </c>
      <c r="B18" s="0" t="n">
        <v>8594513</v>
      </c>
      <c r="C18" s="0" t="n">
        <v>176717966</v>
      </c>
    </row>
    <row r="19" customFormat="false" ht="15" hidden="false" customHeight="false" outlineLevel="0" collapsed="false">
      <c r="A19" s="0" t="s">
        <v>38</v>
      </c>
      <c r="B19" s="0" t="n">
        <v>8750179</v>
      </c>
      <c r="C19" s="0" t="n">
        <v>182162545</v>
      </c>
    </row>
    <row r="20" customFormat="false" ht="15" hidden="false" customHeight="false" outlineLevel="0" collapsed="false">
      <c r="A20" s="0" t="s">
        <v>39</v>
      </c>
      <c r="B20" s="0" t="n">
        <v>9450672</v>
      </c>
      <c r="C20" s="0" t="n">
        <v>192723881</v>
      </c>
    </row>
    <row r="21" customFormat="false" ht="15" hidden="false" customHeight="false" outlineLevel="0" collapsed="false">
      <c r="A21" s="0" t="s">
        <v>40</v>
      </c>
      <c r="B21" s="0" t="n">
        <v>10225259</v>
      </c>
      <c r="C21" s="0" t="n">
        <v>201943660</v>
      </c>
    </row>
    <row r="22" customFormat="false" ht="15" hidden="false" customHeight="false" outlineLevel="0" collapsed="false">
      <c r="A22" s="0" t="s">
        <v>41</v>
      </c>
      <c r="B22" s="0" t="n">
        <v>10746388</v>
      </c>
      <c r="C22" s="0" t="n">
        <v>209491626</v>
      </c>
    </row>
    <row r="23" customFormat="false" ht="15" hidden="false" customHeight="false" outlineLevel="0" collapsed="false">
      <c r="A23" s="0" t="s">
        <v>42</v>
      </c>
      <c r="B23" s="0" t="n">
        <v>3191018</v>
      </c>
      <c r="C23" s="0" t="n">
        <v>67506966</v>
      </c>
    </row>
    <row r="24" customFormat="false" ht="15" hidden="false" customHeight="false" outlineLevel="0" collapsed="false">
      <c r="A24" s="0" t="s">
        <v>43</v>
      </c>
      <c r="B24" s="0" t="n">
        <v>4322423</v>
      </c>
      <c r="C24" s="0" t="n">
        <v>88086929</v>
      </c>
    </row>
  </sheetData>
  <mergeCells count="1"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26" t="s">
        <v>47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5" hidden="false" customHeight="false" outlineLevel="0" collapsed="false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15" hidden="false" customHeight="false" outlineLevel="0" collapsed="false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</row>
    <row r="4" customFormat="false" ht="15" hidden="false" customHeight="false" outlineLevel="0" collapsed="false">
      <c r="A4" s="26" t="s">
        <v>23</v>
      </c>
      <c r="B4" s="26"/>
      <c r="C4" s="26"/>
      <c r="D4" s="26"/>
      <c r="E4" s="26"/>
      <c r="F4" s="26"/>
      <c r="G4" s="26"/>
      <c r="H4" s="26"/>
      <c r="I4" s="26"/>
      <c r="J4" s="26"/>
    </row>
    <row r="5" customFormat="false" ht="15" hidden="false" customHeight="false" outlineLevel="0" collapsed="false">
      <c r="A5" s="26" t="s">
        <v>24</v>
      </c>
      <c r="B5" s="26"/>
      <c r="C5" s="26"/>
      <c r="D5" s="26"/>
      <c r="E5" s="26"/>
      <c r="F5" s="26"/>
      <c r="G5" s="26"/>
      <c r="H5" s="26"/>
      <c r="I5" s="26"/>
      <c r="J5" s="26"/>
    </row>
    <row r="6" customFormat="false" ht="15" hidden="false" customHeight="true" outlineLevel="0" collapsed="false">
      <c r="A6" s="27" t="s">
        <v>25</v>
      </c>
      <c r="B6" s="27"/>
      <c r="C6" s="27"/>
      <c r="D6" s="27"/>
      <c r="E6" s="27"/>
      <c r="F6" s="27"/>
      <c r="G6" s="27"/>
      <c r="H6" s="27"/>
      <c r="I6" s="27"/>
      <c r="J6" s="27"/>
    </row>
    <row r="9" customFormat="false" ht="15" hidden="false" customHeight="false" outlineLevel="0" collapsed="false">
      <c r="A9" s="28" t="s">
        <v>26</v>
      </c>
      <c r="B9" s="28" t="s">
        <v>27</v>
      </c>
      <c r="C9" s="28" t="s">
        <v>28</v>
      </c>
    </row>
    <row r="10" customFormat="false" ht="15" hidden="false" customHeight="false" outlineLevel="0" collapsed="false">
      <c r="A10" s="29" t="s">
        <v>29</v>
      </c>
      <c r="B10" s="29" t="n">
        <v>1883126</v>
      </c>
      <c r="C10" s="29" t="n">
        <v>22511091</v>
      </c>
    </row>
    <row r="11" customFormat="false" ht="15" hidden="false" customHeight="false" outlineLevel="0" collapsed="false">
      <c r="A11" s="29" t="s">
        <v>30</v>
      </c>
      <c r="B11" s="29" t="n">
        <v>2019353</v>
      </c>
      <c r="C11" s="29" t="n">
        <v>25800396</v>
      </c>
    </row>
    <row r="12" customFormat="false" ht="15" hidden="false" customHeight="false" outlineLevel="0" collapsed="false">
      <c r="A12" s="29" t="s">
        <v>31</v>
      </c>
      <c r="B12" s="29" t="n">
        <v>1804462</v>
      </c>
      <c r="C12" s="29" t="n">
        <v>26624672</v>
      </c>
    </row>
    <row r="13" customFormat="false" ht="15" hidden="false" customHeight="false" outlineLevel="0" collapsed="false">
      <c r="A13" s="29" t="s">
        <v>32</v>
      </c>
      <c r="B13" s="29" t="n">
        <v>1979975</v>
      </c>
      <c r="C13" s="29" t="n">
        <v>28236571</v>
      </c>
    </row>
    <row r="14" customFormat="false" ht="15" hidden="false" customHeight="false" outlineLevel="0" collapsed="false">
      <c r="A14" s="29" t="s">
        <v>33</v>
      </c>
      <c r="B14" s="29" t="n">
        <v>2661355</v>
      </c>
      <c r="C14" s="29" t="n">
        <v>32107275</v>
      </c>
    </row>
    <row r="15" customFormat="false" ht="15" hidden="false" customHeight="false" outlineLevel="0" collapsed="false">
      <c r="A15" s="29" t="s">
        <v>34</v>
      </c>
      <c r="B15" s="29" t="n">
        <v>3036988</v>
      </c>
      <c r="C15" s="29" t="n">
        <v>35436382</v>
      </c>
    </row>
    <row r="16" customFormat="false" ht="15" hidden="false" customHeight="false" outlineLevel="0" collapsed="false">
      <c r="A16" s="0" t="s">
        <v>35</v>
      </c>
      <c r="B16" s="0" t="n">
        <v>3667405</v>
      </c>
      <c r="C16" s="0" t="n">
        <v>38865099</v>
      </c>
    </row>
    <row r="17" customFormat="false" ht="15" hidden="false" customHeight="false" outlineLevel="0" collapsed="false">
      <c r="A17" s="0" t="s">
        <v>36</v>
      </c>
      <c r="B17" s="0" t="n">
        <v>4239420</v>
      </c>
      <c r="C17" s="0" t="n">
        <v>43610981</v>
      </c>
    </row>
    <row r="18" customFormat="false" ht="15" hidden="false" customHeight="false" outlineLevel="0" collapsed="false">
      <c r="A18" s="0" t="s">
        <v>37</v>
      </c>
      <c r="B18" s="0" t="n">
        <v>5031756</v>
      </c>
      <c r="C18" s="0" t="n">
        <v>47914124</v>
      </c>
    </row>
    <row r="19" customFormat="false" ht="15" hidden="false" customHeight="false" outlineLevel="0" collapsed="false">
      <c r="A19" s="0" t="s">
        <v>38</v>
      </c>
      <c r="B19" s="0" t="n">
        <v>5445050</v>
      </c>
      <c r="C19" s="0" t="n">
        <v>53040799</v>
      </c>
    </row>
    <row r="20" customFormat="false" ht="15" hidden="false" customHeight="false" outlineLevel="0" collapsed="false">
      <c r="A20" s="0" t="s">
        <v>39</v>
      </c>
      <c r="B20" s="0" t="n">
        <v>5797023</v>
      </c>
      <c r="C20" s="0" t="n">
        <v>59707678</v>
      </c>
    </row>
    <row r="21" customFormat="false" ht="15" hidden="false" customHeight="false" outlineLevel="0" collapsed="false">
      <c r="A21" s="0" t="s">
        <v>40</v>
      </c>
      <c r="B21" s="0" t="n">
        <v>6430605</v>
      </c>
      <c r="C21" s="0" t="n">
        <v>66057301</v>
      </c>
    </row>
    <row r="22" customFormat="false" ht="15" hidden="false" customHeight="false" outlineLevel="0" collapsed="false">
      <c r="A22" s="0" t="s">
        <v>41</v>
      </c>
      <c r="B22" s="0" t="n">
        <v>6980559</v>
      </c>
      <c r="C22" s="0" t="n">
        <v>71178482</v>
      </c>
    </row>
    <row r="23" customFormat="false" ht="15" hidden="false" customHeight="false" outlineLevel="0" collapsed="false">
      <c r="A23" s="0" t="s">
        <v>42</v>
      </c>
      <c r="B23" s="0" t="n">
        <v>2204926</v>
      </c>
      <c r="C23" s="0" t="n">
        <v>21521802</v>
      </c>
    </row>
    <row r="24" customFormat="false" ht="15" hidden="false" customHeight="false" outlineLevel="0" collapsed="false">
      <c r="A24" s="0" t="s">
        <v>43</v>
      </c>
      <c r="B24" s="0" t="n">
        <v>3043996</v>
      </c>
      <c r="C24" s="0" t="n">
        <v>32842169</v>
      </c>
    </row>
  </sheetData>
  <mergeCells count="1"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26" t="s">
        <v>48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5" hidden="false" customHeight="false" outlineLevel="0" collapsed="false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15" hidden="false" customHeight="false" outlineLevel="0" collapsed="false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</row>
    <row r="4" customFormat="false" ht="15" hidden="false" customHeight="false" outlineLevel="0" collapsed="false">
      <c r="A4" s="26" t="s">
        <v>49</v>
      </c>
      <c r="B4" s="26"/>
      <c r="C4" s="26"/>
      <c r="D4" s="26"/>
      <c r="E4" s="26"/>
      <c r="F4" s="26"/>
      <c r="G4" s="26"/>
      <c r="H4" s="26"/>
      <c r="I4" s="26"/>
      <c r="J4" s="26"/>
    </row>
    <row r="5" customFormat="false" ht="15" hidden="false" customHeight="false" outlineLevel="0" collapsed="false">
      <c r="A5" s="26" t="s">
        <v>24</v>
      </c>
      <c r="B5" s="26"/>
      <c r="C5" s="26"/>
      <c r="D5" s="26"/>
      <c r="E5" s="26"/>
      <c r="F5" s="26"/>
      <c r="G5" s="26"/>
      <c r="H5" s="26"/>
      <c r="I5" s="26"/>
      <c r="J5" s="26"/>
    </row>
    <row r="6" customFormat="false" ht="15" hidden="false" customHeight="true" outlineLevel="0" collapsed="false">
      <c r="A6" s="27" t="s">
        <v>25</v>
      </c>
      <c r="B6" s="27"/>
      <c r="C6" s="27"/>
      <c r="D6" s="27"/>
      <c r="E6" s="27"/>
      <c r="F6" s="27"/>
      <c r="G6" s="27"/>
      <c r="H6" s="27"/>
      <c r="I6" s="27"/>
      <c r="J6" s="27"/>
    </row>
    <row r="9" customFormat="false" ht="15" hidden="false" customHeight="false" outlineLevel="0" collapsed="false">
      <c r="A9" s="28" t="s">
        <v>26</v>
      </c>
      <c r="B9" s="28" t="s">
        <v>27</v>
      </c>
      <c r="C9" s="28" t="s">
        <v>28</v>
      </c>
    </row>
    <row r="10" customFormat="false" ht="15" hidden="false" customHeight="false" outlineLevel="0" collapsed="false">
      <c r="A10" s="29" t="s">
        <v>29</v>
      </c>
      <c r="B10" s="29" t="n">
        <v>29.6</v>
      </c>
      <c r="C10" s="29" t="n">
        <v>14.8</v>
      </c>
    </row>
    <row r="11" customFormat="false" ht="15" hidden="false" customHeight="false" outlineLevel="0" collapsed="false">
      <c r="A11" s="29" t="s">
        <v>30</v>
      </c>
      <c r="B11" s="29" t="n">
        <v>34.3</v>
      </c>
      <c r="C11" s="29" t="n">
        <v>16.8</v>
      </c>
    </row>
    <row r="12" customFormat="false" ht="15" hidden="false" customHeight="false" outlineLevel="0" collapsed="false">
      <c r="A12" s="29" t="s">
        <v>31</v>
      </c>
      <c r="B12" s="29" t="n">
        <v>34.5</v>
      </c>
      <c r="C12" s="29" t="n">
        <v>18</v>
      </c>
    </row>
    <row r="13" customFormat="false" ht="15" hidden="false" customHeight="false" outlineLevel="0" collapsed="false">
      <c r="A13" s="29" t="s">
        <v>32</v>
      </c>
      <c r="B13" s="29" t="n">
        <v>36.2</v>
      </c>
      <c r="C13" s="29" t="n">
        <v>18.8</v>
      </c>
    </row>
    <row r="14" customFormat="false" ht="15" hidden="false" customHeight="false" outlineLevel="0" collapsed="false">
      <c r="A14" s="29" t="s">
        <v>33</v>
      </c>
      <c r="B14" s="29" t="n">
        <v>41.2</v>
      </c>
      <c r="C14" s="29" t="n">
        <v>20.1</v>
      </c>
    </row>
    <row r="15" customFormat="false" ht="15" hidden="false" customHeight="false" outlineLevel="0" collapsed="false">
      <c r="A15" s="29" t="s">
        <v>34</v>
      </c>
      <c r="B15" s="29" t="n">
        <v>44.1</v>
      </c>
      <c r="C15" s="29" t="n">
        <v>21.6</v>
      </c>
    </row>
    <row r="16" customFormat="false" ht="15" hidden="false" customHeight="false" outlineLevel="0" collapsed="false">
      <c r="A16" s="0" t="s">
        <v>35</v>
      </c>
      <c r="B16" s="0" t="n">
        <v>49.5</v>
      </c>
      <c r="C16" s="0" t="n">
        <v>23.1</v>
      </c>
    </row>
    <row r="17" customFormat="false" ht="15" hidden="false" customHeight="false" outlineLevel="0" collapsed="false">
      <c r="A17" s="0" t="s">
        <v>36</v>
      </c>
      <c r="B17" s="0" t="n">
        <v>52.8</v>
      </c>
      <c r="C17" s="0" t="n">
        <v>25.4</v>
      </c>
    </row>
    <row r="18" customFormat="false" ht="15" hidden="false" customHeight="false" outlineLevel="0" collapsed="false">
      <c r="A18" s="0" t="s">
        <v>37</v>
      </c>
      <c r="B18" s="0" t="n">
        <v>58.5</v>
      </c>
      <c r="C18" s="0" t="n">
        <v>27.1</v>
      </c>
    </row>
    <row r="19" customFormat="false" ht="15" hidden="false" customHeight="false" outlineLevel="0" collapsed="false">
      <c r="A19" s="0" t="s">
        <v>38</v>
      </c>
      <c r="B19" s="0" t="n">
        <v>62.2</v>
      </c>
      <c r="C19" s="0" t="n">
        <v>29.1</v>
      </c>
    </row>
    <row r="20" customFormat="false" ht="15" hidden="false" customHeight="false" outlineLevel="0" collapsed="false">
      <c r="A20" s="0" t="s">
        <v>39</v>
      </c>
      <c r="B20" s="0" t="n">
        <v>61.3</v>
      </c>
      <c r="C20" s="0" t="n">
        <v>31</v>
      </c>
    </row>
    <row r="21" customFormat="false" ht="15" hidden="false" customHeight="false" outlineLevel="0" collapsed="false">
      <c r="A21" s="0" t="s">
        <v>40</v>
      </c>
      <c r="B21" s="0" t="n">
        <v>62.9</v>
      </c>
      <c r="C21" s="0" t="n">
        <v>32.7</v>
      </c>
    </row>
    <row r="22" customFormat="false" ht="15" hidden="false" customHeight="false" outlineLevel="0" collapsed="false">
      <c r="A22" s="0" t="s">
        <v>41</v>
      </c>
      <c r="B22" s="0" t="n">
        <v>65</v>
      </c>
      <c r="C22" s="0" t="n">
        <v>34</v>
      </c>
    </row>
    <row r="23" customFormat="false" ht="15" hidden="false" customHeight="false" outlineLevel="0" collapsed="false">
      <c r="A23" s="0" t="s">
        <v>42</v>
      </c>
      <c r="B23" s="0" t="n">
        <v>69.1</v>
      </c>
      <c r="C23" s="0" t="n">
        <v>31.9</v>
      </c>
    </row>
    <row r="24" customFormat="false" ht="15" hidden="false" customHeight="false" outlineLevel="0" collapsed="false">
      <c r="A24" s="0" t="s">
        <v>43</v>
      </c>
      <c r="B24" s="0" t="n">
        <v>70.4</v>
      </c>
      <c r="C24" s="0" t="n">
        <v>37.3</v>
      </c>
    </row>
  </sheetData>
  <mergeCells count="1"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26" t="s">
        <v>50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customFormat="false" ht="15" hidden="false" customHeight="false" outlineLevel="0" collapsed="false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customFormat="false" ht="15" hidden="false" customHeight="false" outlineLevel="0" collapsed="false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customFormat="false" ht="15" hidden="false" customHeight="false" outlineLevel="0" collapsed="false">
      <c r="A4" s="26" t="s">
        <v>23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customFormat="false" ht="15" hidden="false" customHeight="false" outlineLevel="0" collapsed="false">
      <c r="A5" s="26" t="s">
        <v>51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customFormat="false" ht="15" hidden="false" customHeight="true" outlineLevel="0" collapsed="false">
      <c r="A6" s="27" t="s">
        <v>25</v>
      </c>
      <c r="B6" s="27"/>
      <c r="C6" s="27"/>
      <c r="D6" s="27"/>
      <c r="E6" s="27"/>
      <c r="F6" s="27"/>
      <c r="G6" s="27"/>
      <c r="H6" s="27"/>
      <c r="I6" s="27"/>
      <c r="J6" s="27"/>
      <c r="K6" s="26"/>
      <c r="L6" s="26"/>
      <c r="M6" s="26"/>
    </row>
    <row r="9" customFormat="false" ht="15" hidden="false" customHeight="false" outlineLevel="0" collapsed="false">
      <c r="A9" s="28" t="s">
        <v>26</v>
      </c>
      <c r="B9" s="28" t="s">
        <v>27</v>
      </c>
      <c r="C9" s="28" t="s">
        <v>52</v>
      </c>
      <c r="D9" s="28" t="s">
        <v>53</v>
      </c>
      <c r="E9" s="28" t="s">
        <v>54</v>
      </c>
      <c r="F9" s="28" t="s">
        <v>55</v>
      </c>
      <c r="G9" s="28" t="s">
        <v>56</v>
      </c>
      <c r="H9" s="28" t="s">
        <v>57</v>
      </c>
      <c r="I9" s="28" t="s">
        <v>58</v>
      </c>
      <c r="J9" s="28" t="s">
        <v>59</v>
      </c>
      <c r="K9" s="28" t="s">
        <v>60</v>
      </c>
      <c r="L9" s="28" t="s">
        <v>61</v>
      </c>
      <c r="M9" s="28" t="s">
        <v>28</v>
      </c>
    </row>
    <row r="10" customFormat="false" ht="15" hidden="false" customHeight="false" outlineLevel="0" collapsed="false">
      <c r="A10" s="0" t="s">
        <v>35</v>
      </c>
      <c r="B10" s="0" t="n">
        <v>142511</v>
      </c>
      <c r="C10" s="0" t="n">
        <v>6499</v>
      </c>
      <c r="D10" s="0" t="n">
        <v>6814</v>
      </c>
      <c r="E10" s="0" t="n">
        <v>16189</v>
      </c>
      <c r="F10" s="0" t="n">
        <v>4091</v>
      </c>
      <c r="G10" s="0" t="n">
        <v>19154</v>
      </c>
      <c r="H10" s="0" t="n">
        <v>4240</v>
      </c>
      <c r="I10" s="0" t="n">
        <v>26083</v>
      </c>
      <c r="J10" s="0" t="n">
        <v>27566</v>
      </c>
      <c r="K10" s="0" t="n">
        <v>22550</v>
      </c>
      <c r="L10" s="0" t="n">
        <v>9325</v>
      </c>
      <c r="M10" s="0" t="n">
        <v>1805127</v>
      </c>
    </row>
    <row r="11" customFormat="false" ht="15" hidden="false" customHeight="false" outlineLevel="0" collapsed="false">
      <c r="A11" s="0" t="s">
        <v>36</v>
      </c>
      <c r="B11" s="0" t="n">
        <v>139860</v>
      </c>
      <c r="C11" s="0" t="n">
        <v>6279</v>
      </c>
      <c r="D11" s="0" t="n">
        <v>6406</v>
      </c>
      <c r="E11" s="0" t="n">
        <v>15796</v>
      </c>
      <c r="F11" s="0" t="n">
        <v>3995</v>
      </c>
      <c r="G11" s="0" t="n">
        <v>18989</v>
      </c>
      <c r="H11" s="0" t="n">
        <v>4086</v>
      </c>
      <c r="I11" s="0" t="n">
        <v>26126</v>
      </c>
      <c r="J11" s="0" t="n">
        <v>27090</v>
      </c>
      <c r="K11" s="0" t="n">
        <v>21800</v>
      </c>
      <c r="L11" s="0" t="n">
        <v>9293</v>
      </c>
      <c r="M11" s="0" t="n">
        <v>1815713</v>
      </c>
    </row>
    <row r="12" customFormat="false" ht="15" hidden="false" customHeight="false" outlineLevel="0" collapsed="false">
      <c r="A12" s="0" t="s">
        <v>37</v>
      </c>
      <c r="B12" s="0" t="n">
        <v>147144</v>
      </c>
      <c r="C12" s="0" t="n">
        <v>6700</v>
      </c>
      <c r="D12" s="0" t="n">
        <v>6769</v>
      </c>
      <c r="E12" s="0" t="n">
        <v>16501</v>
      </c>
      <c r="F12" s="0" t="n">
        <v>3881</v>
      </c>
      <c r="G12" s="0" t="n">
        <v>19424</v>
      </c>
      <c r="H12" s="0" t="n">
        <v>4099</v>
      </c>
      <c r="I12" s="0" t="n">
        <v>27571</v>
      </c>
      <c r="J12" s="0" t="n">
        <v>29677</v>
      </c>
      <c r="K12" s="0" t="n">
        <v>22929</v>
      </c>
      <c r="L12" s="0" t="n">
        <v>9593</v>
      </c>
      <c r="M12" s="0" t="n">
        <v>1940383</v>
      </c>
    </row>
    <row r="13" customFormat="false" ht="15" hidden="false" customHeight="false" outlineLevel="0" collapsed="false">
      <c r="A13" s="0" t="s">
        <v>38</v>
      </c>
      <c r="B13" s="0" t="n">
        <v>155823</v>
      </c>
      <c r="C13" s="0" t="n">
        <v>6886</v>
      </c>
      <c r="D13" s="0" t="n">
        <v>6921</v>
      </c>
      <c r="E13" s="0" t="n">
        <v>17383</v>
      </c>
      <c r="F13" s="0" t="n">
        <v>4131</v>
      </c>
      <c r="G13" s="0" t="n">
        <v>20234</v>
      </c>
      <c r="H13" s="0" t="n">
        <v>4265</v>
      </c>
      <c r="I13" s="0" t="n">
        <v>29480</v>
      </c>
      <c r="J13" s="0" t="n">
        <v>32854</v>
      </c>
      <c r="K13" s="0" t="n">
        <v>23666</v>
      </c>
      <c r="L13" s="0" t="n">
        <v>10003</v>
      </c>
      <c r="M13" s="0" t="n">
        <v>2042314</v>
      </c>
    </row>
    <row r="14" customFormat="false" ht="15" hidden="false" customHeight="false" outlineLevel="0" collapsed="false">
      <c r="A14" s="0" t="s">
        <v>39</v>
      </c>
      <c r="B14" s="0" t="n">
        <v>164711</v>
      </c>
      <c r="C14" s="0" t="n">
        <v>7092</v>
      </c>
      <c r="D14" s="0" t="n">
        <v>7489</v>
      </c>
      <c r="E14" s="0" t="n">
        <v>18094</v>
      </c>
      <c r="F14" s="0" t="n">
        <v>4331</v>
      </c>
      <c r="G14" s="0" t="n">
        <v>21354</v>
      </c>
      <c r="H14" s="0" t="n">
        <v>4420</v>
      </c>
      <c r="I14" s="0" t="n">
        <v>30612</v>
      </c>
      <c r="J14" s="0" t="n">
        <v>35645</v>
      </c>
      <c r="K14" s="0" t="n">
        <v>25355</v>
      </c>
      <c r="L14" s="0" t="n">
        <v>10319</v>
      </c>
      <c r="M14" s="0" t="n">
        <v>2141624</v>
      </c>
    </row>
    <row r="15" customFormat="false" ht="15" hidden="false" customHeight="false" outlineLevel="0" collapsed="false">
      <c r="A15" s="0" t="s">
        <v>40</v>
      </c>
      <c r="B15" s="0" t="n">
        <v>169759</v>
      </c>
      <c r="C15" s="0" t="n">
        <v>7220</v>
      </c>
      <c r="D15" s="0" t="n">
        <v>8085</v>
      </c>
      <c r="E15" s="0" t="n">
        <v>18735</v>
      </c>
      <c r="F15" s="0" t="n">
        <v>4478</v>
      </c>
      <c r="G15" s="0" t="n">
        <v>20968</v>
      </c>
      <c r="H15" s="0" t="n">
        <v>4707</v>
      </c>
      <c r="I15" s="0" t="n">
        <v>32020</v>
      </c>
      <c r="J15" s="0" t="n">
        <v>36616</v>
      </c>
      <c r="K15" s="0" t="n">
        <v>26122</v>
      </c>
      <c r="L15" s="0" t="n">
        <v>10808</v>
      </c>
      <c r="M15" s="0" t="n">
        <v>2203739</v>
      </c>
    </row>
    <row r="16" customFormat="false" ht="15" hidden="false" customHeight="false" outlineLevel="0" collapsed="false">
      <c r="A16" s="0" t="s">
        <v>41</v>
      </c>
      <c r="B16" s="0" t="n">
        <v>171637</v>
      </c>
      <c r="C16" s="0" t="n">
        <v>7356</v>
      </c>
      <c r="D16" s="0" t="n">
        <v>7386</v>
      </c>
      <c r="E16" s="0" t="n">
        <v>18722</v>
      </c>
      <c r="F16" s="0" t="n">
        <v>4615</v>
      </c>
      <c r="G16" s="0" t="n">
        <v>21072</v>
      </c>
      <c r="H16" s="0" t="n">
        <v>4516</v>
      </c>
      <c r="I16" s="0" t="n">
        <v>31498</v>
      </c>
      <c r="J16" s="0" t="n">
        <v>40043</v>
      </c>
      <c r="K16" s="0" t="n">
        <v>25829</v>
      </c>
      <c r="L16" s="0" t="n">
        <v>10600</v>
      </c>
      <c r="M16" s="0" t="n">
        <v>2240170</v>
      </c>
    </row>
    <row r="17" customFormat="false" ht="15" hidden="false" customHeight="false" outlineLevel="0" collapsed="false">
      <c r="A17" s="0" t="s">
        <v>42</v>
      </c>
      <c r="B17" s="0" t="n">
        <v>128177</v>
      </c>
      <c r="C17" s="0" t="n">
        <v>5485</v>
      </c>
      <c r="D17" s="0" t="n">
        <v>5710</v>
      </c>
      <c r="E17" s="0" t="n">
        <v>14624</v>
      </c>
      <c r="F17" s="0" t="n">
        <v>3347</v>
      </c>
      <c r="G17" s="0" t="n">
        <v>16348</v>
      </c>
      <c r="H17" s="0" t="n">
        <v>3452</v>
      </c>
      <c r="I17" s="0" t="n">
        <v>23911</v>
      </c>
      <c r="J17" s="0" t="n">
        <v>28625</v>
      </c>
      <c r="K17" s="0" t="n">
        <v>18362</v>
      </c>
      <c r="L17" s="0" t="n">
        <v>8313</v>
      </c>
      <c r="M17" s="0" t="n">
        <v>1684697</v>
      </c>
    </row>
    <row r="18" customFormat="false" ht="15" hidden="false" customHeight="false" outlineLevel="0" collapsed="false">
      <c r="A18" s="0" t="s">
        <v>43</v>
      </c>
      <c r="B18" s="0" t="n">
        <v>124417</v>
      </c>
      <c r="C18" s="0" t="n">
        <v>5162</v>
      </c>
      <c r="D18" s="0" t="n">
        <v>5527</v>
      </c>
      <c r="E18" s="0" t="n">
        <v>14067</v>
      </c>
      <c r="F18" s="0" t="n">
        <v>3016</v>
      </c>
      <c r="G18" s="0" t="n">
        <v>15897</v>
      </c>
      <c r="H18" s="0" t="n">
        <v>3135</v>
      </c>
      <c r="I18" s="0" t="n">
        <v>23802</v>
      </c>
      <c r="J18" s="0" t="n">
        <v>28153</v>
      </c>
      <c r="K18" s="0" t="n">
        <v>17997</v>
      </c>
      <c r="L18" s="0" t="n">
        <v>7661</v>
      </c>
      <c r="M18" s="0" t="n">
        <v>1693037</v>
      </c>
    </row>
  </sheetData>
  <mergeCells count="1"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26" t="s">
        <v>62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customFormat="false" ht="15" hidden="false" customHeight="false" outlineLevel="0" collapsed="false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customFormat="false" ht="15" hidden="false" customHeight="false" outlineLevel="0" collapsed="false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customFormat="false" ht="15" hidden="false" customHeight="false" outlineLevel="0" collapsed="false">
      <c r="A4" s="26" t="s">
        <v>23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customFormat="false" ht="15" hidden="false" customHeight="false" outlineLevel="0" collapsed="false">
      <c r="A5" s="26" t="s">
        <v>51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customFormat="false" ht="15" hidden="false" customHeight="true" outlineLevel="0" collapsed="false">
      <c r="A6" s="27" t="s">
        <v>25</v>
      </c>
      <c r="B6" s="27"/>
      <c r="C6" s="27"/>
      <c r="D6" s="27"/>
      <c r="E6" s="27"/>
      <c r="F6" s="27"/>
      <c r="G6" s="27"/>
      <c r="H6" s="27"/>
      <c r="I6" s="27"/>
      <c r="J6" s="27"/>
      <c r="K6" s="26"/>
      <c r="L6" s="26"/>
      <c r="M6" s="26"/>
    </row>
    <row r="9" customFormat="false" ht="15" hidden="false" customHeight="false" outlineLevel="0" collapsed="false">
      <c r="A9" s="28" t="s">
        <v>26</v>
      </c>
      <c r="B9" s="28" t="s">
        <v>27</v>
      </c>
      <c r="C9" s="28" t="s">
        <v>52</v>
      </c>
      <c r="D9" s="28" t="s">
        <v>53</v>
      </c>
      <c r="E9" s="28" t="s">
        <v>54</v>
      </c>
      <c r="F9" s="28" t="s">
        <v>55</v>
      </c>
      <c r="G9" s="28" t="s">
        <v>56</v>
      </c>
      <c r="H9" s="28" t="s">
        <v>57</v>
      </c>
      <c r="I9" s="28" t="s">
        <v>58</v>
      </c>
      <c r="J9" s="28" t="s">
        <v>59</v>
      </c>
      <c r="K9" s="28" t="s">
        <v>60</v>
      </c>
      <c r="L9" s="28" t="s">
        <v>61</v>
      </c>
      <c r="M9" s="28" t="s">
        <v>28</v>
      </c>
    </row>
    <row r="10" customFormat="false" ht="15" hidden="false" customHeight="false" outlineLevel="0" collapsed="false">
      <c r="A10" s="0" t="s">
        <v>35</v>
      </c>
      <c r="B10" s="0" t="n">
        <v>28627</v>
      </c>
      <c r="C10" s="0" t="n">
        <v>1099</v>
      </c>
      <c r="D10" s="0" t="n">
        <v>1509</v>
      </c>
      <c r="E10" s="0" t="n">
        <v>4403</v>
      </c>
      <c r="F10" s="0" t="n">
        <v>728</v>
      </c>
      <c r="G10" s="0" t="n">
        <v>4375</v>
      </c>
      <c r="H10" s="0" t="n">
        <v>710</v>
      </c>
      <c r="I10" s="0" t="n">
        <v>4207</v>
      </c>
      <c r="J10" s="0" t="n">
        <v>5752</v>
      </c>
      <c r="K10" s="0" t="n">
        <v>3946</v>
      </c>
      <c r="L10" s="0" t="n">
        <v>1898</v>
      </c>
      <c r="M10" s="0" t="n">
        <v>374244</v>
      </c>
    </row>
    <row r="11" customFormat="false" ht="15" hidden="false" customHeight="false" outlineLevel="0" collapsed="false">
      <c r="A11" s="0" t="s">
        <v>36</v>
      </c>
      <c r="B11" s="0" t="n">
        <v>29171</v>
      </c>
      <c r="C11" s="0" t="n">
        <v>1145</v>
      </c>
      <c r="D11" s="0" t="n">
        <v>1503</v>
      </c>
      <c r="E11" s="0" t="n">
        <v>4153</v>
      </c>
      <c r="F11" s="0" t="n">
        <v>725</v>
      </c>
      <c r="G11" s="0" t="n">
        <v>4270</v>
      </c>
      <c r="H11" s="0" t="n">
        <v>876</v>
      </c>
      <c r="I11" s="0" t="n">
        <v>4318</v>
      </c>
      <c r="J11" s="0" t="n">
        <v>6064</v>
      </c>
      <c r="K11" s="0" t="n">
        <v>4130</v>
      </c>
      <c r="L11" s="0" t="n">
        <v>1987</v>
      </c>
      <c r="M11" s="0" t="n">
        <v>380016</v>
      </c>
    </row>
    <row r="12" customFormat="false" ht="15" hidden="false" customHeight="false" outlineLevel="0" collapsed="false">
      <c r="A12" s="0" t="s">
        <v>37</v>
      </c>
      <c r="B12" s="0" t="n">
        <v>28598</v>
      </c>
      <c r="C12" s="0" t="n">
        <v>1147</v>
      </c>
      <c r="D12" s="0" t="n">
        <v>1558</v>
      </c>
      <c r="E12" s="0" t="n">
        <v>4075</v>
      </c>
      <c r="F12" s="0" t="n">
        <v>694</v>
      </c>
      <c r="G12" s="0" t="n">
        <v>4087</v>
      </c>
      <c r="H12" s="0" t="n">
        <v>777</v>
      </c>
      <c r="I12" s="0" t="n">
        <v>4208</v>
      </c>
      <c r="J12" s="0" t="n">
        <v>5847</v>
      </c>
      <c r="K12" s="0" t="n">
        <v>4087</v>
      </c>
      <c r="L12" s="0" t="n">
        <v>2118</v>
      </c>
      <c r="M12" s="0" t="n">
        <v>387517</v>
      </c>
    </row>
    <row r="13" customFormat="false" ht="15" hidden="false" customHeight="false" outlineLevel="0" collapsed="false">
      <c r="A13" s="0" t="s">
        <v>38</v>
      </c>
      <c r="B13" s="0" t="n">
        <v>30406</v>
      </c>
      <c r="C13" s="0" t="n">
        <v>1233</v>
      </c>
      <c r="D13" s="0" t="n">
        <v>1635</v>
      </c>
      <c r="E13" s="0" t="n">
        <v>4280</v>
      </c>
      <c r="F13" s="0" t="n">
        <v>781</v>
      </c>
      <c r="G13" s="0" t="n">
        <v>4235</v>
      </c>
      <c r="H13" s="0" t="n">
        <v>851</v>
      </c>
      <c r="I13" s="0" t="n">
        <v>4420</v>
      </c>
      <c r="J13" s="0" t="n">
        <v>6173</v>
      </c>
      <c r="K13" s="0" t="n">
        <v>4499</v>
      </c>
      <c r="L13" s="0" t="n">
        <v>2299</v>
      </c>
      <c r="M13" s="0" t="n">
        <v>417453</v>
      </c>
    </row>
    <row r="14" customFormat="false" ht="15" hidden="false" customHeight="false" outlineLevel="0" collapsed="false">
      <c r="A14" s="0" t="s">
        <v>39</v>
      </c>
      <c r="B14" s="0" t="n">
        <v>32072</v>
      </c>
      <c r="C14" s="0" t="n">
        <v>1339</v>
      </c>
      <c r="D14" s="0" t="n">
        <v>1696</v>
      </c>
      <c r="E14" s="0" t="n">
        <v>4427</v>
      </c>
      <c r="F14" s="0" t="n">
        <v>802</v>
      </c>
      <c r="G14" s="0" t="n">
        <v>4581</v>
      </c>
      <c r="H14" s="0" t="n">
        <v>838</v>
      </c>
      <c r="I14" s="0" t="n">
        <v>4810</v>
      </c>
      <c r="J14" s="0" t="n">
        <v>6410</v>
      </c>
      <c r="K14" s="0" t="n">
        <v>4858</v>
      </c>
      <c r="L14" s="0" t="n">
        <v>2311</v>
      </c>
      <c r="M14" s="0" t="n">
        <v>447372</v>
      </c>
    </row>
    <row r="15" customFormat="false" ht="15" hidden="false" customHeight="false" outlineLevel="0" collapsed="false">
      <c r="A15" s="0" t="s">
        <v>40</v>
      </c>
      <c r="B15" s="0" t="n">
        <v>34035</v>
      </c>
      <c r="C15" s="0" t="n">
        <v>1273</v>
      </c>
      <c r="D15" s="0" t="n">
        <v>1921</v>
      </c>
      <c r="E15" s="0" t="n">
        <v>4960</v>
      </c>
      <c r="F15" s="0" t="n">
        <v>923</v>
      </c>
      <c r="G15" s="0" t="n">
        <v>4732</v>
      </c>
      <c r="H15" s="0" t="n">
        <v>893</v>
      </c>
      <c r="I15" s="0" t="n">
        <v>4869</v>
      </c>
      <c r="J15" s="0" t="n">
        <v>7071</v>
      </c>
      <c r="K15" s="0" t="n">
        <v>4856</v>
      </c>
      <c r="L15" s="0" t="n">
        <v>2537</v>
      </c>
      <c r="M15" s="0" t="n">
        <v>468167</v>
      </c>
    </row>
    <row r="16" customFormat="false" ht="15" hidden="false" customHeight="false" outlineLevel="0" collapsed="false">
      <c r="A16" s="0" t="s">
        <v>41</v>
      </c>
      <c r="B16" s="0" t="n">
        <v>35261</v>
      </c>
      <c r="C16" s="0" t="n">
        <v>1484</v>
      </c>
      <c r="D16" s="0" t="n">
        <v>1993</v>
      </c>
      <c r="E16" s="0" t="n">
        <v>4992</v>
      </c>
      <c r="F16" s="0" t="n">
        <v>873</v>
      </c>
      <c r="G16" s="0" t="n">
        <v>5258</v>
      </c>
      <c r="H16" s="0" t="n">
        <v>1028</v>
      </c>
      <c r="I16" s="0" t="n">
        <v>5295</v>
      </c>
      <c r="J16" s="0" t="n">
        <v>6880</v>
      </c>
      <c r="K16" s="0" t="n">
        <v>4763</v>
      </c>
      <c r="L16" s="0" t="n">
        <v>2695</v>
      </c>
      <c r="M16" s="0" t="n">
        <v>485879</v>
      </c>
    </row>
    <row r="17" customFormat="false" ht="15" hidden="false" customHeight="false" outlineLevel="0" collapsed="false">
      <c r="A17" s="0" t="s">
        <v>42</v>
      </c>
      <c r="B17" s="0" t="n">
        <v>30582</v>
      </c>
      <c r="C17" s="0" t="n">
        <v>1209</v>
      </c>
      <c r="D17" s="0" t="n">
        <v>1733</v>
      </c>
      <c r="E17" s="0" t="n">
        <v>4384</v>
      </c>
      <c r="F17" s="0" t="n">
        <v>827</v>
      </c>
      <c r="G17" s="0" t="n">
        <v>4752</v>
      </c>
      <c r="H17" s="0" t="n">
        <v>861</v>
      </c>
      <c r="I17" s="0" t="n">
        <v>4391</v>
      </c>
      <c r="J17" s="0" t="n">
        <v>6247</v>
      </c>
      <c r="K17" s="0" t="n">
        <v>3661</v>
      </c>
      <c r="L17" s="0" t="n">
        <v>2517</v>
      </c>
      <c r="M17" s="0" t="n">
        <v>410020</v>
      </c>
    </row>
    <row r="18" customFormat="false" ht="15" hidden="false" customHeight="false" outlineLevel="0" collapsed="false">
      <c r="A18" s="0" t="s">
        <v>43</v>
      </c>
      <c r="B18" s="0" t="n">
        <v>31126</v>
      </c>
      <c r="C18" s="0" t="n">
        <v>1262</v>
      </c>
      <c r="D18" s="0" t="n">
        <v>1635</v>
      </c>
      <c r="E18" s="0" t="n">
        <v>4401</v>
      </c>
      <c r="F18" s="0" t="n">
        <v>810</v>
      </c>
      <c r="G18" s="0" t="n">
        <v>4353</v>
      </c>
      <c r="H18" s="0" t="n">
        <v>779</v>
      </c>
      <c r="I18" s="0" t="n">
        <v>4588</v>
      </c>
      <c r="J18" s="0" t="n">
        <v>6327</v>
      </c>
      <c r="K18" s="0" t="n">
        <v>4142</v>
      </c>
      <c r="L18" s="0" t="n">
        <v>2829</v>
      </c>
      <c r="M18" s="0" t="n">
        <v>443305</v>
      </c>
    </row>
  </sheetData>
  <mergeCells count="1"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26" t="s">
        <v>63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customFormat="false" ht="15" hidden="false" customHeight="false" outlineLevel="0" collapsed="false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customFormat="false" ht="15" hidden="false" customHeight="false" outlineLevel="0" collapsed="false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customFormat="false" ht="15" hidden="false" customHeight="false" outlineLevel="0" collapsed="false">
      <c r="A4" s="26" t="s">
        <v>23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customFormat="false" ht="15" hidden="false" customHeight="false" outlineLevel="0" collapsed="false">
      <c r="A5" s="26" t="s">
        <v>51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customFormat="false" ht="15" hidden="false" customHeight="true" outlineLevel="0" collapsed="false">
      <c r="A6" s="27" t="s">
        <v>25</v>
      </c>
      <c r="B6" s="27"/>
      <c r="C6" s="27"/>
      <c r="D6" s="27"/>
      <c r="E6" s="27"/>
      <c r="F6" s="27"/>
      <c r="G6" s="27"/>
      <c r="H6" s="27"/>
      <c r="I6" s="27"/>
      <c r="J6" s="27"/>
      <c r="K6" s="26"/>
      <c r="L6" s="26"/>
      <c r="M6" s="26"/>
    </row>
    <row r="9" customFormat="false" ht="15" hidden="false" customHeight="false" outlineLevel="0" collapsed="false">
      <c r="A9" s="28" t="s">
        <v>26</v>
      </c>
      <c r="B9" s="28" t="s">
        <v>27</v>
      </c>
      <c r="C9" s="28" t="s">
        <v>52</v>
      </c>
      <c r="D9" s="28" t="s">
        <v>53</v>
      </c>
      <c r="E9" s="28" t="s">
        <v>54</v>
      </c>
      <c r="F9" s="28" t="s">
        <v>55</v>
      </c>
      <c r="G9" s="28" t="s">
        <v>56</v>
      </c>
      <c r="H9" s="28" t="s">
        <v>57</v>
      </c>
      <c r="I9" s="28" t="s">
        <v>58</v>
      </c>
      <c r="J9" s="28" t="s">
        <v>59</v>
      </c>
      <c r="K9" s="28" t="s">
        <v>60</v>
      </c>
      <c r="L9" s="28" t="s">
        <v>61</v>
      </c>
      <c r="M9" s="28" t="s">
        <v>28</v>
      </c>
    </row>
    <row r="10" customFormat="false" ht="15" hidden="false" customHeight="false" outlineLevel="0" collapsed="false">
      <c r="A10" s="0" t="s">
        <v>35</v>
      </c>
      <c r="B10" s="0" t="n">
        <v>3744</v>
      </c>
      <c r="C10" s="0" t="n">
        <v>207</v>
      </c>
      <c r="D10" s="0" t="n">
        <v>196</v>
      </c>
      <c r="E10" s="0" t="n">
        <v>605</v>
      </c>
      <c r="F10" s="0" t="n">
        <v>171</v>
      </c>
      <c r="G10" s="0" t="n">
        <v>421</v>
      </c>
      <c r="H10" s="0" t="n">
        <v>126</v>
      </c>
      <c r="I10" s="0" t="n">
        <v>627</v>
      </c>
      <c r="J10" s="0" t="n">
        <v>625</v>
      </c>
      <c r="K10" s="0" t="n">
        <v>461</v>
      </c>
      <c r="L10" s="0" t="n">
        <v>305</v>
      </c>
      <c r="M10" s="0" t="n">
        <v>45446</v>
      </c>
    </row>
    <row r="11" customFormat="false" ht="15" hidden="false" customHeight="false" outlineLevel="0" collapsed="false">
      <c r="A11" s="0" t="s">
        <v>36</v>
      </c>
      <c r="B11" s="0" t="n">
        <v>3308</v>
      </c>
      <c r="C11" s="0" t="n">
        <v>152</v>
      </c>
      <c r="D11" s="0" t="n">
        <v>204</v>
      </c>
      <c r="E11" s="0" t="n">
        <v>627</v>
      </c>
      <c r="F11" s="0" t="n">
        <v>224</v>
      </c>
      <c r="G11" s="0" t="n">
        <v>276</v>
      </c>
      <c r="H11" s="0" t="n">
        <v>96</v>
      </c>
      <c r="I11" s="0" t="n">
        <v>555</v>
      </c>
      <c r="J11" s="0" t="n">
        <v>550</v>
      </c>
      <c r="K11" s="0" t="n">
        <v>335</v>
      </c>
      <c r="L11" s="0" t="n">
        <v>289</v>
      </c>
      <c r="M11" s="0" t="n">
        <v>39346</v>
      </c>
    </row>
    <row r="12" customFormat="false" ht="15" hidden="false" customHeight="false" outlineLevel="0" collapsed="false">
      <c r="A12" s="0" t="s">
        <v>37</v>
      </c>
      <c r="B12" s="0" t="n">
        <v>4745</v>
      </c>
      <c r="C12" s="0" t="n">
        <v>174</v>
      </c>
      <c r="D12" s="0" t="n">
        <v>193</v>
      </c>
      <c r="E12" s="0" t="n">
        <v>1815</v>
      </c>
      <c r="F12" s="0" t="n">
        <v>234</v>
      </c>
      <c r="G12" s="0" t="n">
        <v>293</v>
      </c>
      <c r="H12" s="0" t="n">
        <v>97</v>
      </c>
      <c r="I12" s="0" t="n">
        <v>649</v>
      </c>
      <c r="J12" s="0" t="n">
        <v>569</v>
      </c>
      <c r="K12" s="0" t="n">
        <v>450</v>
      </c>
      <c r="L12" s="0" t="n">
        <v>271</v>
      </c>
      <c r="M12" s="0" t="n">
        <v>43414</v>
      </c>
    </row>
    <row r="13" customFormat="false" ht="15" hidden="false" customHeight="false" outlineLevel="0" collapsed="false">
      <c r="A13" s="0" t="s">
        <v>38</v>
      </c>
      <c r="B13" s="0" t="n">
        <v>5147</v>
      </c>
      <c r="C13" s="0" t="n">
        <v>223</v>
      </c>
      <c r="D13" s="0" t="n">
        <v>204</v>
      </c>
      <c r="E13" s="0" t="n">
        <v>1856</v>
      </c>
      <c r="F13" s="0" t="n">
        <v>239</v>
      </c>
      <c r="G13" s="0" t="n">
        <v>388</v>
      </c>
      <c r="H13" s="0" t="n">
        <v>101</v>
      </c>
      <c r="I13" s="0" t="n">
        <v>598</v>
      </c>
      <c r="J13" s="0" t="n">
        <v>583</v>
      </c>
      <c r="K13" s="0" t="n">
        <v>636</v>
      </c>
      <c r="L13" s="0" t="n">
        <v>319</v>
      </c>
      <c r="M13" s="0" t="n">
        <v>48915</v>
      </c>
    </row>
    <row r="14" customFormat="false" ht="15" hidden="false" customHeight="false" outlineLevel="0" collapsed="false">
      <c r="A14" s="0" t="s">
        <v>39</v>
      </c>
      <c r="B14" s="0" t="n">
        <v>5189</v>
      </c>
      <c r="C14" s="0" t="n">
        <v>306</v>
      </c>
      <c r="D14" s="0" t="n">
        <v>227</v>
      </c>
      <c r="E14" s="0" t="n">
        <v>1278</v>
      </c>
      <c r="F14" s="0" t="n">
        <v>198</v>
      </c>
      <c r="G14" s="0" t="n">
        <v>377</v>
      </c>
      <c r="H14" s="0" t="n">
        <v>119</v>
      </c>
      <c r="I14" s="0" t="n">
        <v>830</v>
      </c>
      <c r="J14" s="0" t="n">
        <v>688</v>
      </c>
      <c r="K14" s="0" t="n">
        <v>707</v>
      </c>
      <c r="L14" s="0" t="n">
        <v>459</v>
      </c>
      <c r="M14" s="0" t="n">
        <v>52251</v>
      </c>
    </row>
    <row r="15" customFormat="false" ht="15" hidden="false" customHeight="false" outlineLevel="0" collapsed="false">
      <c r="A15" s="0" t="s">
        <v>40</v>
      </c>
      <c r="B15" s="0" t="n">
        <v>5561</v>
      </c>
      <c r="C15" s="0" t="n">
        <v>296</v>
      </c>
      <c r="D15" s="0" t="n">
        <v>289</v>
      </c>
      <c r="E15" s="0" t="n">
        <v>1178</v>
      </c>
      <c r="F15" s="0" t="n">
        <v>298</v>
      </c>
      <c r="G15" s="0" t="n">
        <v>448</v>
      </c>
      <c r="H15" s="0" t="n">
        <v>114</v>
      </c>
      <c r="I15" s="0" t="n">
        <v>783</v>
      </c>
      <c r="J15" s="0" t="n">
        <v>725</v>
      </c>
      <c r="K15" s="0" t="n">
        <v>746</v>
      </c>
      <c r="L15" s="0" t="n">
        <v>684</v>
      </c>
      <c r="M15" s="0" t="n">
        <v>56747</v>
      </c>
    </row>
    <row r="16" customFormat="false" ht="15" hidden="false" customHeight="false" outlineLevel="0" collapsed="false">
      <c r="A16" s="0" t="s">
        <v>41</v>
      </c>
      <c r="B16" s="0" t="n">
        <v>5496</v>
      </c>
      <c r="C16" s="0" t="n">
        <v>287</v>
      </c>
      <c r="D16" s="0" t="n">
        <v>305</v>
      </c>
      <c r="E16" s="0" t="n">
        <v>1042</v>
      </c>
      <c r="F16" s="0" t="n">
        <v>242</v>
      </c>
      <c r="G16" s="0" t="n">
        <v>392</v>
      </c>
      <c r="H16" s="0" t="n">
        <v>114</v>
      </c>
      <c r="I16" s="0" t="n">
        <v>678</v>
      </c>
      <c r="J16" s="0" t="n">
        <v>815</v>
      </c>
      <c r="K16" s="0" t="n">
        <v>715</v>
      </c>
      <c r="L16" s="0" t="n">
        <v>906</v>
      </c>
      <c r="M16" s="0" t="n">
        <v>57133</v>
      </c>
    </row>
    <row r="17" customFormat="false" ht="15" hidden="false" customHeight="false" outlineLevel="0" collapsed="false">
      <c r="A17" s="0" t="s">
        <v>42</v>
      </c>
      <c r="B17" s="0" t="n">
        <v>4142</v>
      </c>
      <c r="C17" s="0" t="n">
        <v>169</v>
      </c>
      <c r="D17" s="0" t="n">
        <v>218</v>
      </c>
      <c r="E17" s="0" t="n">
        <v>693</v>
      </c>
      <c r="F17" s="0" t="n">
        <v>185</v>
      </c>
      <c r="G17" s="0" t="n">
        <v>357</v>
      </c>
      <c r="H17" s="0" t="n">
        <v>89</v>
      </c>
      <c r="I17" s="0" t="n">
        <v>545</v>
      </c>
      <c r="J17" s="0" t="n">
        <v>623</v>
      </c>
      <c r="K17" s="0" t="n">
        <v>360</v>
      </c>
      <c r="L17" s="0" t="n">
        <v>903</v>
      </c>
      <c r="M17" s="0" t="n">
        <v>43877</v>
      </c>
    </row>
    <row r="18" customFormat="false" ht="15" hidden="false" customHeight="false" outlineLevel="0" collapsed="false">
      <c r="A18" s="0" t="s">
        <v>43</v>
      </c>
      <c r="B18" s="0" t="n">
        <v>4388</v>
      </c>
      <c r="C18" s="0" t="n">
        <v>200</v>
      </c>
      <c r="D18" s="0" t="n">
        <v>234</v>
      </c>
      <c r="E18" s="0" t="n">
        <v>701</v>
      </c>
      <c r="F18" s="0" t="n">
        <v>169</v>
      </c>
      <c r="G18" s="0" t="n">
        <v>352</v>
      </c>
      <c r="H18" s="0" t="n">
        <v>96</v>
      </c>
      <c r="I18" s="0" t="n">
        <v>615</v>
      </c>
      <c r="J18" s="0" t="n">
        <v>666</v>
      </c>
      <c r="K18" s="0" t="n">
        <v>489</v>
      </c>
      <c r="L18" s="0" t="n">
        <v>866</v>
      </c>
      <c r="M18" s="0" t="n">
        <v>45795</v>
      </c>
    </row>
  </sheetData>
  <mergeCells count="1"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26" t="s">
        <v>64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customFormat="false" ht="15" hidden="false" customHeight="false" outlineLevel="0" collapsed="false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customFormat="false" ht="15" hidden="false" customHeight="false" outlineLevel="0" collapsed="false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customFormat="false" ht="15" hidden="false" customHeight="false" outlineLevel="0" collapsed="false">
      <c r="A4" s="26" t="s">
        <v>23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customFormat="false" ht="15" hidden="false" customHeight="false" outlineLevel="0" collapsed="false">
      <c r="A5" s="26" t="s">
        <v>51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customFormat="false" ht="15" hidden="false" customHeight="true" outlineLevel="0" collapsed="false">
      <c r="A6" s="27" t="s">
        <v>25</v>
      </c>
      <c r="B6" s="27"/>
      <c r="C6" s="27"/>
      <c r="D6" s="27"/>
      <c r="E6" s="27"/>
      <c r="F6" s="27"/>
      <c r="G6" s="27"/>
      <c r="H6" s="27"/>
      <c r="I6" s="27"/>
      <c r="J6" s="27"/>
      <c r="K6" s="26"/>
      <c r="L6" s="26"/>
      <c r="M6" s="26"/>
    </row>
    <row r="9" customFormat="false" ht="15" hidden="false" customHeight="false" outlineLevel="0" collapsed="false">
      <c r="A9" s="28" t="s">
        <v>26</v>
      </c>
      <c r="B9" s="28" t="s">
        <v>27</v>
      </c>
      <c r="C9" s="28" t="s">
        <v>52</v>
      </c>
      <c r="D9" s="28" t="s">
        <v>53</v>
      </c>
      <c r="E9" s="28" t="s">
        <v>54</v>
      </c>
      <c r="F9" s="28" t="s">
        <v>55</v>
      </c>
      <c r="G9" s="28" t="s">
        <v>56</v>
      </c>
      <c r="H9" s="28" t="s">
        <v>57</v>
      </c>
      <c r="I9" s="28" t="s">
        <v>58</v>
      </c>
      <c r="J9" s="28" t="s">
        <v>59</v>
      </c>
      <c r="K9" s="28" t="s">
        <v>60</v>
      </c>
      <c r="L9" s="28" t="s">
        <v>61</v>
      </c>
      <c r="M9" s="28" t="s">
        <v>28</v>
      </c>
    </row>
    <row r="10" customFormat="false" ht="15" hidden="false" customHeight="false" outlineLevel="0" collapsed="false">
      <c r="A10" s="0" t="s">
        <v>35</v>
      </c>
      <c r="B10" s="0" t="n">
        <v>474</v>
      </c>
      <c r="C10" s="0" t="n">
        <v>27</v>
      </c>
      <c r="D10" s="0" t="n">
        <v>11</v>
      </c>
      <c r="E10" s="0" t="n">
        <v>17</v>
      </c>
      <c r="F10" s="0" t="n">
        <v>10</v>
      </c>
      <c r="G10" s="0" t="n">
        <v>56</v>
      </c>
      <c r="H10" s="0" t="n">
        <v>0</v>
      </c>
      <c r="I10" s="0" t="n">
        <v>97</v>
      </c>
      <c r="J10" s="0" t="n">
        <v>150</v>
      </c>
      <c r="K10" s="0" t="n">
        <v>47</v>
      </c>
      <c r="L10" s="0" t="n">
        <v>59</v>
      </c>
      <c r="M10" s="0" t="n">
        <v>7201</v>
      </c>
    </row>
    <row r="11" customFormat="false" ht="15" hidden="false" customHeight="false" outlineLevel="0" collapsed="false">
      <c r="A11" s="0" t="s">
        <v>36</v>
      </c>
      <c r="B11" s="0" t="n">
        <v>441</v>
      </c>
      <c r="C11" s="0" t="n">
        <v>44</v>
      </c>
      <c r="D11" s="0" t="n">
        <v>8</v>
      </c>
      <c r="E11" s="0" t="n">
        <v>43</v>
      </c>
      <c r="F11" s="0" t="n">
        <v>26</v>
      </c>
      <c r="G11" s="0" t="n">
        <v>54</v>
      </c>
      <c r="H11" s="0" t="n">
        <v>2</v>
      </c>
      <c r="I11" s="0" t="n">
        <v>73</v>
      </c>
      <c r="J11" s="0" t="n">
        <v>81</v>
      </c>
      <c r="K11" s="0" t="n">
        <v>40</v>
      </c>
      <c r="L11" s="0" t="n">
        <v>70</v>
      </c>
      <c r="M11" s="0" t="n">
        <v>6175</v>
      </c>
    </row>
    <row r="12" customFormat="false" ht="15" hidden="false" customHeight="false" outlineLevel="0" collapsed="false">
      <c r="A12" s="0" t="s">
        <v>37</v>
      </c>
      <c r="B12" s="0" t="n">
        <v>444</v>
      </c>
      <c r="C12" s="0" t="n">
        <v>44</v>
      </c>
      <c r="D12" s="0" t="n">
        <v>37</v>
      </c>
      <c r="E12" s="0" t="n">
        <v>21</v>
      </c>
      <c r="F12" s="0" t="n">
        <v>27</v>
      </c>
      <c r="G12" s="0" t="n">
        <v>62</v>
      </c>
      <c r="H12" s="0" t="n">
        <v>0</v>
      </c>
      <c r="I12" s="0" t="n">
        <v>73</v>
      </c>
      <c r="J12" s="0" t="n">
        <v>78</v>
      </c>
      <c r="K12" s="0" t="n">
        <v>53</v>
      </c>
      <c r="L12" s="0" t="n">
        <v>49</v>
      </c>
      <c r="M12" s="0" t="n">
        <v>7652</v>
      </c>
    </row>
    <row r="13" customFormat="false" ht="15" hidden="false" customHeight="false" outlineLevel="0" collapsed="false">
      <c r="A13" s="0" t="s">
        <v>38</v>
      </c>
      <c r="B13" s="0" t="n">
        <v>389</v>
      </c>
      <c r="C13" s="0" t="n">
        <v>30</v>
      </c>
      <c r="D13" s="0" t="n">
        <v>24</v>
      </c>
      <c r="E13" s="0" t="n">
        <v>14</v>
      </c>
      <c r="F13" s="0" t="n">
        <v>33</v>
      </c>
      <c r="G13" s="0" t="n">
        <v>57</v>
      </c>
      <c r="H13" s="0" t="n">
        <v>0</v>
      </c>
      <c r="I13" s="0" t="n">
        <v>71</v>
      </c>
      <c r="J13" s="0" t="n">
        <v>78</v>
      </c>
      <c r="K13" s="0" t="n">
        <v>35</v>
      </c>
      <c r="L13" s="0" t="n">
        <v>47</v>
      </c>
      <c r="M13" s="0" t="n">
        <v>6942</v>
      </c>
    </row>
    <row r="14" customFormat="false" ht="15" hidden="false" customHeight="false" outlineLevel="0" collapsed="false">
      <c r="A14" s="0" t="s">
        <v>39</v>
      </c>
      <c r="B14" s="0" t="n">
        <v>424</v>
      </c>
      <c r="C14" s="0" t="n">
        <v>24</v>
      </c>
      <c r="D14" s="0" t="n">
        <v>9</v>
      </c>
      <c r="E14" s="0" t="n">
        <v>26</v>
      </c>
      <c r="F14" s="0" t="n">
        <v>9</v>
      </c>
      <c r="G14" s="0" t="n">
        <v>52</v>
      </c>
      <c r="H14" s="0" t="n">
        <v>26</v>
      </c>
      <c r="I14" s="0" t="n">
        <v>59</v>
      </c>
      <c r="J14" s="0" t="n">
        <v>109</v>
      </c>
      <c r="K14" s="0" t="n">
        <v>35</v>
      </c>
      <c r="L14" s="0" t="n">
        <v>75</v>
      </c>
      <c r="M14" s="0" t="n">
        <v>6572</v>
      </c>
    </row>
    <row r="15" customFormat="false" ht="15" hidden="false" customHeight="false" outlineLevel="0" collapsed="false">
      <c r="A15" s="0" t="s">
        <v>40</v>
      </c>
      <c r="B15" s="0" t="n">
        <v>543</v>
      </c>
      <c r="C15" s="0" t="n">
        <v>20</v>
      </c>
      <c r="D15" s="0" t="n">
        <v>12</v>
      </c>
      <c r="E15" s="0" t="n">
        <v>26</v>
      </c>
      <c r="F15" s="0" t="n">
        <v>11</v>
      </c>
      <c r="G15" s="0" t="n">
        <v>114</v>
      </c>
      <c r="H15" s="0" t="n">
        <v>42</v>
      </c>
      <c r="I15" s="0" t="n">
        <v>52</v>
      </c>
      <c r="J15" s="0" t="n">
        <v>150</v>
      </c>
      <c r="K15" s="0" t="n">
        <v>69</v>
      </c>
      <c r="L15" s="0" t="n">
        <v>47</v>
      </c>
      <c r="M15" s="0" t="n">
        <v>6463</v>
      </c>
    </row>
    <row r="16" customFormat="false" ht="15" hidden="false" customHeight="false" outlineLevel="0" collapsed="false">
      <c r="A16" s="0" t="s">
        <v>41</v>
      </c>
      <c r="B16" s="0" t="n">
        <v>325</v>
      </c>
      <c r="C16" s="0" t="n">
        <v>22</v>
      </c>
      <c r="D16" s="0" t="n">
        <v>38</v>
      </c>
      <c r="E16" s="0" t="n">
        <v>17</v>
      </c>
      <c r="F16" s="0" t="n">
        <v>7</v>
      </c>
      <c r="G16" s="0" t="n">
        <v>76</v>
      </c>
      <c r="H16" s="0" t="n">
        <v>9</v>
      </c>
      <c r="I16" s="0" t="n">
        <v>37</v>
      </c>
      <c r="J16" s="0" t="n">
        <v>69</v>
      </c>
      <c r="K16" s="0" t="n">
        <v>28</v>
      </c>
      <c r="L16" s="0" t="n">
        <v>22</v>
      </c>
      <c r="M16" s="0" t="n">
        <v>6998</v>
      </c>
    </row>
    <row r="17" customFormat="false" ht="15" hidden="false" customHeight="false" outlineLevel="0" collapsed="false">
      <c r="A17" s="0" t="s">
        <v>42</v>
      </c>
      <c r="B17" s="0" t="n">
        <v>448</v>
      </c>
      <c r="C17" s="0" t="n">
        <v>13</v>
      </c>
      <c r="D17" s="0" t="n">
        <v>14</v>
      </c>
      <c r="E17" s="0" t="n">
        <v>15</v>
      </c>
      <c r="F17" s="0" t="n">
        <v>0</v>
      </c>
      <c r="G17" s="0" t="n">
        <v>69</v>
      </c>
      <c r="H17" s="0" t="n">
        <v>0</v>
      </c>
      <c r="I17" s="0" t="n">
        <v>73</v>
      </c>
      <c r="J17" s="0" t="n">
        <v>183</v>
      </c>
      <c r="K17" s="0" t="n">
        <v>54</v>
      </c>
      <c r="L17" s="0" t="n">
        <v>27</v>
      </c>
      <c r="M17" s="0" t="n">
        <v>6343</v>
      </c>
    </row>
    <row r="18" customFormat="false" ht="15" hidden="false" customHeight="false" outlineLevel="0" collapsed="false">
      <c r="A18" s="0" t="s">
        <v>43</v>
      </c>
      <c r="B18" s="0" t="n">
        <v>742</v>
      </c>
      <c r="C18" s="0" t="n">
        <v>31</v>
      </c>
      <c r="D18" s="0" t="n">
        <v>20</v>
      </c>
      <c r="E18" s="0" t="n">
        <v>77</v>
      </c>
      <c r="F18" s="0" t="n">
        <v>5</v>
      </c>
      <c r="G18" s="0" t="n">
        <v>73</v>
      </c>
      <c r="I18" s="0" t="n">
        <v>175</v>
      </c>
      <c r="J18" s="0" t="n">
        <v>237</v>
      </c>
      <c r="K18" s="0" t="n">
        <v>41</v>
      </c>
      <c r="L18" s="0" t="n">
        <v>83</v>
      </c>
      <c r="M18" s="0" t="n">
        <v>7133</v>
      </c>
    </row>
  </sheetData>
  <mergeCells count="1"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26" t="s">
        <v>65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customFormat="false" ht="15" hidden="false" customHeight="false" outlineLevel="0" collapsed="false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customFormat="false" ht="15" hidden="false" customHeight="false" outlineLevel="0" collapsed="false">
      <c r="A3" s="26" t="s">
        <v>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customFormat="false" ht="15" hidden="false" customHeight="false" outlineLevel="0" collapsed="false">
      <c r="A4" s="26" t="s">
        <v>23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customFormat="false" ht="15" hidden="false" customHeight="false" outlineLevel="0" collapsed="false">
      <c r="A5" s="26" t="s">
        <v>51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customFormat="false" ht="15" hidden="false" customHeight="true" outlineLevel="0" collapsed="false">
      <c r="A6" s="27" t="s">
        <v>25</v>
      </c>
      <c r="B6" s="27"/>
      <c r="C6" s="27"/>
      <c r="D6" s="27"/>
      <c r="E6" s="27"/>
      <c r="F6" s="27"/>
      <c r="G6" s="27"/>
      <c r="H6" s="27"/>
      <c r="I6" s="27"/>
      <c r="J6" s="27"/>
      <c r="K6" s="26"/>
      <c r="L6" s="26"/>
      <c r="M6" s="26"/>
    </row>
    <row r="9" customFormat="false" ht="15" hidden="false" customHeight="false" outlineLevel="0" collapsed="false">
      <c r="A9" s="28" t="s">
        <v>26</v>
      </c>
      <c r="B9" s="28" t="s">
        <v>27</v>
      </c>
      <c r="C9" s="28" t="s">
        <v>52</v>
      </c>
      <c r="D9" s="28" t="s">
        <v>53</v>
      </c>
      <c r="E9" s="28" t="s">
        <v>54</v>
      </c>
      <c r="F9" s="28" t="s">
        <v>55</v>
      </c>
      <c r="G9" s="28" t="s">
        <v>56</v>
      </c>
      <c r="H9" s="28" t="s">
        <v>57</v>
      </c>
      <c r="I9" s="28" t="s">
        <v>58</v>
      </c>
      <c r="J9" s="28" t="s">
        <v>59</v>
      </c>
      <c r="K9" s="28" t="s">
        <v>60</v>
      </c>
      <c r="L9" s="28" t="s">
        <v>61</v>
      </c>
      <c r="M9" s="28" t="s">
        <v>28</v>
      </c>
    </row>
    <row r="10" customFormat="false" ht="15" hidden="false" customHeight="false" outlineLevel="0" collapsed="false">
      <c r="A10" s="0" t="s">
        <v>35</v>
      </c>
      <c r="B10" s="0" t="n">
        <v>175356</v>
      </c>
      <c r="C10" s="0" t="n">
        <v>7832</v>
      </c>
      <c r="D10" s="0" t="n">
        <v>8530</v>
      </c>
      <c r="E10" s="0" t="n">
        <v>21214</v>
      </c>
      <c r="F10" s="0" t="n">
        <v>5000</v>
      </c>
      <c r="G10" s="0" t="n">
        <v>24006</v>
      </c>
      <c r="H10" s="0" t="n">
        <v>5076</v>
      </c>
      <c r="I10" s="0" t="n">
        <v>31014</v>
      </c>
      <c r="J10" s="0" t="n">
        <v>34093</v>
      </c>
      <c r="K10" s="0" t="n">
        <v>27004</v>
      </c>
      <c r="L10" s="0" t="n">
        <v>11587</v>
      </c>
      <c r="M10" s="0" t="n">
        <v>2232286</v>
      </c>
    </row>
    <row r="11" customFormat="false" ht="15" hidden="false" customHeight="false" outlineLevel="0" collapsed="false">
      <c r="A11" s="0" t="s">
        <v>36</v>
      </c>
      <c r="B11" s="0" t="n">
        <v>172783</v>
      </c>
      <c r="C11" s="0" t="n">
        <v>7621</v>
      </c>
      <c r="D11" s="0" t="n">
        <v>8121</v>
      </c>
      <c r="E11" s="0" t="n">
        <v>20619</v>
      </c>
      <c r="F11" s="0" t="n">
        <v>4970</v>
      </c>
      <c r="G11" s="0" t="n">
        <v>23590</v>
      </c>
      <c r="H11" s="0" t="n">
        <v>5060</v>
      </c>
      <c r="I11" s="0" t="n">
        <v>31073</v>
      </c>
      <c r="J11" s="0" t="n">
        <v>33785</v>
      </c>
      <c r="K11" s="0" t="n">
        <v>26304</v>
      </c>
      <c r="L11" s="0" t="n">
        <v>11640</v>
      </c>
      <c r="M11" s="0" t="n">
        <v>2241532</v>
      </c>
    </row>
    <row r="12" customFormat="false" ht="15" hidden="false" customHeight="false" outlineLevel="0" collapsed="false">
      <c r="A12" s="0" t="s">
        <v>37</v>
      </c>
      <c r="B12" s="0" t="n">
        <v>180932</v>
      </c>
      <c r="C12" s="0" t="n">
        <v>8065</v>
      </c>
      <c r="D12" s="0" t="n">
        <v>8558</v>
      </c>
      <c r="E12" s="0" t="n">
        <v>22412</v>
      </c>
      <c r="F12" s="0" t="n">
        <v>4835</v>
      </c>
      <c r="G12" s="0" t="n">
        <v>23866</v>
      </c>
      <c r="H12" s="0" t="n">
        <v>4973</v>
      </c>
      <c r="I12" s="0" t="n">
        <v>32502</v>
      </c>
      <c r="J12" s="0" t="n">
        <v>36171</v>
      </c>
      <c r="K12" s="0" t="n">
        <v>27519</v>
      </c>
      <c r="L12" s="0" t="n">
        <v>12031</v>
      </c>
      <c r="M12" s="0" t="n">
        <v>2379531</v>
      </c>
    </row>
    <row r="13" customFormat="false" ht="15" hidden="false" customHeight="false" outlineLevel="0" collapsed="false">
      <c r="A13" s="0" t="s">
        <v>38</v>
      </c>
      <c r="B13" s="0" t="n">
        <v>191770</v>
      </c>
      <c r="C13" s="0" t="n">
        <v>8372</v>
      </c>
      <c r="D13" s="0" t="n">
        <v>8784</v>
      </c>
      <c r="E13" s="0" t="n">
        <v>23533</v>
      </c>
      <c r="F13" s="0" t="n">
        <v>5184</v>
      </c>
      <c r="G13" s="0" t="n">
        <v>24914</v>
      </c>
      <c r="H13" s="0" t="n">
        <v>5217</v>
      </c>
      <c r="I13" s="0" t="n">
        <v>34569</v>
      </c>
      <c r="J13" s="0" t="n">
        <v>39689</v>
      </c>
      <c r="K13" s="0" t="n">
        <v>28840</v>
      </c>
      <c r="L13" s="0" t="n">
        <v>12668</v>
      </c>
      <c r="M13" s="0" t="n">
        <v>2517509</v>
      </c>
    </row>
    <row r="14" customFormat="false" ht="15" hidden="false" customHeight="false" outlineLevel="0" collapsed="false">
      <c r="A14" s="0" t="s">
        <v>39</v>
      </c>
      <c r="B14" s="0" t="n">
        <v>202396</v>
      </c>
      <c r="C14" s="0" t="n">
        <v>8761</v>
      </c>
      <c r="D14" s="0" t="n">
        <v>9421</v>
      </c>
      <c r="E14" s="0" t="n">
        <v>23825</v>
      </c>
      <c r="F14" s="0" t="n">
        <v>5340</v>
      </c>
      <c r="G14" s="0" t="n">
        <v>26364</v>
      </c>
      <c r="H14" s="0" t="n">
        <v>5403</v>
      </c>
      <c r="I14" s="0" t="n">
        <v>36311</v>
      </c>
      <c r="J14" s="0" t="n">
        <v>42852</v>
      </c>
      <c r="K14" s="0" t="n">
        <v>30955</v>
      </c>
      <c r="L14" s="0" t="n">
        <v>13164</v>
      </c>
      <c r="M14" s="0" t="n">
        <v>2647819</v>
      </c>
    </row>
    <row r="15" customFormat="false" ht="15" hidden="false" customHeight="false" outlineLevel="0" collapsed="false">
      <c r="A15" s="0" t="s">
        <v>40</v>
      </c>
      <c r="B15" s="0" t="n">
        <v>209898</v>
      </c>
      <c r="C15" s="0" t="n">
        <v>8809</v>
      </c>
      <c r="D15" s="0" t="n">
        <v>10307</v>
      </c>
      <c r="E15" s="0" t="n">
        <v>24899</v>
      </c>
      <c r="F15" s="0" t="n">
        <v>5710</v>
      </c>
      <c r="G15" s="0" t="n">
        <v>26262</v>
      </c>
      <c r="H15" s="0" t="n">
        <v>5756</v>
      </c>
      <c r="I15" s="0" t="n">
        <v>37724</v>
      </c>
      <c r="J15" s="0" t="n">
        <v>44562</v>
      </c>
      <c r="K15" s="0" t="n">
        <v>31793</v>
      </c>
      <c r="L15" s="0" t="n">
        <v>14076</v>
      </c>
      <c r="M15" s="0" t="n">
        <v>2735116</v>
      </c>
    </row>
    <row r="16" customFormat="false" ht="15" hidden="false" customHeight="false" outlineLevel="0" collapsed="false">
      <c r="A16" s="0" t="s">
        <v>41</v>
      </c>
      <c r="B16" s="0" t="n">
        <v>212719</v>
      </c>
      <c r="C16" s="0" t="n">
        <v>9149</v>
      </c>
      <c r="D16" s="0" t="n">
        <v>9722</v>
      </c>
      <c r="E16" s="0" t="n">
        <v>24773</v>
      </c>
      <c r="F16" s="0" t="n">
        <v>5737</v>
      </c>
      <c r="G16" s="0" t="n">
        <v>26798</v>
      </c>
      <c r="H16" s="0" t="n">
        <v>5667</v>
      </c>
      <c r="I16" s="0" t="n">
        <v>37508</v>
      </c>
      <c r="J16" s="0" t="n">
        <v>47807</v>
      </c>
      <c r="K16" s="0" t="n">
        <v>31335</v>
      </c>
      <c r="L16" s="0" t="n">
        <v>14223</v>
      </c>
      <c r="M16" s="0" t="n">
        <v>2790180</v>
      </c>
    </row>
    <row r="17" customFormat="false" ht="15" hidden="false" customHeight="false" outlineLevel="0" collapsed="false">
      <c r="A17" s="0" t="s">
        <v>42</v>
      </c>
      <c r="B17" s="0" t="n">
        <v>163349</v>
      </c>
      <c r="C17" s="0" t="n">
        <v>6876</v>
      </c>
      <c r="D17" s="0" t="n">
        <v>7675</v>
      </c>
      <c r="E17" s="0" t="n">
        <v>19716</v>
      </c>
      <c r="F17" s="0" t="n">
        <v>4359</v>
      </c>
      <c r="G17" s="0" t="n">
        <v>21526</v>
      </c>
      <c r="H17" s="0" t="n">
        <v>4402</v>
      </c>
      <c r="I17" s="0" t="n">
        <v>28920</v>
      </c>
      <c r="J17" s="0" t="n">
        <v>35678</v>
      </c>
      <c r="K17" s="0" t="n">
        <v>22437</v>
      </c>
      <c r="L17" s="0" t="n">
        <v>11760</v>
      </c>
      <c r="M17" s="0" t="n">
        <v>2144937</v>
      </c>
    </row>
    <row r="18" customFormat="false" ht="15" hidden="false" customHeight="false" outlineLevel="0" collapsed="false">
      <c r="A18" s="0" t="s">
        <v>43</v>
      </c>
      <c r="B18" s="0" t="n">
        <v>160673</v>
      </c>
      <c r="C18" s="0" t="n">
        <v>6655</v>
      </c>
      <c r="D18" s="0" t="n">
        <v>7416</v>
      </c>
      <c r="E18" s="0" t="n">
        <v>19246</v>
      </c>
      <c r="F18" s="0" t="n">
        <v>4000</v>
      </c>
      <c r="G18" s="0" t="n">
        <v>20675</v>
      </c>
      <c r="H18" s="0" t="n">
        <v>4185</v>
      </c>
      <c r="I18" s="0" t="n">
        <v>29242</v>
      </c>
      <c r="J18" s="0" t="n">
        <v>35187</v>
      </c>
      <c r="K18" s="0" t="n">
        <v>22711</v>
      </c>
      <c r="L18" s="0" t="n">
        <v>12098</v>
      </c>
      <c r="M18" s="0" t="n">
        <v>2189270</v>
      </c>
    </row>
  </sheetData>
  <mergeCells count="1">
    <mergeCell ref="A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2022-05-16T10:17:40Z</dcterms:created>
  <dc:creator>serie_longue</dc:creator>
  <dc:description/>
  <dc:language>fr-FR</dc:language>
  <cp:lastModifiedBy>Laurence Luong</cp:lastModifiedBy>
  <dcterms:modified xsi:type="dcterms:W3CDTF">2022-05-19T11:21:52Z</dcterms:modified>
  <cp:revision>3</cp:revision>
  <dc:subject/>
  <dc:title/>
</cp:coreProperties>
</file>
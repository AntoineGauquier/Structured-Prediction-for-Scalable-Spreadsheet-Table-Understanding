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9.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1.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2.xml" ContentType="application/vnd.openxmlformats-officedocument.drawingml.chartshape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3.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sdres-sas02\SSMSI\Commun\Web Interstats\Rapport d'enquête CVS\CVS 2018\Pour mise en ligne\Excel\"/>
    </mc:Choice>
  </mc:AlternateContent>
  <bookViews>
    <workbookView xWindow="0" yWindow="0" windowWidth="21570" windowHeight="8160"/>
  </bookViews>
  <sheets>
    <sheet name="Repères" sheetId="100" r:id="rId1"/>
    <sheet name="Contexte" sheetId="77" r:id="rId2"/>
    <sheet name="Prejudice" sheetId="78" r:id="rId3"/>
    <sheet name="Recours" sheetId="79" r:id="rId4"/>
    <sheet name="Profil" sheetId="80" r:id="rId5"/>
  </sheets>
  <definedNames>
    <definedName name="CambriolagesColine" localSheetId="1">#REF!</definedName>
    <definedName name="CambriolagesColine" localSheetId="2">#REF!</definedName>
    <definedName name="CambriolagesColine" localSheetId="3">#REF!</definedName>
    <definedName name="CambriolagesColine" localSheetId="0">#REF!</definedName>
    <definedName name="CambriolagesColine">#REF!</definedName>
    <definedName name="d" localSheetId="1">#REF!</definedName>
    <definedName name="d" localSheetId="2">#REF!</definedName>
    <definedName name="d" localSheetId="0">#REF!</definedName>
    <definedName name="d">#REF!</definedName>
    <definedName name="djdkd" localSheetId="1">#REF!</definedName>
    <definedName name="djdkd" localSheetId="2">#REF!</definedName>
    <definedName name="djdkd" localSheetId="0">#REF!</definedName>
    <definedName name="djdkd">#REF!</definedName>
    <definedName name="DonneesActeDL" localSheetId="0">#REF!</definedName>
    <definedName name="DonneesActeDL">#REF!</definedName>
    <definedName name="DonneesAss18">#REF!</definedName>
    <definedName name="DonneesAssurance" localSheetId="1">#REF!</definedName>
    <definedName name="DonneesAssurance" localSheetId="2">#REF!</definedName>
    <definedName name="DonneesAssurance" localSheetId="0">#REF!</definedName>
    <definedName name="DonneesAssurance">#REF!</definedName>
    <definedName name="DonneesAssurance17" localSheetId="0">#REF!</definedName>
    <definedName name="DonneesAssurance17">#REF!</definedName>
    <definedName name="DonneesAssurance2RM" localSheetId="0">#REF!</definedName>
    <definedName name="DonneesAssurance2RM">#REF!</definedName>
    <definedName name="DonneesAssuranceAL" localSheetId="0">#REF!</definedName>
    <definedName name="DonneesAssuranceAL">#REF!</definedName>
    <definedName name="DonneesAssuranceDL" localSheetId="0">#REF!</definedName>
    <definedName name="DonneesAssuranceDL">#REF!</definedName>
    <definedName name="DonneesAssuranceOV" localSheetId="0">#REF!</definedName>
    <definedName name="DonneesAssuranceOV">#REF!</definedName>
    <definedName name="DonneesAssuranceRS" localSheetId="1">#REF!</definedName>
    <definedName name="DonneesAssuranceRS" localSheetId="2">#REF!</definedName>
    <definedName name="DonneesAssuranceRS" localSheetId="0">#REF!</definedName>
    <definedName name="DonneesAssuranceRS">#REF!</definedName>
    <definedName name="DonneesAssuranceVL" localSheetId="0">#REF!</definedName>
    <definedName name="DonneesAssuranceVL">#REF!</definedName>
    <definedName name="DonneesAssuranceVSE" localSheetId="1">#REF!</definedName>
    <definedName name="DonneesAssuranceVSE" localSheetId="2">#REF!</definedName>
    <definedName name="DonneesAssuranceVSE" localSheetId="0">#REF!</definedName>
    <definedName name="DonneesAssuranceVSE">#REF!</definedName>
    <definedName name="DonneesAssuranceVV" localSheetId="0">#REF!</definedName>
    <definedName name="DonneesAssuranceVV">#REF!</definedName>
    <definedName name="DonneesAuteurs" localSheetId="1">#REF!</definedName>
    <definedName name="DonneesAuteurs" localSheetId="2">#REF!</definedName>
    <definedName name="DonneesAuteurs" localSheetId="0">#REF!</definedName>
    <definedName name="DonneesAuteurs">#REF!</definedName>
    <definedName name="DonneesAuteurs17" localSheetId="0">#REF!</definedName>
    <definedName name="DonneesAuteurs17">#REF!</definedName>
    <definedName name="DonneesAuteurs18">#REF!</definedName>
    <definedName name="DonneesAuteursDL" localSheetId="0">#REF!</definedName>
    <definedName name="DonneesAuteursDL">#REF!</definedName>
    <definedName name="DonneesAuteursOV" localSheetId="0">#REF!</definedName>
    <definedName name="DonneesAuteursOV">#REF!</definedName>
    <definedName name="DonneesAuteursVSE" localSheetId="1">#REF!</definedName>
    <definedName name="DonneesAuteursVSE" localSheetId="2">#REF!</definedName>
    <definedName name="DonneesAuteursVSE" localSheetId="0">#REF!</definedName>
    <definedName name="DonneesAuteursVSE">#REF!</definedName>
    <definedName name="DonnéesCambri" localSheetId="1">#REF!</definedName>
    <definedName name="DonnéesCambri" localSheetId="2">#REF!</definedName>
    <definedName name="DonnéesCambri" localSheetId="3">#REF!</definedName>
    <definedName name="DonnéesCambri" localSheetId="0">#REF!</definedName>
    <definedName name="DonnéesCambri">#REF!</definedName>
    <definedName name="DonneesDescFaits2RM" localSheetId="0">#REF!</definedName>
    <definedName name="DonneesDescFaits2RM">#REF!</definedName>
    <definedName name="DonneesDescFaitsVAV" localSheetId="0">#REF!</definedName>
    <definedName name="DonneesDescFaitsVAV">#REF!</definedName>
    <definedName name="DonneesDescVelo" localSheetId="0">#REF!</definedName>
    <definedName name="DonneesDescVelo">#REF!</definedName>
    <definedName name="DonneesEffraction" localSheetId="1">#REF!</definedName>
    <definedName name="DonneesEffraction" localSheetId="2">#REF!</definedName>
    <definedName name="DonneesEffraction" localSheetId="0">#REF!</definedName>
    <definedName name="DonneesEffraction">#REF!</definedName>
    <definedName name="DonneesEntreeVE" localSheetId="1">#REF!</definedName>
    <definedName name="DonneesEntreeVE" localSheetId="2">#REF!</definedName>
    <definedName name="DonneesEntreeVE" localSheetId="0">#REF!</definedName>
    <definedName name="DonneesEntreeVE">#REF!</definedName>
    <definedName name="DonneesPlainte" localSheetId="1">#REF!</definedName>
    <definedName name="DonneesPlainte" localSheetId="2">#REF!</definedName>
    <definedName name="DonneesPlainte" localSheetId="0">#REF!</definedName>
    <definedName name="DonneesPlainte">#REF!</definedName>
    <definedName name="DonneesPlainte17" localSheetId="0">#REF!</definedName>
    <definedName name="DonneesPlainte17">#REF!</definedName>
    <definedName name="DonneesPlainte18">#REF!</definedName>
    <definedName name="DonneesPlainte2RM" localSheetId="0">#REF!</definedName>
    <definedName name="DonneesPlainte2RM">#REF!</definedName>
    <definedName name="DonneesPlainteAL" localSheetId="1">#REF!</definedName>
    <definedName name="DonneesPlainteAL" localSheetId="2">#REF!</definedName>
    <definedName name="DonneesPlainteAL" localSheetId="0">#REF!</definedName>
    <definedName name="DonneesPlainteAL">#REF!</definedName>
    <definedName name="DonneesPlainteOV" localSheetId="0">#REF!</definedName>
    <definedName name="DonneesPlainteOV">#REF!</definedName>
    <definedName name="DonneesPlainteRS" localSheetId="1">#REF!</definedName>
    <definedName name="DonneesPlainteRS" localSheetId="2">#REF!</definedName>
    <definedName name="DonneesPlainteRS" localSheetId="0">#REF!</definedName>
    <definedName name="DonneesPlainteRS">#REF!</definedName>
    <definedName name="DonneesPlainteVAV" localSheetId="0">#REF!</definedName>
    <definedName name="DonneesPlainteVAV">#REF!</definedName>
    <definedName name="DonneesPlainteVL" localSheetId="0">#REF!</definedName>
    <definedName name="DonneesPlainteVL">#REF!</definedName>
    <definedName name="DonneesPlainteVSE" localSheetId="1">#REF!</definedName>
    <definedName name="DonneesPlainteVSE" localSheetId="2">#REF!</definedName>
    <definedName name="DonneesPlainteVSE" localSheetId="0">#REF!</definedName>
    <definedName name="DonneesPlainteVSE">#REF!</definedName>
    <definedName name="DonneesPlainteVV" localSheetId="1">#REF!</definedName>
    <definedName name="DonneesPlainteVV" localSheetId="2">#REF!</definedName>
    <definedName name="DonneesPlainteVV" localSheetId="0">#REF!</definedName>
    <definedName name="DonneesPlainteVV">#REF!</definedName>
    <definedName name="DonneesProfil17" localSheetId="0">#REF!</definedName>
    <definedName name="DonneesProfil17">#REF!</definedName>
    <definedName name="DonneesProfil18">#REF!</definedName>
    <definedName name="DonneesProfilDANSeq18">#REF!</definedName>
    <definedName name="DonneesProfileq18">#REF!</definedName>
    <definedName name="DonneesProfilEqu17" localSheetId="0">#REF!</definedName>
    <definedName name="DonneesProfilEqu17">#REF!</definedName>
    <definedName name="DonneesProfilEqu18">#REF!</definedName>
    <definedName name="DonneesProfilSUReq18">#REF!</definedName>
    <definedName name="DonneesReperes" localSheetId="1">#REF!</definedName>
    <definedName name="DonneesReperes" localSheetId="2">#REF!</definedName>
    <definedName name="DonneesReperes" localSheetId="0">#REF!</definedName>
    <definedName name="DonneesReperes">#REF!</definedName>
    <definedName name="DonneesReperes16" localSheetId="1">#REF!</definedName>
    <definedName name="DonneesReperes16" localSheetId="2">#REF!</definedName>
    <definedName name="DonneesReperes16" localSheetId="0">#REF!</definedName>
    <definedName name="DonneesReperes16">#REF!</definedName>
    <definedName name="DonneesReperes17" localSheetId="0">#REF!</definedName>
    <definedName name="DonneesReperes17">#REF!</definedName>
    <definedName name="DonneesReperes18">#REF!</definedName>
    <definedName name="DonneesReperes2" localSheetId="1">#REF!</definedName>
    <definedName name="DonneesReperes2" localSheetId="2">#REF!</definedName>
    <definedName name="DonneesReperes2" localSheetId="0">#REF!</definedName>
    <definedName name="DonneesReperes2">#REF!</definedName>
    <definedName name="DonneesReperes241016" localSheetId="1">#REF!</definedName>
    <definedName name="DonneesReperes241016" localSheetId="2">#REF!</definedName>
    <definedName name="DonneesReperes241016" localSheetId="0">#REF!</definedName>
    <definedName name="DonneesReperes241016">#REF!</definedName>
    <definedName name="DonneesReperes2RM" localSheetId="0">#REF!</definedName>
    <definedName name="DonneesReperes2RM">#REF!</definedName>
    <definedName name="DonneesReperes2RM2" localSheetId="0">#REF!</definedName>
    <definedName name="DonneesReperes2RM2">#REF!</definedName>
    <definedName name="DonneesReperes3" localSheetId="1">#REF!</definedName>
    <definedName name="DonneesReperes3" localSheetId="2">#REF!</definedName>
    <definedName name="DonneesReperes3" localSheetId="0">#REF!</definedName>
    <definedName name="DonneesReperes3">#REF!</definedName>
    <definedName name="DonneesReperesAL" localSheetId="1">#REF!</definedName>
    <definedName name="DonneesReperesAL" localSheetId="2">#REF!</definedName>
    <definedName name="DonneesReperesAL" localSheetId="0">#REF!</definedName>
    <definedName name="DonneesReperesAL">#REF!</definedName>
    <definedName name="DonneesReperesAL2" localSheetId="1">#REF!</definedName>
    <definedName name="DonneesReperesAL2" localSheetId="2">#REF!</definedName>
    <definedName name="DonneesReperesAL2" localSheetId="0">#REF!</definedName>
    <definedName name="DonneesReperesAL2">#REF!</definedName>
    <definedName name="DonneesReperesDL" localSheetId="0">#REF!</definedName>
    <definedName name="DonneesReperesDL">#REF!</definedName>
    <definedName name="DonneesReperesDV" localSheetId="0">#REF!</definedName>
    <definedName name="DonneesReperesDV">#REF!</definedName>
    <definedName name="DonneesReperesOV" localSheetId="0">#REF!</definedName>
    <definedName name="DonneesReperesOV">#REF!</definedName>
    <definedName name="DonneesReperesOV2" localSheetId="0">#REF!</definedName>
    <definedName name="DonneesReperesOV2">#REF!</definedName>
    <definedName name="DonneesReperesTVAV" localSheetId="0">#REF!</definedName>
    <definedName name="DonneesReperesTVAV">#REF!</definedName>
    <definedName name="DonneesReperesTVAV2" localSheetId="0">#REF!</definedName>
    <definedName name="DonneesReperesTVAV2">#REF!</definedName>
    <definedName name="DonneesReperesVAV" localSheetId="0">#REF!</definedName>
    <definedName name="DonneesReperesVAV">#REF!</definedName>
    <definedName name="DonneesReperesVAV2" localSheetId="0">#REF!</definedName>
    <definedName name="DonneesReperesVAV2">#REF!</definedName>
    <definedName name="DonneesReperesVE" localSheetId="1">#REF!</definedName>
    <definedName name="DonneesReperesVE" localSheetId="2">#REF!</definedName>
    <definedName name="DonneesReperesVE" localSheetId="0">#REF!</definedName>
    <definedName name="DonneesReperesVE">#REF!</definedName>
    <definedName name="DonneesReperesVL" localSheetId="0">#REF!</definedName>
    <definedName name="DonneesReperesVL">#REF!</definedName>
    <definedName name="DonneesReperesVL2" localSheetId="0">#REF!</definedName>
    <definedName name="DonneesReperesVL2">#REF!</definedName>
    <definedName name="DonneesViolencesVAV" localSheetId="0">#REF!</definedName>
    <definedName name="DonneesViolencesVAV">#REF!</definedName>
    <definedName name="DonneesVol" localSheetId="1">#REF!</definedName>
    <definedName name="DonneesVol" localSheetId="2">#REF!</definedName>
    <definedName name="DonneesVol" localSheetId="0">#REF!</definedName>
    <definedName name="DonneesVol">#REF!</definedName>
    <definedName name="DonneesVol17" localSheetId="0">#REF!</definedName>
    <definedName name="DonneesVol17">#REF!</definedName>
    <definedName name="DonneesVol18">#REF!</definedName>
    <definedName name="DonneesVolOV" localSheetId="0">#REF!</definedName>
    <definedName name="DonneesVolOV">#REF!</definedName>
    <definedName name="DonneesVolV" localSheetId="0">#REF!</definedName>
    <definedName name="DonneesVolV">#REF!</definedName>
    <definedName name="DonneesVolVAV" localSheetId="0">#REF!</definedName>
    <definedName name="DonneesVolVAV">#REF!</definedName>
    <definedName name="DonneesVolVAV2" localSheetId="0">#REF!</definedName>
    <definedName name="DonneesVolVAV2">#REF!</definedName>
    <definedName name="DonneesVolVSE" localSheetId="1">#REF!</definedName>
    <definedName name="DonneesVolVSE" localSheetId="2">#REF!</definedName>
    <definedName name="DonneesVolVSE" localSheetId="0">#REF!</definedName>
    <definedName name="DonneesVolVSE">#REF!</definedName>
    <definedName name="Effraction" localSheetId="1">#REF!</definedName>
    <definedName name="Effraction" localSheetId="2">#REF!</definedName>
    <definedName name="Effraction" localSheetId="3">#REF!</definedName>
    <definedName name="Effraction" localSheetId="0">#REF!</definedName>
    <definedName name="Effraction">#REF!</definedName>
    <definedName name="EncadreAssurance17" localSheetId="1">#REF!</definedName>
    <definedName name="EncadreAssurance17" localSheetId="2">#REF!</definedName>
    <definedName name="EncadreAssurance17" localSheetId="0">#REF!</definedName>
    <definedName name="EncadreAssurance17">#REF!</definedName>
    <definedName name="EncadrePolice17" localSheetId="1">#REF!</definedName>
    <definedName name="EncadrePolice17" localSheetId="2">#REF!</definedName>
    <definedName name="EncadrePolice17" localSheetId="0">#REF!</definedName>
    <definedName name="EncadrePolice17">#REF!</definedName>
    <definedName name="NOMONGLETREPERES" localSheetId="1">#REF!</definedName>
    <definedName name="NOMONGLETREPERES" localSheetId="2">#REF!</definedName>
    <definedName name="NOMONGLETREPERES" localSheetId="0">#REF!</definedName>
    <definedName name="NOMONGLETREPERES">#REF!</definedName>
    <definedName name="ONGLETASSURANCE" localSheetId="0">#REF!</definedName>
    <definedName name="ONGLETASSURANCE">#REF!</definedName>
    <definedName name="ONGLETASSURANCEDL" localSheetId="0">#REF!</definedName>
    <definedName name="ONGLETASSURANCEDL">#REF!</definedName>
    <definedName name="ONGLETENTREE" localSheetId="1">#REF!</definedName>
    <definedName name="ONGLETENTREE" localSheetId="2">#REF!</definedName>
    <definedName name="ONGLETENTREE" localSheetId="0">#REF!</definedName>
    <definedName name="ONGLETENTREE">#REF!</definedName>
    <definedName name="ONGLETFAITS" localSheetId="0">#REF!</definedName>
    <definedName name="ONGLETFAITS">#REF!</definedName>
    <definedName name="ONGLETRECOURS" localSheetId="0">#REF!</definedName>
    <definedName name="ONGLETRECOURS">#REF!</definedName>
    <definedName name="ONGLETVOL" localSheetId="1">#REF!</definedName>
    <definedName name="ONGLETVOL" localSheetId="2">#REF!</definedName>
    <definedName name="ONGLETVOL" localSheetId="3">#REF!</definedName>
    <definedName name="ONGLETVOL" localSheetId="0">#REF!</definedName>
    <definedName name="ONGLETVOL">#REF!</definedName>
    <definedName name="ReperesCambri" localSheetId="1">#REF!</definedName>
    <definedName name="ReperesCambri" localSheetId="2">#REF!</definedName>
    <definedName name="ReperesCambri" localSheetId="3">#REF!</definedName>
    <definedName name="ReperesCambri" localSheetId="0">#REF!</definedName>
    <definedName name="ReperesCambri">#REF!</definedName>
    <definedName name="V18_Auteurs">#REF!</definedName>
    <definedName name="V18_DonneesAssurance" localSheetId="0">#REF!</definedName>
    <definedName name="V18_DonneesAssurance">#REF!</definedName>
    <definedName name="V18_DonneesProfil">#REF!</definedName>
    <definedName name="V18_Plainte">#REF!</definedName>
    <definedName name="V18_Reperes">#REF!</definedName>
    <definedName name="V18_Vol">#REF!</definedName>
    <definedName name="_xlnm.Print_Area" localSheetId="4">Profil!$B$2:$H$15</definedName>
    <definedName name="_xlnm.Print_Area" localSheetId="3">Recours!$A$2:$G$14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4" i="100" l="1"/>
  <c r="E14" i="100"/>
  <c r="F14" i="100"/>
  <c r="G14" i="100"/>
  <c r="B14" i="100"/>
  <c r="B73" i="78" l="1"/>
  <c r="C73" i="78"/>
  <c r="C41" i="79" l="1"/>
  <c r="D41" i="79"/>
  <c r="B41" i="79"/>
  <c r="C47" i="79" l="1"/>
  <c r="D47" i="79"/>
  <c r="B47" i="79"/>
  <c r="B45" i="77" l="1"/>
  <c r="B39" i="77"/>
  <c r="B65" i="77"/>
</calcChain>
</file>

<file path=xl/sharedStrings.xml><?xml version="1.0" encoding="utf-8"?>
<sst xmlns="http://schemas.openxmlformats.org/spreadsheetml/2006/main" count="195" uniqueCount="164">
  <si>
    <t>Ensemble</t>
  </si>
  <si>
    <t>Tentatives</t>
  </si>
  <si>
    <t>Données</t>
  </si>
  <si>
    <t>Déclaration à l'assurance</t>
  </si>
  <si>
    <t>30-39 ans</t>
  </si>
  <si>
    <t>40-49 ans</t>
  </si>
  <si>
    <t>50-59 ans</t>
  </si>
  <si>
    <t>Région parisienne</t>
  </si>
  <si>
    <t>Bassin parisien</t>
  </si>
  <si>
    <t>Nord</t>
  </si>
  <si>
    <t>Est</t>
  </si>
  <si>
    <t>Ouest</t>
  </si>
  <si>
    <t>Sud-Ouest</t>
  </si>
  <si>
    <t>Méditerranée</t>
  </si>
  <si>
    <t xml:space="preserve"> </t>
  </si>
  <si>
    <t>Agglomération parisienne</t>
  </si>
  <si>
    <t>Maison de ville groupée</t>
  </si>
  <si>
    <t>Maisons dispersées, hors agglomération</t>
  </si>
  <si>
    <t>Maisons en lotissement, en quartier pavillonnaire</t>
  </si>
  <si>
    <t>Immeubles en ville</t>
  </si>
  <si>
    <t>Immeubles en cité ou grand ensemble</t>
  </si>
  <si>
    <t>Habitat mixte : immeubles et maisons</t>
  </si>
  <si>
    <t>Communes rurales</t>
  </si>
  <si>
    <t>60 ans ou plus</t>
  </si>
  <si>
    <t>Retraités</t>
  </si>
  <si>
    <t>Déclaration à la police ou à la gendarmerie</t>
  </si>
  <si>
    <t>Dégradations</t>
  </si>
  <si>
    <t>Dans un autre lieu</t>
  </si>
  <si>
    <t>Dans un parking ouvert</t>
  </si>
  <si>
    <t>Dans la rue</t>
  </si>
  <si>
    <t>Accessoires automobiles audio-video</t>
  </si>
  <si>
    <t>Accessoires automobiles informatiques</t>
  </si>
  <si>
    <t>Documents administratifs, clés</t>
  </si>
  <si>
    <t>Argent liquide, chèques, cartes bancaires</t>
  </si>
  <si>
    <t>Téléphone portable</t>
  </si>
  <si>
    <t>Vêtements</t>
  </si>
  <si>
    <t>Matériel audio-vidéo, photo ou informatique</t>
  </si>
  <si>
    <t>Vélo</t>
  </si>
  <si>
    <t>Remorque</t>
  </si>
  <si>
    <t>Autres</t>
  </si>
  <si>
    <t>Moins de 30 ans</t>
  </si>
  <si>
    <t>Sur la voiture</t>
  </si>
  <si>
    <t>Dans la voiture</t>
  </si>
  <si>
    <t>Dans ET sur la voiture</t>
  </si>
  <si>
    <t>Etudiants et autres inactifs</t>
  </si>
  <si>
    <t>Zone</t>
  </si>
  <si>
    <t>ensemble</t>
  </si>
  <si>
    <t>Ne sait pas/Refus</t>
  </si>
  <si>
    <t>Elements sur le moment et le lieu des faits</t>
  </si>
  <si>
    <t>Dans le quartier ou le village</t>
  </si>
  <si>
    <t>Hors du quartier ou du village</t>
  </si>
  <si>
    <t>Hiver (janv.-fév. et déc.)</t>
  </si>
  <si>
    <t>Printemps (mars-mai)</t>
  </si>
  <si>
    <t>Été (juin-août)</t>
  </si>
  <si>
    <t>Automne (sept.-nov.)</t>
  </si>
  <si>
    <t>Ensemble des ménages victimes</t>
  </si>
  <si>
    <t>Importants</t>
  </si>
  <si>
    <t>Assez importants</t>
  </si>
  <si>
    <t>Peu importants</t>
  </si>
  <si>
    <t>Pas d'assurance avant les faits</t>
  </si>
  <si>
    <t>Pas de déclaration à l'assurance</t>
  </si>
  <si>
    <t>Pas de déplacement au commissariat ou à la gendarmerie</t>
  </si>
  <si>
    <t>Dépôt de plainte</t>
  </si>
  <si>
    <t>TV ens.</t>
  </si>
  <si>
    <t>TV eq.</t>
  </si>
  <si>
    <t>Centre-Est</t>
  </si>
  <si>
    <t>20 000 - 100 000 hab.</t>
  </si>
  <si>
    <t>100 000 hab. ou plus</t>
  </si>
  <si>
    <t>Maison indépendante, pavillon, ferme</t>
  </si>
  <si>
    <t>Appartement (immeuble 2 - 9 logements)</t>
  </si>
  <si>
    <t>Appartement (immeuble de 10 logements ou +)</t>
  </si>
  <si>
    <t>Modeste</t>
  </si>
  <si>
    <t>Aisé</t>
  </si>
  <si>
    <t>Vol DANS</t>
  </si>
  <si>
    <t>Vol SUR</t>
  </si>
  <si>
    <t>Ne sait pas</t>
  </si>
  <si>
    <t>Pièces automobiles à l'extérieur du véhicule</t>
  </si>
  <si>
    <t>Non renseigné</t>
  </si>
  <si>
    <t>VOL DANS</t>
  </si>
  <si>
    <t>VOL SUR</t>
  </si>
  <si>
    <t>Ménages victimes d'un vol d'objet SUR la voiture</t>
  </si>
  <si>
    <t>Ménages victimes d'un vol d'objet DANS la voiture</t>
  </si>
  <si>
    <t>TV SUR eq</t>
  </si>
  <si>
    <t>TV DANS eq</t>
  </si>
  <si>
    <t>GLOBAL</t>
  </si>
  <si>
    <t>En journée</t>
  </si>
  <si>
    <t>TUU</t>
  </si>
  <si>
    <t>ZEAT</t>
  </si>
  <si>
    <t>TypeLogement</t>
  </si>
  <si>
    <t>TypeVoisinage</t>
  </si>
  <si>
    <t>NIVIE</t>
  </si>
  <si>
    <t>CSPR</t>
  </si>
  <si>
    <t>AgePR</t>
  </si>
  <si>
    <t>Vols d'objet dans ou sur la voiture</t>
  </si>
  <si>
    <t>Ménages victimes de vol d'objet dans ou sur la voiture</t>
  </si>
  <si>
    <t xml:space="preserve">Vols et tentatives de vol d'objets dans ou sur la voiture - indicateurs annuels </t>
  </si>
  <si>
    <t>Dans un garage</t>
  </si>
  <si>
    <t>Dans un parking fermé</t>
  </si>
  <si>
    <t xml:space="preserve">Ensemble </t>
  </si>
  <si>
    <t>NSP</t>
  </si>
  <si>
    <t xml:space="preserve">Vols et tentatives de vol d'objets dans ou sur la voiture </t>
  </si>
  <si>
    <t>Proportion de victimes parmi les ménages (%)</t>
  </si>
  <si>
    <t>Proportion de victimes parmi les ménages équipés (%)</t>
  </si>
  <si>
    <t>Nombre pour 1 000 ménages</t>
  </si>
  <si>
    <t>Nombre pour 1 000 ménages équipés</t>
  </si>
  <si>
    <r>
      <rPr>
        <b/>
        <sz val="9"/>
        <color theme="1" tint="0.34998626667073579"/>
        <rFont val="Albany AMT"/>
        <family val="2"/>
      </rPr>
      <t xml:space="preserve">Champ </t>
    </r>
    <r>
      <rPr>
        <sz val="9"/>
        <color theme="1" tint="0.34998626667073579"/>
        <rFont val="Symbol"/>
        <family val="1"/>
        <charset val="2"/>
      </rPr>
      <t>·</t>
    </r>
    <r>
      <rPr>
        <sz val="9"/>
        <color theme="1" tint="0.34998626667073579"/>
        <rFont val="Albany AMT"/>
        <family val="2"/>
      </rPr>
      <t xml:space="preserve"> Ménages ordinaires de France métropolitaine.</t>
    </r>
  </si>
  <si>
    <r>
      <rPr>
        <b/>
        <sz val="9"/>
        <color theme="1" tint="0.34998626667073579"/>
        <rFont val="Albany AMT"/>
        <family val="2"/>
      </rPr>
      <t xml:space="preserve">Source </t>
    </r>
    <r>
      <rPr>
        <sz val="9"/>
        <color theme="1" tint="0.34998626667073579"/>
        <rFont val="Symbol"/>
        <family val="1"/>
        <charset val="2"/>
      </rPr>
      <t>·</t>
    </r>
    <r>
      <rPr>
        <sz val="9"/>
        <color theme="1" tint="0.34998626667073579"/>
        <rFont val="Albany AMT"/>
        <family val="2"/>
      </rPr>
      <t xml:space="preserve"> Enquêtes Cadre de vie et sécurité 2007 - 2018, Insee-ONDRP-SSMSI.</t>
    </r>
  </si>
  <si>
    <r>
      <t>Note</t>
    </r>
    <r>
      <rPr>
        <sz val="9"/>
        <color theme="1" tint="0.34998626667073579"/>
        <rFont val="Albany AMT"/>
        <family val="2"/>
      </rPr>
      <t xml:space="preserve"> </t>
    </r>
    <r>
      <rPr>
        <sz val="9"/>
        <color theme="1" tint="0.34998626667073579"/>
        <rFont val="Symbol"/>
        <family val="1"/>
        <charset val="2"/>
      </rPr>
      <t>·</t>
    </r>
    <r>
      <rPr>
        <sz val="9"/>
        <color theme="1" tint="0.34998626667073579"/>
        <rFont val="Albany AMT"/>
        <family val="2"/>
      </rPr>
      <t xml:space="preserve"> Les ménages équipés désignent les ménages possédant une voiture.</t>
    </r>
  </si>
  <si>
    <t>Ménages victimes de vol ou tentative de vol d'objet dans ou sur la voiture</t>
  </si>
  <si>
    <r>
      <t>Part de multivictimes</t>
    </r>
    <r>
      <rPr>
        <vertAlign val="superscript"/>
        <sz val="10"/>
        <color rgb="FF000000"/>
        <rFont val="Albany AMT"/>
        <family val="2"/>
      </rPr>
      <t>1</t>
    </r>
    <r>
      <rPr>
        <sz val="10"/>
        <color rgb="FF000000"/>
        <rFont val="Albany AMT"/>
        <family val="2"/>
      </rPr>
      <t xml:space="preserve"> parmi les ménages victimes (%)</t>
    </r>
  </si>
  <si>
    <r>
      <rPr>
        <b/>
        <sz val="9"/>
        <color theme="1" tint="0.34998626667073579"/>
        <rFont val="Albany AMT"/>
        <family val="2"/>
      </rPr>
      <t xml:space="preserve">1. </t>
    </r>
    <r>
      <rPr>
        <sz val="9"/>
        <color theme="1" tint="0.34998626667073579"/>
        <rFont val="Albany AMT"/>
        <family val="2"/>
      </rPr>
      <t>Les multivictimes désignent les ménages ayant subi plusieurs vols ou tentatives de vol d'objets dans ou sur leur voiture au cours d'une année donnée.</t>
    </r>
  </si>
  <si>
    <r>
      <rPr>
        <b/>
        <sz val="9"/>
        <color theme="1" tint="0.34998626667073579"/>
        <rFont val="Albany AMT"/>
        <family val="2"/>
      </rPr>
      <t>Lecture</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667 000 ménages - soit 2,8 % des ménages équipés - déclarent avoir été victimes d'un vol ou d'une tentative de vol d'objet dans ou sur leur voiture en 2017.</t>
    </r>
  </si>
  <si>
    <r>
      <t xml:space="preserve">Type de fait </t>
    </r>
    <r>
      <rPr>
        <sz val="11"/>
        <color rgb="FFCEC118"/>
        <rFont val="Albany AMT"/>
        <family val="2"/>
      </rPr>
      <t>(en % des ménages victimes d'un vol ou d'une tentative)</t>
    </r>
  </si>
  <si>
    <r>
      <t xml:space="preserve">Lieu des faits </t>
    </r>
    <r>
      <rPr>
        <sz val="11"/>
        <color rgb="FFCEC118"/>
        <rFont val="Albany AMT"/>
        <family val="2"/>
      </rPr>
      <t>(en % des ménages victimes d'un vol ou d'une tentative)</t>
    </r>
  </si>
  <si>
    <r>
      <rPr>
        <b/>
        <sz val="9"/>
        <color theme="1" tint="0.34998626667073579"/>
        <rFont val="Albany AMT"/>
        <family val="2"/>
      </rPr>
      <t>Champ</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Ménages ordinaires de France métropolitaine, incident le plus récent dans l'année.</t>
    </r>
  </si>
  <si>
    <r>
      <rPr>
        <b/>
        <sz val="9"/>
        <color theme="1" tint="0.34998626667073579"/>
        <rFont val="Albany AMT"/>
        <family val="2"/>
      </rPr>
      <t>Source</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Enquêtes Cadre de vie et sécurité 2016 à 2018, Insee-ONDRP-SSMSI.</t>
    </r>
  </si>
  <si>
    <r>
      <t xml:space="preserve">Moment des faits </t>
    </r>
    <r>
      <rPr>
        <sz val="11"/>
        <color rgb="FFCEC118"/>
        <rFont val="Albany AMT"/>
        <family val="2"/>
      </rPr>
      <t>(en % des ménages victimes d'un vol ou d'une tentative)</t>
    </r>
  </si>
  <si>
    <t>Vols DANS</t>
  </si>
  <si>
    <t>Pas de dégradations</t>
  </si>
  <si>
    <r>
      <rPr>
        <b/>
        <sz val="9"/>
        <color theme="1" tint="0.34998626667073579"/>
        <rFont val="Albany AMT"/>
        <family val="2"/>
      </rPr>
      <t>Lecture</t>
    </r>
    <r>
      <rPr>
        <sz val="9"/>
        <color theme="1" tint="0.34998626667073579"/>
        <rFont val="Albany AMT"/>
        <family val="2"/>
      </rPr>
      <t xml:space="preserve"> </t>
    </r>
    <r>
      <rPr>
        <sz val="9"/>
        <color theme="1" tint="0.34998626667073579"/>
        <rFont val="Symbol"/>
        <family val="1"/>
        <charset val="2"/>
      </rPr>
      <t>·</t>
    </r>
    <r>
      <rPr>
        <sz val="9"/>
        <color theme="1" tint="0.34998626667073579"/>
        <rFont val="Albany AMT"/>
        <family val="2"/>
      </rPr>
      <t xml:space="preserve"> En moyenne entre 2015 et 2017, 21 % des ménages victimes d'un vol d'objet dans leur voiture déclarent que leur voiture a subi des dégâts importants.</t>
    </r>
  </si>
  <si>
    <t xml:space="preserve">Objets volés </t>
  </si>
  <si>
    <t>vol dans</t>
  </si>
  <si>
    <t>vol sur</t>
  </si>
  <si>
    <t>Dépôt d'une main courante</t>
  </si>
  <si>
    <t>Abandon de la démarche</t>
  </si>
  <si>
    <r>
      <rPr>
        <b/>
        <sz val="9"/>
        <color theme="1" tint="0.34998626667073579"/>
        <rFont val="Albany AMT"/>
        <family val="2"/>
      </rPr>
      <t>Lecture</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En moyenne entre 2015 et 2017, parmi les ménages victimes d'un vol d'objet dans leur voiture, 47 % ont fait une déclaration auprès de leur assurance.</t>
    </r>
  </si>
  <si>
    <t>&lt; 50 €</t>
  </si>
  <si>
    <t>50 ≤ € &lt; 100</t>
  </si>
  <si>
    <t>TOTAL</t>
  </si>
  <si>
    <r>
      <rPr>
        <b/>
        <sz val="9"/>
        <color theme="1" tint="0.34998626667073579"/>
        <rFont val="Albany AMT"/>
        <family val="2"/>
      </rPr>
      <t xml:space="preserve">Lecture </t>
    </r>
    <r>
      <rPr>
        <sz val="9"/>
        <color theme="1" tint="0.34998626667073579"/>
        <rFont val="Symbol"/>
        <family val="1"/>
        <charset val="2"/>
      </rPr>
      <t>·</t>
    </r>
    <r>
      <rPr>
        <sz val="9"/>
        <color theme="1" tint="0.34998626667073579"/>
        <rFont val="Albany AMT"/>
        <family val="2"/>
      </rPr>
      <t xml:space="preserve"> En moyenne entre 2015 et 2017, 19 %  des ménages victimes d'un vol d'objet dans leur voiture déclarent que des accessoires automobiles audio-video ont été volés. S'agissant de la valeur des objets volés, 16 % des ménages victimes d'un vol d'objet dans leur voiture estiment que le préjudice est inférieur à 50 €.</t>
    </r>
  </si>
  <si>
    <t>Moins de 20 000 hab.</t>
  </si>
  <si>
    <r>
      <rPr>
        <b/>
        <sz val="9"/>
        <color theme="1" tint="0.34998626667073579"/>
        <rFont val="Albany AMT"/>
        <family val="2"/>
      </rPr>
      <t>Champ</t>
    </r>
    <r>
      <rPr>
        <sz val="9"/>
        <color theme="1" tint="0.34998626667073579"/>
        <rFont val="Albany AMT"/>
        <family val="2"/>
      </rPr>
      <t> </t>
    </r>
    <r>
      <rPr>
        <sz val="9"/>
        <color theme="1" tint="0.34998626667073579"/>
        <rFont val="Symbol"/>
        <family val="1"/>
        <charset val="2"/>
      </rPr>
      <t>·</t>
    </r>
    <r>
      <rPr>
        <sz val="9"/>
        <color theme="1" tint="0.34998626667073579"/>
        <rFont val="Albany AMT"/>
        <family val="2"/>
      </rPr>
      <t xml:space="preserve"> Ménages ordinaires de France métropolitaine.</t>
    </r>
  </si>
  <si>
    <t>QP</t>
  </si>
  <si>
    <t>QPV</t>
  </si>
  <si>
    <t>Hors QPV</t>
  </si>
  <si>
    <r>
      <rPr>
        <b/>
        <sz val="9"/>
        <color theme="1" tint="0.34998626667073579"/>
        <rFont val="Albany AMT"/>
        <family val="2"/>
      </rPr>
      <t>Lecture</t>
    </r>
    <r>
      <rPr>
        <sz val="9"/>
        <color theme="1" tint="0.34998626667073579"/>
        <rFont val="Albany AMT"/>
        <family val="2"/>
      </rPr>
      <t xml:space="preserve"> </t>
    </r>
    <r>
      <rPr>
        <sz val="9"/>
        <color theme="1" tint="0.34998626667073579"/>
        <rFont val="Symbol"/>
        <family val="1"/>
        <charset val="2"/>
      </rPr>
      <t xml:space="preserve">· </t>
    </r>
    <r>
      <rPr>
        <sz val="9"/>
        <color theme="1" tint="0.34998626667073579"/>
        <rFont val="Albany AMT"/>
        <family val="2"/>
      </rPr>
      <t>En moyenne, chaque année entre 2015 et 2017, 4,1 % des ménages possédant une voiture résidant dans l'agglomération parisienne ont été victimes d'un vol ou d'une tentative de vol d'objet dans ou sur leur voiture.</t>
    </r>
  </si>
  <si>
    <t>Proportion de victimes de vol ou tentative de vol d'objets dans ou sur la voiture selon les caractéristiques de la zone de résidence et du logement</t>
  </si>
  <si>
    <t>Proportion de victimes de vol ou tentative de vol d'objets dans ou sur la voiture selon les caractéristiques socio-démographiques du ménage</t>
  </si>
  <si>
    <t xml:space="preserve">Vols et tentatives de vol d'objet dans ou sur la voiture </t>
  </si>
  <si>
    <t>Proportion de ménages victimes</t>
  </si>
  <si>
    <t>Nombre annuel de vols et tentatives de vol d'objet dans ou sur la voiture et proportion de ménages victimes entre 2008 et 2017</t>
  </si>
  <si>
    <t>…</t>
  </si>
  <si>
    <r>
      <rPr>
        <b/>
        <sz val="9"/>
        <color theme="1" tint="0.34998626667073579"/>
        <rFont val="Albany AMT"/>
        <family val="2"/>
      </rPr>
      <t>Lecture</t>
    </r>
    <r>
      <rPr>
        <sz val="9"/>
        <color theme="1" tint="0.34998626667073579"/>
        <rFont val="Albany AMT"/>
        <family val="2"/>
      </rPr>
      <t xml:space="preserve"> </t>
    </r>
    <r>
      <rPr>
        <sz val="9"/>
        <color theme="1" tint="0.34998626667073579"/>
        <rFont val="Symbol"/>
        <family val="1"/>
        <charset val="2"/>
      </rPr>
      <t>·</t>
    </r>
    <r>
      <rPr>
        <sz val="9"/>
        <color theme="1" tint="0.34998626667073579"/>
        <rFont val="Albany AMT"/>
        <family val="2"/>
      </rPr>
      <t xml:space="preserve"> En moyenne entre 2015 et 2017, 45 % des ménages victimes d'un vol ou d'une tentative de vol d'objet ou d'accessoire dans ou sur leur voiture déclarent que le (ou les) objet(s) volé(s) se trouvai(en)t exclusivement dans la voiture.</t>
    </r>
  </si>
  <si>
    <r>
      <rPr>
        <b/>
        <sz val="9"/>
        <color theme="1" tint="0.34998626667073579"/>
        <rFont val="Albany AMT"/>
        <family val="2"/>
      </rPr>
      <t>Lecture</t>
    </r>
    <r>
      <rPr>
        <sz val="9"/>
        <color theme="1" tint="0.34998626667073579"/>
        <rFont val="Albany AMT"/>
        <family val="2"/>
      </rPr>
      <t xml:space="preserve"> </t>
    </r>
    <r>
      <rPr>
        <sz val="9"/>
        <color theme="1" tint="0.34998626667073579"/>
        <rFont val="Symbol"/>
        <family val="1"/>
        <charset val="2"/>
      </rPr>
      <t>·</t>
    </r>
    <r>
      <rPr>
        <sz val="9"/>
        <color theme="1" tint="0.34998626667073579"/>
        <rFont val="Albany AMT"/>
        <family val="2"/>
      </rPr>
      <t xml:space="preserve"> En moyenne entre 2015 et 2017, 26 % des ménages victimes d'un vol ou d'une tentative de vol dans ou sur leur voiture déclarent que les faits se sont déroulés en pleine journée.</t>
    </r>
  </si>
  <si>
    <r>
      <rPr>
        <b/>
        <sz val="9"/>
        <color theme="1" tint="0.34998626667073579"/>
        <rFont val="Albany AMT"/>
        <family val="2"/>
      </rPr>
      <t>2</t>
    </r>
    <r>
      <rPr>
        <sz val="9"/>
        <color theme="1" tint="0.34998626667073579"/>
        <rFont val="Albany AMT"/>
        <family val="2"/>
      </rPr>
      <t>. y compris tentatives de vol d'objet dans ou sur la voiture.</t>
    </r>
  </si>
  <si>
    <r>
      <rPr>
        <b/>
        <sz val="9"/>
        <color theme="1" tint="0.34998626667073579"/>
        <rFont val="Albany AMT"/>
        <family val="2"/>
      </rPr>
      <t>1</t>
    </r>
    <r>
      <rPr>
        <sz val="9"/>
        <color theme="1" tint="0.34998626667073579"/>
        <rFont val="Albany AMT"/>
        <family val="2"/>
      </rPr>
      <t>. Les ménages pour lesquels, au cours d'un même incident, des objets situés à l'intérieur mais également à l'extérieur du véhicule ont été volés sont considérés comme des ménages victimes de vol d'objet dans la voiture.</t>
    </r>
  </si>
  <si>
    <t>Pièces automobiles à l'intérieur du véhicule</t>
  </si>
  <si>
    <t>Ménages victimes d'un vol d'objet dans ou sur la voiture</t>
  </si>
  <si>
    <t>* Moyenne sur la période 2015-2017.</t>
  </si>
  <si>
    <t>9*</t>
  </si>
  <si>
    <r>
      <rPr>
        <b/>
        <sz val="9"/>
        <color theme="1" tint="0.499984740745262"/>
        <rFont val="Albany AMT"/>
        <family val="2"/>
      </rPr>
      <t>Lecture</t>
    </r>
    <r>
      <rPr>
        <sz val="9"/>
        <color theme="1" tint="0.499984740745262"/>
        <rFont val="Albany AMT"/>
        <family val="2"/>
      </rPr>
      <t xml:space="preserve"> </t>
    </r>
    <r>
      <rPr>
        <sz val="9"/>
        <color theme="1" tint="0.499984740745262"/>
        <rFont val="Symbol"/>
        <family val="1"/>
        <charset val="2"/>
      </rPr>
      <t>·</t>
    </r>
    <r>
      <rPr>
        <sz val="9"/>
        <color theme="1" tint="0.499984740745262"/>
        <rFont val="Albany AMT"/>
        <family val="2"/>
      </rPr>
      <t xml:space="preserve"> En moyenne entre 2015 et 2017, 55 % des ménages victimes d'un vol ou d'une tentative de vol dans ou sur leur voiture déclarent que la voiture était stationnée dans la rue au moment des faits. </t>
    </r>
  </si>
  <si>
    <r>
      <rPr>
        <b/>
        <sz val="9"/>
        <color theme="1" tint="0.34998626667073579"/>
        <rFont val="Albany AMT"/>
        <family val="2"/>
      </rPr>
      <t>Note</t>
    </r>
    <r>
      <rPr>
        <sz val="9"/>
        <color theme="1" tint="0.34998626667073579"/>
        <rFont val="Albany AMT"/>
        <family val="2"/>
      </rPr>
      <t xml:space="preserve"> </t>
    </r>
    <r>
      <rPr>
        <sz val="9"/>
        <color theme="1" tint="0.34998626667073579"/>
        <rFont val="Symbol"/>
        <family val="1"/>
        <charset val="2"/>
      </rPr>
      <t xml:space="preserve">· </t>
    </r>
    <r>
      <rPr>
        <sz val="9"/>
        <color theme="1" tint="0.34998626667073579"/>
        <rFont val="Albany AMT"/>
        <family val="2"/>
      </rPr>
      <t>NS =  Non Significatif, l'effectif de victimes concernées dans l'échantillon est sous le seuil de diffusion.</t>
    </r>
  </si>
  <si>
    <t>Chômeurs</t>
  </si>
  <si>
    <t>Personnes en emploi¹</t>
  </si>
  <si>
    <r>
      <rPr>
        <b/>
        <sz val="9"/>
        <color theme="1" tint="0.34998626667073579"/>
        <rFont val="Albany AMT"/>
        <family val="2"/>
      </rPr>
      <t>1</t>
    </r>
    <r>
      <rPr>
        <sz val="9"/>
        <color theme="1" tint="0.34998626667073579"/>
        <rFont val="Albany AMT"/>
        <family val="2"/>
      </rPr>
      <t>. Y compris apprentis et stages rémunérés.</t>
    </r>
  </si>
  <si>
    <t>De nuit</t>
  </si>
  <si>
    <t>100 ≤ € &lt; 500</t>
  </si>
  <si>
    <t>≥ 500 €</t>
  </si>
  <si>
    <r>
      <rPr>
        <b/>
        <sz val="9"/>
        <color theme="1" tint="0.34998626667073579"/>
        <rFont val="Albany AMT"/>
        <family val="2"/>
      </rPr>
      <t>2</t>
    </r>
    <r>
      <rPr>
        <sz val="9"/>
        <color theme="1" tint="0.34998626667073579"/>
        <rFont val="Albany AMT"/>
        <family val="2"/>
      </rPr>
      <t>. Y compris tentatives de vol d'objet dans ou sur la voiture.</t>
    </r>
  </si>
  <si>
    <r>
      <rPr>
        <b/>
        <sz val="9"/>
        <color theme="1" tint="0.34998626667073579"/>
        <rFont val="Albany AMT"/>
        <family val="2"/>
      </rPr>
      <t>Lecture</t>
    </r>
    <r>
      <rPr>
        <sz val="9"/>
        <color theme="1" tint="0.34998626667073579"/>
        <rFont val="Albany AMT"/>
        <family val="2"/>
      </rPr>
      <t> </t>
    </r>
    <r>
      <rPr>
        <sz val="9"/>
        <color theme="1" tint="0.34998626667073579"/>
        <rFont val="Calibri"/>
        <family val="2"/>
      </rPr>
      <t>•</t>
    </r>
    <r>
      <rPr>
        <sz val="9"/>
        <color theme="1" tint="0.34998626667073579"/>
        <rFont val="Albany AMT"/>
        <family val="2"/>
      </rPr>
      <t xml:space="preserve"> En moyenne entre 2015 et 2017, parmi les ménages victimes d'un vol d'objet sur leur voiture, 76 % ne se sont pas déplacés au commissariat ou à la gendarmerie et 19 % ont déposé plainte.</t>
    </r>
  </si>
  <si>
    <t>Part de ménages victimes effectivement volés (%)</t>
  </si>
  <si>
    <t>Médian inférieur</t>
  </si>
  <si>
    <t>Médian supérieur</t>
  </si>
  <si>
    <t>Données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</si>
</sst>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0.0%"/>
    <numFmt numFmtId="166" formatCode="#,##0,&quot; 000&quot;"/>
    <numFmt numFmtId="167" formatCode="#,##0.0"/>
    <numFmt numFmtId="168" formatCode="0,&quot; 000&quot;"/>
    <numFmt numFmtId="169" formatCode="[$-40C]mmm\-yy;@"/>
  </numFmts>
  <fonts count="43">
    <font>
      <sz val="11"/>
      <color theme="1"/>
      <name val="Calibri"/>
      <family val="2"/>
      <scheme val="minor"/>
    </font>
    <font>
      <b/>
      <sz val="14"/>
      <color theme="5"/>
      <name val="Palatino Linotype"/>
      <family val="1"/>
    </font>
    <font>
      <sz val="11"/>
      <name val="Palatino Linotype"/>
      <family val="1"/>
    </font>
    <font>
      <sz val="8"/>
      <color theme="1"/>
      <name val="Palatino Linotype"/>
      <family val="1"/>
    </font>
    <font>
      <sz val="11"/>
      <color rgb="FF000000"/>
      <name val="Calibri"/>
      <family val="2"/>
      <scheme val="minor"/>
    </font>
    <font>
      <sz val="11"/>
      <color theme="5"/>
      <name val="Calibri"/>
      <family val="2"/>
      <scheme val="minor"/>
    </font>
    <font>
      <b/>
      <sz val="11"/>
      <color theme="1"/>
      <name val="Calibri"/>
      <family val="2"/>
      <scheme val="minor"/>
    </font>
    <font>
      <sz val="8"/>
      <color theme="1" tint="0.499984740745262"/>
      <name val="Palatino Linotype"/>
      <family val="1"/>
    </font>
    <font>
      <sz val="11"/>
      <color theme="1" tint="0.499984740745262"/>
      <name val="Calibri"/>
      <family val="2"/>
      <scheme val="minor"/>
    </font>
    <font>
      <b/>
      <sz val="11"/>
      <color rgb="FF41A3A3"/>
      <name val="Albany AMT"/>
      <family val="2"/>
    </font>
    <font>
      <sz val="9"/>
      <color theme="1" tint="0.499984740745262"/>
      <name val="Albany AMT"/>
      <family val="2"/>
    </font>
    <font>
      <sz val="8"/>
      <name val="Tahoma"/>
      <family val="2"/>
    </font>
    <font>
      <sz val="11"/>
      <color theme="1"/>
      <name val="Times New Roman"/>
      <family val="1"/>
    </font>
    <font>
      <i/>
      <sz val="8"/>
      <color theme="1" tint="0.499984740745262"/>
      <name val="Albany AMT"/>
      <family val="2"/>
    </font>
    <font>
      <i/>
      <sz val="8"/>
      <color theme="1" tint="0.34998626667073579"/>
      <name val="Times New Roman"/>
      <family val="1"/>
    </font>
    <font>
      <sz val="11"/>
      <color theme="1"/>
      <name val="Palatino Linotype"/>
      <family val="1"/>
    </font>
    <font>
      <i/>
      <sz val="8"/>
      <color theme="1" tint="0.34998626667073579"/>
      <name val="Albany AMT"/>
      <family val="2"/>
    </font>
    <font>
      <sz val="8"/>
      <color theme="1" tint="0.499984740745262"/>
      <name val="Calibri"/>
      <family val="2"/>
      <scheme val="minor"/>
    </font>
    <font>
      <sz val="11"/>
      <name val="Calibri"/>
      <family val="2"/>
      <scheme val="minor"/>
    </font>
    <font>
      <sz val="11"/>
      <color theme="1"/>
      <name val="Albany AMT"/>
      <family val="2"/>
    </font>
    <font>
      <sz val="8"/>
      <color theme="1"/>
      <name val="Albany AMT"/>
      <family val="2"/>
    </font>
    <font>
      <b/>
      <sz val="11"/>
      <color rgb="FFCEC118"/>
      <name val="Albany AMT"/>
      <family val="2"/>
    </font>
    <font>
      <sz val="11"/>
      <color rgb="FFCEC118"/>
      <name val="Albany AMT"/>
      <family val="2"/>
    </font>
    <font>
      <b/>
      <sz val="9"/>
      <color theme="0"/>
      <name val="Albany AMT"/>
      <family val="2"/>
    </font>
    <font>
      <b/>
      <sz val="10"/>
      <color rgb="FF000000"/>
      <name val="Albany AMT"/>
      <family val="2"/>
    </font>
    <font>
      <b/>
      <sz val="10"/>
      <color theme="1"/>
      <name val="Albany AMT"/>
      <family val="2"/>
    </font>
    <font>
      <sz val="10"/>
      <color rgb="FF000000"/>
      <name val="Albany AMT"/>
      <family val="2"/>
    </font>
    <font>
      <sz val="10"/>
      <color theme="1"/>
      <name val="Albany AMT"/>
      <family val="2"/>
    </font>
    <font>
      <sz val="10"/>
      <name val="Albany AMT"/>
      <family val="2"/>
    </font>
    <font>
      <b/>
      <sz val="10"/>
      <name val="Albany AMT"/>
      <family val="2"/>
    </font>
    <font>
      <b/>
      <sz val="10"/>
      <color theme="0"/>
      <name val="Albany AMT"/>
      <family val="2"/>
    </font>
    <font>
      <b/>
      <sz val="9"/>
      <color theme="1" tint="0.34998626667073579"/>
      <name val="Albany AMT"/>
      <family val="2"/>
    </font>
    <font>
      <sz val="9"/>
      <color theme="1" tint="0.34998626667073579"/>
      <name val="Albany AMT"/>
      <family val="2"/>
    </font>
    <font>
      <sz val="9"/>
      <color theme="1" tint="0.34998626667073579"/>
      <name val="Symbol"/>
      <family val="1"/>
      <charset val="2"/>
    </font>
    <font>
      <vertAlign val="superscript"/>
      <sz val="10"/>
      <color rgb="FF000000"/>
      <name val="Albany AMT"/>
      <family val="2"/>
    </font>
    <font>
      <sz val="9"/>
      <color theme="1" tint="0.34998626667073579"/>
      <name val="Calibri"/>
      <family val="2"/>
    </font>
    <font>
      <sz val="10"/>
      <color theme="1" tint="0.34998626667073579"/>
      <name val="Calibri Light"/>
      <family val="2"/>
      <scheme val="major"/>
    </font>
    <font>
      <sz val="9"/>
      <color theme="1" tint="0.499984740745262"/>
      <name val="Symbol"/>
      <family val="1"/>
      <charset val="2"/>
    </font>
    <font>
      <b/>
      <sz val="9"/>
      <color theme="1" tint="0.499984740745262"/>
      <name val="Albany AMT"/>
      <family val="2"/>
    </font>
    <font>
      <b/>
      <sz val="11"/>
      <name val="Calibri"/>
      <family val="2"/>
      <scheme val="minor"/>
    </font>
    <font>
      <sz val="9"/>
      <color rgb="FF000000"/>
      <name val="Arial"/>
      <family val="2"/>
    </font>
    <font>
      <sz val="9"/>
      <name val="Arial"/>
      <family val="2"/>
    </font>
    <font>
      <sz val="9"/>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CEC118"/>
        <bgColor indexed="64"/>
      </patternFill>
    </fill>
    <fill>
      <patternFill patternType="solid">
        <fgColor rgb="FFF8F4BE"/>
        <bgColor indexed="64"/>
      </patternFill>
    </fill>
    <fill>
      <patternFill patternType="solid">
        <fgColor theme="0" tint="-0.14999847407452621"/>
        <bgColor indexed="64"/>
      </patternFill>
    </fill>
  </fills>
  <borders count="2">
    <border>
      <left/>
      <right/>
      <top/>
      <bottom/>
      <diagonal/>
    </border>
    <border>
      <left/>
      <right/>
      <top style="medium">
        <color theme="0"/>
      </top>
      <bottom/>
      <diagonal/>
    </border>
  </borders>
  <cellStyleXfs count="1">
    <xf numFmtId="0" fontId="0" fillId="0" borderId="0"/>
  </cellStyleXfs>
  <cellXfs count="147">
    <xf numFmtId="0" fontId="0" fillId="0" borderId="0" xfId="0"/>
    <xf numFmtId="0" fontId="0" fillId="0" borderId="0" xfId="0" applyFill="1"/>
    <xf numFmtId="0" fontId="0" fillId="2" borderId="0" xfId="0" applyFill="1"/>
    <xf numFmtId="0" fontId="2" fillId="2" borderId="0" xfId="0" applyFont="1" applyFill="1" applyBorder="1" applyAlignment="1">
      <alignment vertical="center"/>
    </xf>
    <xf numFmtId="9" fontId="0" fillId="0" borderId="0" xfId="0" applyNumberFormat="1" applyFill="1"/>
    <xf numFmtId="9" fontId="0" fillId="0" borderId="0" xfId="0" applyNumberFormat="1"/>
    <xf numFmtId="0" fontId="3" fillId="2" borderId="0" xfId="0" applyFont="1" applyFill="1" applyAlignment="1">
      <alignment vertical="center"/>
    </xf>
    <xf numFmtId="9" fontId="0" fillId="0" borderId="0" xfId="0" applyNumberFormat="1" applyFill="1" applyAlignment="1">
      <alignment horizontal="left" vertical="center" wrapText="1"/>
    </xf>
    <xf numFmtId="0" fontId="1" fillId="2" borderId="0" xfId="0" applyFont="1" applyFill="1" applyAlignment="1">
      <alignment horizontal="left" vertical="center" wrapText="1"/>
    </xf>
    <xf numFmtId="0" fontId="0" fillId="0" borderId="0" xfId="0" applyAlignment="1">
      <alignment horizontal="left"/>
    </xf>
    <xf numFmtId="0" fontId="0" fillId="0" borderId="0" xfId="0" applyAlignment="1">
      <alignment wrapText="1"/>
    </xf>
    <xf numFmtId="0" fontId="5" fillId="2" borderId="0" xfId="0" applyFont="1" applyFill="1" applyAlignment="1">
      <alignment horizontal="left"/>
    </xf>
    <xf numFmtId="0" fontId="0" fillId="2" borderId="0" xfId="0" applyFill="1" applyAlignment="1">
      <alignment horizontal="left"/>
    </xf>
    <xf numFmtId="0" fontId="0" fillId="0" borderId="0" xfId="0" applyFill="1" applyBorder="1"/>
    <xf numFmtId="0" fontId="0" fillId="0" borderId="0" xfId="0" applyAlignment="1"/>
    <xf numFmtId="0" fontId="8" fillId="2" borderId="0" xfId="0" applyFont="1" applyFill="1"/>
    <xf numFmtId="0" fontId="7" fillId="2" borderId="0" xfId="0" applyFont="1" applyFill="1" applyBorder="1" applyAlignment="1">
      <alignment vertical="center"/>
    </xf>
    <xf numFmtId="0" fontId="11" fillId="2" borderId="0" xfId="0" applyFont="1" applyFill="1" applyBorder="1" applyAlignment="1">
      <alignment horizontal="left" vertical="center"/>
    </xf>
    <xf numFmtId="9" fontId="11" fillId="2" borderId="0" xfId="0" applyNumberFormat="1" applyFont="1" applyFill="1" applyBorder="1" applyAlignment="1">
      <alignment horizontal="center" vertical="center"/>
    </xf>
    <xf numFmtId="0" fontId="12" fillId="0" borderId="0" xfId="0" applyFont="1"/>
    <xf numFmtId="0" fontId="13" fillId="2" borderId="0" xfId="0" applyFont="1" applyFill="1" applyAlignment="1">
      <alignment vertical="center"/>
    </xf>
    <xf numFmtId="0" fontId="14" fillId="2" borderId="0" xfId="0" applyFont="1" applyFill="1"/>
    <xf numFmtId="0" fontId="14" fillId="2" borderId="0" xfId="0" applyFont="1" applyFill="1" applyAlignment="1">
      <alignment horizontal="left" wrapText="1"/>
    </xf>
    <xf numFmtId="169" fontId="0" fillId="0" borderId="0" xfId="0" applyNumberFormat="1" applyAlignment="1" applyProtection="1">
      <alignment vertical="center"/>
    </xf>
    <xf numFmtId="3" fontId="0" fillId="0" borderId="0" xfId="0" applyNumberFormat="1"/>
    <xf numFmtId="0" fontId="9" fillId="2" borderId="0" xfId="0" applyFont="1" applyFill="1" applyAlignment="1">
      <alignment horizontal="center" vertical="center" wrapText="1"/>
    </xf>
    <xf numFmtId="0" fontId="10" fillId="2" borderId="0" xfId="0" applyFont="1" applyFill="1" applyAlignment="1">
      <alignment horizontal="left" wrapText="1"/>
    </xf>
    <xf numFmtId="0" fontId="0" fillId="2" borderId="1" xfId="0" applyFill="1" applyBorder="1"/>
    <xf numFmtId="0" fontId="0" fillId="2" borderId="0" xfId="0" applyFill="1" applyBorder="1"/>
    <xf numFmtId="0" fontId="16" fillId="2" borderId="0" xfId="0" applyFont="1" applyFill="1" applyBorder="1" applyAlignment="1">
      <alignment vertical="center"/>
    </xf>
    <xf numFmtId="0" fontId="17" fillId="2" borderId="0" xfId="0" applyFont="1" applyFill="1"/>
    <xf numFmtId="0" fontId="2" fillId="0" borderId="0" xfId="0" applyFont="1" applyFill="1" applyBorder="1" applyAlignment="1">
      <alignment vertical="center"/>
    </xf>
    <xf numFmtId="9" fontId="18" fillId="0" borderId="0" xfId="0" applyNumberFormat="1" applyFont="1" applyFill="1" applyAlignment="1">
      <alignment horizontal="right"/>
    </xf>
    <xf numFmtId="0" fontId="18" fillId="0" borderId="0" xfId="0" applyFont="1" applyFill="1"/>
    <xf numFmtId="0" fontId="19" fillId="2" borderId="0" xfId="0" applyFont="1" applyFill="1"/>
    <xf numFmtId="0" fontId="20" fillId="2" borderId="0" xfId="0" applyFont="1" applyFill="1" applyAlignment="1">
      <alignment vertical="center"/>
    </xf>
    <xf numFmtId="0" fontId="0" fillId="0" borderId="0" xfId="0" applyFill="1" applyAlignment="1">
      <alignment horizontal="left"/>
    </xf>
    <xf numFmtId="0" fontId="0" fillId="0" borderId="0" xfId="0" applyAlignment="1">
      <alignment horizontal="center" vertical="center"/>
    </xf>
    <xf numFmtId="0" fontId="23" fillId="3" borderId="0" xfId="0" applyFont="1" applyFill="1" applyBorder="1" applyAlignment="1">
      <alignment vertical="center"/>
    </xf>
    <xf numFmtId="0" fontId="26" fillId="2" borderId="0" xfId="0" applyFont="1" applyFill="1" applyBorder="1" applyAlignment="1">
      <alignment horizontal="left" vertical="center"/>
    </xf>
    <xf numFmtId="0" fontId="24" fillId="2" borderId="0" xfId="0" applyFont="1" applyFill="1" applyBorder="1" applyAlignment="1">
      <alignment horizontal="left" vertical="center"/>
    </xf>
    <xf numFmtId="0" fontId="32" fillId="2" borderId="0" xfId="0" applyFont="1" applyFill="1" applyAlignment="1">
      <alignment vertical="center"/>
    </xf>
    <xf numFmtId="0" fontId="32" fillId="2" borderId="0" xfId="0" applyFont="1" applyFill="1" applyBorder="1" applyAlignment="1">
      <alignment vertical="center"/>
    </xf>
    <xf numFmtId="0" fontId="24" fillId="4" borderId="0" xfId="0" applyFont="1" applyFill="1" applyBorder="1" applyAlignment="1">
      <alignment horizontal="left" vertical="center" wrapText="1"/>
    </xf>
    <xf numFmtId="0" fontId="26" fillId="4" borderId="0" xfId="0" applyFont="1" applyFill="1" applyBorder="1" applyAlignment="1">
      <alignment horizontal="left" vertical="center"/>
    </xf>
    <xf numFmtId="0" fontId="29" fillId="4" borderId="0" xfId="0" applyFont="1" applyFill="1" applyBorder="1" applyAlignment="1">
      <alignment wrapText="1"/>
    </xf>
    <xf numFmtId="0" fontId="32" fillId="2" borderId="0" xfId="0" applyFont="1" applyFill="1"/>
    <xf numFmtId="0" fontId="19" fillId="2" borderId="0" xfId="0" applyFont="1" applyFill="1" applyAlignment="1">
      <alignment horizontal="left"/>
    </xf>
    <xf numFmtId="0" fontId="32" fillId="2" borderId="0" xfId="0" applyFont="1" applyFill="1" applyAlignment="1">
      <alignment horizontal="left"/>
    </xf>
    <xf numFmtId="164" fontId="0" fillId="0" borderId="0" xfId="0" applyNumberFormat="1" applyFont="1" applyFill="1" applyAlignment="1">
      <alignment horizontal="right" vertical="center"/>
    </xf>
    <xf numFmtId="0" fontId="30" fillId="3" borderId="0" xfId="0" applyFont="1" applyFill="1" applyBorder="1" applyAlignment="1">
      <alignment horizontal="right" vertical="center"/>
    </xf>
    <xf numFmtId="166" fontId="25" fillId="4" borderId="0" xfId="0" applyNumberFormat="1" applyFont="1" applyFill="1" applyBorder="1" applyAlignment="1">
      <alignment horizontal="right" vertical="center"/>
    </xf>
    <xf numFmtId="167" fontId="27" fillId="2" borderId="0" xfId="0" applyNumberFormat="1" applyFont="1" applyFill="1" applyBorder="1" applyAlignment="1">
      <alignment horizontal="right" vertical="center"/>
    </xf>
    <xf numFmtId="167" fontId="28" fillId="4" borderId="0" xfId="0" applyNumberFormat="1" applyFont="1" applyFill="1" applyBorder="1" applyAlignment="1">
      <alignment horizontal="right" vertical="center"/>
    </xf>
    <xf numFmtId="167" fontId="27" fillId="4" borderId="0" xfId="0" applyNumberFormat="1" applyFont="1" applyFill="1" applyBorder="1" applyAlignment="1">
      <alignment horizontal="right" vertical="center"/>
    </xf>
    <xf numFmtId="164" fontId="27" fillId="4" borderId="0" xfId="0" applyNumberFormat="1" applyFont="1" applyFill="1" applyBorder="1" applyAlignment="1">
      <alignment horizontal="right" vertical="center"/>
    </xf>
    <xf numFmtId="166" fontId="29" fillId="2" borderId="0" xfId="0" applyNumberFormat="1" applyFont="1" applyFill="1" applyBorder="1" applyAlignment="1">
      <alignment horizontal="right" vertical="center"/>
    </xf>
    <xf numFmtId="166" fontId="25" fillId="2" borderId="0" xfId="0" applyNumberFormat="1" applyFont="1" applyFill="1" applyBorder="1" applyAlignment="1">
      <alignment horizontal="right" vertical="center"/>
    </xf>
    <xf numFmtId="1" fontId="28" fillId="4" borderId="0" xfId="0" applyNumberFormat="1" applyFont="1" applyFill="1" applyBorder="1" applyAlignment="1">
      <alignment horizontal="right" vertical="center"/>
    </xf>
    <xf numFmtId="1" fontId="27" fillId="4" borderId="0" xfId="0" applyNumberFormat="1" applyFont="1" applyFill="1" applyBorder="1" applyAlignment="1">
      <alignment horizontal="right" vertical="center"/>
    </xf>
    <xf numFmtId="1" fontId="28" fillId="2" borderId="0" xfId="0" applyNumberFormat="1" applyFont="1" applyFill="1" applyBorder="1" applyAlignment="1">
      <alignment horizontal="right" vertical="center"/>
    </xf>
    <xf numFmtId="1" fontId="27" fillId="2" borderId="0" xfId="0" applyNumberFormat="1" applyFont="1" applyFill="1" applyBorder="1" applyAlignment="1">
      <alignment horizontal="right" vertical="center"/>
    </xf>
    <xf numFmtId="168" fontId="29" fillId="4" borderId="0" xfId="0" applyNumberFormat="1" applyFont="1" applyFill="1" applyBorder="1" applyAlignment="1">
      <alignment horizontal="right" vertical="center"/>
    </xf>
    <xf numFmtId="164" fontId="28" fillId="2" borderId="0" xfId="0" applyNumberFormat="1" applyFont="1" applyFill="1" applyBorder="1" applyAlignment="1">
      <alignment horizontal="right" vertical="center"/>
    </xf>
    <xf numFmtId="164" fontId="28" fillId="4" borderId="0" xfId="0" applyNumberFormat="1" applyFont="1" applyFill="1" applyBorder="1" applyAlignment="1">
      <alignment horizontal="right" vertical="center"/>
    </xf>
    <xf numFmtId="168" fontId="29" fillId="2" borderId="0" xfId="0" applyNumberFormat="1" applyFont="1" applyFill="1" applyBorder="1" applyAlignment="1">
      <alignment horizontal="right" vertical="center"/>
    </xf>
    <xf numFmtId="0" fontId="27" fillId="0" borderId="0" xfId="0" applyFont="1"/>
    <xf numFmtId="0" fontId="0" fillId="2" borderId="0" xfId="0" applyFill="1" applyAlignment="1">
      <alignment horizontal="right"/>
    </xf>
    <xf numFmtId="9" fontId="11" fillId="2" borderId="0" xfId="0" applyNumberFormat="1" applyFont="1" applyFill="1" applyBorder="1" applyAlignment="1">
      <alignment horizontal="right" vertical="center"/>
    </xf>
    <xf numFmtId="0" fontId="14" fillId="2" borderId="0" xfId="0" applyFont="1" applyFill="1" applyAlignment="1">
      <alignment horizontal="right"/>
    </xf>
    <xf numFmtId="0" fontId="14" fillId="2" borderId="0" xfId="0" applyFont="1" applyFill="1" applyAlignment="1">
      <alignment horizontal="right" wrapText="1"/>
    </xf>
    <xf numFmtId="0" fontId="0" fillId="0" borderId="0" xfId="0" applyAlignment="1">
      <alignment horizontal="right"/>
    </xf>
    <xf numFmtId="0" fontId="32" fillId="2" borderId="0" xfId="0" applyFont="1" applyFill="1" applyBorder="1" applyAlignment="1">
      <alignment horizontal="left"/>
    </xf>
    <xf numFmtId="0" fontId="32" fillId="2" borderId="0" xfId="0" applyFont="1" applyFill="1" applyAlignment="1">
      <alignment wrapText="1"/>
    </xf>
    <xf numFmtId="0" fontId="29" fillId="2" borderId="0" xfId="0" applyFont="1" applyFill="1" applyBorder="1" applyAlignment="1">
      <alignment horizontal="left" vertical="center"/>
    </xf>
    <xf numFmtId="3" fontId="0" fillId="0" borderId="0" xfId="0" applyNumberFormat="1" applyAlignment="1">
      <alignment horizontal="right"/>
    </xf>
    <xf numFmtId="0" fontId="21" fillId="2" borderId="0" xfId="0" applyFont="1" applyFill="1" applyBorder="1" applyAlignment="1">
      <alignment horizontal="center" wrapText="1"/>
    </xf>
    <xf numFmtId="0" fontId="21" fillId="2" borderId="0" xfId="0" applyFont="1" applyFill="1" applyBorder="1" applyAlignment="1">
      <alignment horizontal="center" vertical="center" wrapText="1"/>
    </xf>
    <xf numFmtId="0" fontId="32" fillId="2" borderId="0" xfId="0" applyFont="1" applyFill="1" applyBorder="1" applyAlignment="1">
      <alignment horizontal="left" wrapText="1"/>
    </xf>
    <xf numFmtId="0" fontId="31" fillId="2" borderId="0" xfId="0" applyFont="1" applyFill="1" applyBorder="1" applyAlignment="1">
      <alignment horizontal="left" wrapText="1"/>
    </xf>
    <xf numFmtId="0" fontId="32" fillId="2" borderId="0" xfId="0" applyFont="1" applyFill="1" applyAlignment="1">
      <alignment horizontal="left" wrapText="1"/>
    </xf>
    <xf numFmtId="0" fontId="21" fillId="2" borderId="0" xfId="0" applyFont="1" applyFill="1" applyAlignment="1">
      <alignment horizontal="center" vertical="center" wrapText="1"/>
    </xf>
    <xf numFmtId="0" fontId="21" fillId="2" borderId="0" xfId="0" applyFont="1" applyFill="1" applyAlignment="1">
      <alignment horizontal="center" wrapText="1"/>
    </xf>
    <xf numFmtId="0" fontId="10" fillId="2" borderId="0" xfId="0" applyFont="1" applyFill="1" applyAlignment="1">
      <alignment horizontal="left" vertical="center" wrapText="1"/>
    </xf>
    <xf numFmtId="0" fontId="32" fillId="2" borderId="0" xfId="0" applyFont="1" applyFill="1" applyBorder="1" applyAlignment="1">
      <alignment horizontal="left" vertical="center" wrapText="1"/>
    </xf>
    <xf numFmtId="0" fontId="10" fillId="2" borderId="0" xfId="0" applyFont="1" applyFill="1" applyAlignment="1">
      <alignment horizontal="left" wrapText="1"/>
    </xf>
    <xf numFmtId="0" fontId="21" fillId="2" borderId="0" xfId="0" applyFont="1" applyFill="1" applyAlignment="1">
      <alignment horizontal="center" vertical="center"/>
    </xf>
    <xf numFmtId="2" fontId="32" fillId="2" borderId="0" xfId="0" applyNumberFormat="1" applyFont="1" applyFill="1" applyAlignment="1">
      <alignment horizontal="left" wrapText="1"/>
    </xf>
    <xf numFmtId="0" fontId="22" fillId="2" borderId="0" xfId="0" applyFont="1" applyFill="1" applyAlignment="1">
      <alignment horizontal="center" vertical="center" wrapText="1"/>
    </xf>
    <xf numFmtId="0" fontId="32" fillId="2" borderId="0" xfId="0" applyFont="1" applyFill="1" applyAlignment="1">
      <alignment horizontal="left" vertical="center" wrapText="1"/>
    </xf>
    <xf numFmtId="0" fontId="21" fillId="2" borderId="0" xfId="0" applyFont="1" applyFill="1" applyAlignment="1">
      <alignment horizontal="center" vertical="top" wrapText="1"/>
    </xf>
    <xf numFmtId="0" fontId="6" fillId="5" borderId="0" xfId="0" applyFont="1" applyFill="1"/>
    <xf numFmtId="0" fontId="0" fillId="5" borderId="0" xfId="0" applyFill="1"/>
    <xf numFmtId="0" fontId="0" fillId="5" borderId="0" xfId="0" applyFill="1" applyAlignment="1">
      <alignment horizontal="right"/>
    </xf>
    <xf numFmtId="0" fontId="6" fillId="5" borderId="0" xfId="0" applyFont="1" applyFill="1" applyAlignment="1">
      <alignment horizontal="right"/>
    </xf>
    <xf numFmtId="0" fontId="6" fillId="5" borderId="0" xfId="0" applyFont="1" applyFill="1" applyAlignment="1">
      <alignment horizontal="left" vertical="center" wrapText="1"/>
    </xf>
    <xf numFmtId="3" fontId="0" fillId="5" borderId="0" xfId="0" applyNumberFormat="1" applyFill="1" applyAlignment="1"/>
    <xf numFmtId="3" fontId="0" fillId="5" borderId="0" xfId="0" applyNumberFormat="1" applyFill="1" applyAlignment="1">
      <alignment horizontal="right"/>
    </xf>
    <xf numFmtId="0" fontId="6" fillId="5" borderId="0" xfId="0" applyFont="1" applyFill="1" applyBorder="1" applyAlignment="1">
      <alignment horizontal="left"/>
    </xf>
    <xf numFmtId="0" fontId="6" fillId="5" borderId="0" xfId="0" applyFont="1" applyFill="1" applyAlignment="1">
      <alignment horizontal="left"/>
    </xf>
    <xf numFmtId="0" fontId="15" fillId="5" borderId="0" xfId="0" applyFont="1" applyFill="1"/>
    <xf numFmtId="0" fontId="15" fillId="5" borderId="0" xfId="0" applyFont="1" applyFill="1" applyAlignment="1">
      <alignment horizontal="right"/>
    </xf>
    <xf numFmtId="164" fontId="0" fillId="5" borderId="0" xfId="0" applyNumberFormat="1" applyFill="1" applyAlignment="1">
      <alignment horizontal="center" vertical="center"/>
    </xf>
    <xf numFmtId="0" fontId="0" fillId="5" borderId="0" xfId="0" applyFill="1" applyBorder="1"/>
    <xf numFmtId="9" fontId="0" fillId="5" borderId="0" xfId="0" applyNumberFormat="1" applyFill="1" applyBorder="1"/>
    <xf numFmtId="0" fontId="6" fillId="5" borderId="0" xfId="0" applyFont="1" applyFill="1" applyBorder="1"/>
    <xf numFmtId="9" fontId="6" fillId="5" borderId="0" xfId="0" applyNumberFormat="1" applyFont="1" applyFill="1" applyBorder="1"/>
    <xf numFmtId="0" fontId="6" fillId="5" borderId="0" xfId="0" applyFont="1" applyFill="1" applyBorder="1" applyAlignment="1">
      <alignment horizontal="right"/>
    </xf>
    <xf numFmtId="0" fontId="0" fillId="5" borderId="0" xfId="0" applyFill="1" applyAlignment="1">
      <alignment wrapText="1"/>
    </xf>
    <xf numFmtId="1" fontId="0" fillId="5" borderId="0" xfId="0" applyNumberFormat="1" applyFill="1"/>
    <xf numFmtId="1" fontId="0" fillId="5" borderId="0" xfId="0" applyNumberFormat="1" applyFill="1" applyBorder="1"/>
    <xf numFmtId="9" fontId="0" fillId="5" borderId="0" xfId="0" applyNumberFormat="1" applyFill="1"/>
    <xf numFmtId="1" fontId="0" fillId="5" borderId="0" xfId="0" applyNumberFormat="1" applyFill="1" applyAlignment="1"/>
    <xf numFmtId="1" fontId="0" fillId="5" borderId="0" xfId="0" applyNumberFormat="1" applyFill="1" applyAlignment="1">
      <alignment wrapText="1"/>
    </xf>
    <xf numFmtId="9" fontId="0" fillId="5" borderId="0" xfId="0" applyNumberFormat="1" applyFill="1" applyAlignment="1">
      <alignment wrapText="1"/>
    </xf>
    <xf numFmtId="9" fontId="6" fillId="5" borderId="0" xfId="0" applyNumberFormat="1" applyFont="1" applyFill="1" applyBorder="1" applyAlignment="1">
      <alignment horizontal="right"/>
    </xf>
    <xf numFmtId="0" fontId="0" fillId="5" borderId="0" xfId="0" applyFill="1" applyAlignment="1"/>
    <xf numFmtId="9" fontId="0" fillId="5" borderId="0" xfId="0" applyNumberFormat="1" applyFill="1" applyAlignment="1"/>
    <xf numFmtId="0" fontId="0" fillId="5" borderId="0" xfId="0" quotePrefix="1" applyFill="1" applyAlignment="1">
      <alignment horizontal="left"/>
    </xf>
    <xf numFmtId="0" fontId="36" fillId="5" borderId="0" xfId="0" applyFont="1" applyFill="1" applyBorder="1" applyAlignment="1">
      <alignment horizontal="left" vertical="top" wrapText="1"/>
    </xf>
    <xf numFmtId="0" fontId="36" fillId="5" borderId="0" xfId="0" applyFont="1" applyFill="1" applyBorder="1"/>
    <xf numFmtId="3" fontId="36" fillId="5" borderId="0" xfId="0" applyNumberFormat="1" applyFont="1" applyFill="1" applyBorder="1"/>
    <xf numFmtId="0" fontId="36" fillId="5" borderId="0" xfId="0" applyFont="1" applyFill="1"/>
    <xf numFmtId="0" fontId="39" fillId="5" borderId="0" xfId="0" applyFont="1" applyFill="1"/>
    <xf numFmtId="0" fontId="18" fillId="5" borderId="0" xfId="0" applyFont="1" applyFill="1"/>
    <xf numFmtId="0" fontId="18" fillId="5" borderId="0" xfId="0" applyFont="1" applyFill="1" applyAlignment="1">
      <alignment horizontal="left"/>
    </xf>
    <xf numFmtId="9" fontId="18" fillId="5" borderId="0" xfId="0" applyNumberFormat="1" applyFont="1" applyFill="1" applyAlignment="1">
      <alignment horizontal="right"/>
    </xf>
    <xf numFmtId="0" fontId="0" fillId="5" borderId="0" xfId="0" applyFill="1" applyAlignment="1">
      <alignment horizontal="left"/>
    </xf>
    <xf numFmtId="0" fontId="6" fillId="5" borderId="0" xfId="0" applyFont="1" applyFill="1" applyAlignment="1">
      <alignment horizontal="left" wrapText="1"/>
    </xf>
    <xf numFmtId="9" fontId="0" fillId="5" borderId="0" xfId="0" applyNumberFormat="1" applyFill="1" applyAlignment="1">
      <alignment horizontal="right"/>
    </xf>
    <xf numFmtId="0" fontId="0" fillId="5" borderId="0" xfId="0" applyFont="1" applyFill="1" applyBorder="1"/>
    <xf numFmtId="0" fontId="6" fillId="5" borderId="0" xfId="0" applyFont="1" applyFill="1" applyBorder="1" applyAlignment="1">
      <alignment horizontal="left" vertical="center"/>
    </xf>
    <xf numFmtId="0" fontId="6" fillId="5" borderId="0" xfId="0" applyFont="1" applyFill="1" applyAlignment="1">
      <alignment horizontal="right" vertical="center"/>
    </xf>
    <xf numFmtId="165" fontId="0" fillId="5" borderId="0" xfId="0" applyNumberFormat="1" applyFont="1" applyFill="1" applyAlignment="1">
      <alignment horizontal="right" vertical="center"/>
    </xf>
    <xf numFmtId="165" fontId="6" fillId="5" borderId="0" xfId="0" applyNumberFormat="1" applyFont="1" applyFill="1" applyAlignment="1">
      <alignment horizontal="right" vertical="center"/>
    </xf>
    <xf numFmtId="165" fontId="4" fillId="5" borderId="0" xfId="0" applyNumberFormat="1" applyFont="1" applyFill="1" applyAlignment="1">
      <alignment horizontal="right" vertical="center" wrapText="1"/>
    </xf>
    <xf numFmtId="165" fontId="0" fillId="5" borderId="0" xfId="0" applyNumberFormat="1" applyFont="1" applyFill="1" applyBorder="1" applyAlignment="1">
      <alignment horizontal="right" vertical="center"/>
    </xf>
    <xf numFmtId="165" fontId="4" fillId="5" borderId="0" xfId="0" applyNumberFormat="1" applyFont="1" applyFill="1" applyBorder="1" applyAlignment="1">
      <alignment horizontal="right" vertical="center" wrapText="1"/>
    </xf>
    <xf numFmtId="0" fontId="0" fillId="5" borderId="0" xfId="0" applyFont="1" applyFill="1" applyBorder="1" applyAlignment="1">
      <alignment horizontal="left" vertical="center"/>
    </xf>
    <xf numFmtId="165" fontId="0" fillId="5" borderId="0" xfId="0" applyNumberFormat="1" applyFill="1" applyAlignment="1">
      <alignment horizontal="right" vertical="center"/>
    </xf>
    <xf numFmtId="0" fontId="0" fillId="5" borderId="0" xfId="0" applyFill="1" applyBorder="1" applyAlignment="1">
      <alignment horizontal="left" vertical="center"/>
    </xf>
    <xf numFmtId="165" fontId="0" fillId="5" borderId="0" xfId="0" applyNumberFormat="1" applyFill="1" applyAlignment="1">
      <alignment horizontal="right"/>
    </xf>
    <xf numFmtId="0" fontId="40" fillId="5" borderId="0" xfId="0" applyFont="1" applyFill="1" applyBorder="1" applyAlignment="1">
      <alignment horizontal="left" vertical="center" wrapText="1"/>
    </xf>
    <xf numFmtId="0" fontId="41" fillId="5" borderId="0" xfId="0" applyFont="1" applyFill="1" applyBorder="1" applyAlignment="1">
      <alignment horizontal="left" vertical="center" wrapText="1"/>
    </xf>
    <xf numFmtId="0" fontId="42" fillId="5" borderId="0" xfId="0" applyFont="1" applyFill="1"/>
    <xf numFmtId="0" fontId="42" fillId="5" borderId="0" xfId="0" applyFont="1" applyFill="1" applyAlignment="1">
      <alignment horizontal="left" vertical="center"/>
    </xf>
    <xf numFmtId="0" fontId="42" fillId="5" borderId="0" xfId="0" applyFont="1" applyFill="1" applyAlignment="1">
      <alignment horizontal="left"/>
    </xf>
  </cellXfs>
  <cellStyles count="1">
    <cellStyle name="Normal" xfId="0" builtinId="0"/>
  </cellStyles>
  <dxfs count="0"/>
  <tableStyles count="0" defaultTableStyle="TableStyleMedium2" defaultPivotStyle="PivotStyleLight16"/>
  <colors>
    <mruColors>
      <color rgb="FFF8F4BE"/>
      <color rgb="FFCEC118"/>
      <color rgb="FFEFE671"/>
      <color rgb="FFE5D619"/>
      <color rgb="FFFF4F4F"/>
      <color rgb="FFF0FEFD"/>
      <color rgb="FFFF3300"/>
      <color rgb="FFDA90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768403949506311E-2"/>
          <c:y val="0.2478347597854616"/>
          <c:w val="0.86013998250218726"/>
          <c:h val="0.64614310167750766"/>
        </c:manualLayout>
      </c:layout>
      <c:barChart>
        <c:barDir val="col"/>
        <c:grouping val="clustered"/>
        <c:varyColors val="0"/>
        <c:ser>
          <c:idx val="1"/>
          <c:order val="1"/>
          <c:tx>
            <c:v>Proportion de victimes parmi les ménages possédant une voiture (en %)</c:v>
          </c:tx>
          <c:spPr>
            <a:solidFill>
              <a:srgbClr val="F8F4BE"/>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Repères!$D$44:$M$44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Repères!$D$49:$M$49</c:f>
              <c:numCache>
                <c:formatCode>0.0</c:formatCode>
                <c:ptCount val="10"/>
                <c:pt idx="0">
                  <c:v>3.6960721577855846</c:v>
                </c:pt>
                <c:pt idx="1">
                  <c:v>3.490706899725462</c:v>
                </c:pt>
                <c:pt idx="2">
                  <c:v>3.4580883316784501</c:v>
                </c:pt>
                <c:pt idx="3">
                  <c:v>3.219118252972458</c:v>
                </c:pt>
                <c:pt idx="4">
                  <c:v>3.3159362957119005</c:v>
                </c:pt>
                <c:pt idx="5">
                  <c:v>3.1434919908857029</c:v>
                </c:pt>
                <c:pt idx="6">
                  <c:v>2.9671084007372341</c:v>
                </c:pt>
                <c:pt idx="7">
                  <c:v>2.5826200687542054</c:v>
                </c:pt>
                <c:pt idx="8">
                  <c:v>2.4317525294044526</c:v>
                </c:pt>
                <c:pt idx="9">
                  <c:v>2.8103128497080991</c:v>
                </c:pt>
              </c:numCache>
            </c:numRef>
          </c:val>
          <c:extLst>
            <c:ext xmlns:c16="http://schemas.microsoft.com/office/drawing/2014/chart" uri="{C3380CC4-5D6E-409C-BE32-E72D297353CC}">
              <c16:uniqueId val="{00000000-B637-4F8F-826A-130B1533EF53}"/>
            </c:ext>
          </c:extLst>
        </c:ser>
        <c:dLbls>
          <c:showLegendKey val="0"/>
          <c:showVal val="0"/>
          <c:showCatName val="0"/>
          <c:showSerName val="0"/>
          <c:showPercent val="0"/>
          <c:showBubbleSize val="0"/>
        </c:dLbls>
        <c:gapWidth val="150"/>
        <c:axId val="120053296"/>
        <c:axId val="120052736"/>
      </c:barChart>
      <c:lineChart>
        <c:grouping val="standard"/>
        <c:varyColors val="0"/>
        <c:ser>
          <c:idx val="0"/>
          <c:order val="0"/>
          <c:tx>
            <c:strRef>
              <c:f>Repères!$A$48</c:f>
              <c:strCache>
                <c:ptCount val="1"/>
                <c:pt idx="0">
                  <c:v>Vols et tentatives de vol d'objet dans ou sur la voiture </c:v>
                </c:pt>
              </c:strCache>
            </c:strRef>
          </c:tx>
          <c:spPr>
            <a:ln w="28575" cap="rnd">
              <a:solidFill>
                <a:srgbClr val="CEC118"/>
              </a:solidFill>
              <a:round/>
            </a:ln>
            <a:effectLst/>
          </c:spPr>
          <c:marker>
            <c:symbol val="none"/>
          </c:marker>
          <c:dLbls>
            <c:dLbl>
              <c:idx val="0"/>
              <c:layout>
                <c:manualLayout>
                  <c:x val="-4.7619047619047616E-2"/>
                  <c:y val="-3.478260869565217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637-4F8F-826A-130B1533EF53}"/>
                </c:ext>
              </c:extLst>
            </c:dLbl>
            <c:dLbl>
              <c:idx val="1"/>
              <c:layout>
                <c:manualLayout>
                  <c:x val="-4.5634920634920632E-2"/>
                  <c:y val="-3.86473429951690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B637-4F8F-826A-130B1533EF53}"/>
                </c:ext>
              </c:extLst>
            </c:dLbl>
            <c:dLbl>
              <c:idx val="2"/>
              <c:delete val="1"/>
              <c:extLst>
                <c:ext xmlns:c15="http://schemas.microsoft.com/office/drawing/2012/chart" uri="{CE6537A1-D6FC-4f65-9D91-7224C49458BB}"/>
                <c:ext xmlns:c16="http://schemas.microsoft.com/office/drawing/2014/chart" uri="{C3380CC4-5D6E-409C-BE32-E72D297353CC}">
                  <c16:uniqueId val="{00000003-B637-4F8F-826A-130B1533EF53}"/>
                </c:ext>
              </c:extLst>
            </c:dLbl>
            <c:dLbl>
              <c:idx val="3"/>
              <c:layout>
                <c:manualLayout>
                  <c:x val="-4.7619047619047616E-2"/>
                  <c:y val="-3.091787439613526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B637-4F8F-826A-130B1533EF53}"/>
                </c:ext>
              </c:extLst>
            </c:dLbl>
            <c:dLbl>
              <c:idx val="4"/>
              <c:delete val="1"/>
              <c:extLst>
                <c:ext xmlns:c15="http://schemas.microsoft.com/office/drawing/2012/chart" uri="{CE6537A1-D6FC-4f65-9D91-7224C49458BB}"/>
                <c:ext xmlns:c16="http://schemas.microsoft.com/office/drawing/2014/chart" uri="{C3380CC4-5D6E-409C-BE32-E72D297353CC}">
                  <c16:uniqueId val="{00000005-B637-4F8F-826A-130B1533EF53}"/>
                </c:ext>
              </c:extLst>
            </c:dLbl>
            <c:dLbl>
              <c:idx val="5"/>
              <c:delete val="1"/>
              <c:extLst>
                <c:ext xmlns:c15="http://schemas.microsoft.com/office/drawing/2012/chart" uri="{CE6537A1-D6FC-4f65-9D91-7224C49458BB}"/>
                <c:ext xmlns:c16="http://schemas.microsoft.com/office/drawing/2014/chart" uri="{C3380CC4-5D6E-409C-BE32-E72D297353CC}">
                  <c16:uniqueId val="{00000006-B637-4F8F-826A-130B1533EF53}"/>
                </c:ext>
              </c:extLst>
            </c:dLbl>
            <c:dLbl>
              <c:idx val="6"/>
              <c:layout>
                <c:manualLayout>
                  <c:x val="-2.976190476190476E-2"/>
                  <c:y val="-2.31884057971014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B637-4F8F-826A-130B1533EF53}"/>
                </c:ext>
              </c:extLst>
            </c:dLbl>
            <c:dLbl>
              <c:idx val="7"/>
              <c:delete val="1"/>
              <c:extLst>
                <c:ext xmlns:c15="http://schemas.microsoft.com/office/drawing/2012/chart" uri="{CE6537A1-D6FC-4f65-9D91-7224C49458BB}"/>
                <c:ext xmlns:c16="http://schemas.microsoft.com/office/drawing/2014/chart" uri="{C3380CC4-5D6E-409C-BE32-E72D297353CC}">
                  <c16:uniqueId val="{00000008-B637-4F8F-826A-130B1533EF53}"/>
                </c:ext>
              </c:extLst>
            </c:dLbl>
            <c:dLbl>
              <c:idx val="8"/>
              <c:layout>
                <c:manualLayout>
                  <c:x val="-5.3571428571428568E-2"/>
                  <c:y val="-3.478260869565224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B637-4F8F-826A-130B1533EF53}"/>
                </c:ext>
              </c:extLst>
            </c:dLbl>
            <c:dLbl>
              <c:idx val="9"/>
              <c:layout>
                <c:manualLayout>
                  <c:x val="-3.5714285714285712E-2"/>
                  <c:y val="-3.091787439613526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B637-4F8F-826A-130B1533EF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Repères!$D$44:$M$44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Repères!$D$48:$M$48</c:f>
              <c:numCache>
                <c:formatCode>#,##0</c:formatCode>
                <c:ptCount val="10"/>
                <c:pt idx="0">
                  <c:v>971000</c:v>
                </c:pt>
                <c:pt idx="1">
                  <c:v>1011000</c:v>
                </c:pt>
                <c:pt idx="2">
                  <c:v>874000</c:v>
                </c:pt>
                <c:pt idx="3">
                  <c:v>830000</c:v>
                </c:pt>
                <c:pt idx="4">
                  <c:v>854000</c:v>
                </c:pt>
                <c:pt idx="5">
                  <c:v>833000</c:v>
                </c:pt>
                <c:pt idx="6">
                  <c:v>813000</c:v>
                </c:pt>
                <c:pt idx="7">
                  <c:v>663000</c:v>
                </c:pt>
                <c:pt idx="8">
                  <c:v>650000</c:v>
                </c:pt>
                <c:pt idx="9">
                  <c:v>775000</c:v>
                </c:pt>
              </c:numCache>
            </c:numRef>
          </c:val>
          <c:smooth val="0"/>
          <c:extLst>
            <c:ext xmlns:c16="http://schemas.microsoft.com/office/drawing/2014/chart" uri="{C3380CC4-5D6E-409C-BE32-E72D297353CC}">
              <c16:uniqueId val="{0000000B-B637-4F8F-826A-130B1533EF53}"/>
            </c:ext>
          </c:extLst>
        </c:ser>
        <c:dLbls>
          <c:showLegendKey val="0"/>
          <c:showVal val="0"/>
          <c:showCatName val="0"/>
          <c:showSerName val="0"/>
          <c:showPercent val="0"/>
          <c:showBubbleSize val="0"/>
        </c:dLbls>
        <c:dropLines>
          <c:spPr>
            <a:ln w="9525" cap="flat" cmpd="sng" algn="ctr">
              <a:solidFill>
                <a:schemeClr val="bg2"/>
              </a:solidFill>
              <a:round/>
            </a:ln>
            <a:effectLst/>
          </c:spPr>
        </c:dropLines>
        <c:marker val="1"/>
        <c:smooth val="0"/>
        <c:axId val="120051616"/>
        <c:axId val="120052176"/>
      </c:lineChart>
      <c:catAx>
        <c:axId val="120051616"/>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120052176"/>
        <c:crossesAt val="0"/>
        <c:auto val="1"/>
        <c:lblAlgn val="ctr"/>
        <c:lblOffset val="100"/>
        <c:noMultiLvlLbl val="0"/>
      </c:catAx>
      <c:valAx>
        <c:axId val="120052176"/>
        <c:scaling>
          <c:orientation val="minMax"/>
          <c:max val="1100000"/>
          <c:min val="0"/>
        </c:scaling>
        <c:delete val="0"/>
        <c:axPos val="l"/>
        <c:numFmt formatCode="#,##0" sourceLinked="0"/>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120051616"/>
        <c:crosses val="autoZero"/>
        <c:crossBetween val="between"/>
        <c:majorUnit val="200000"/>
      </c:valAx>
      <c:valAx>
        <c:axId val="120052736"/>
        <c:scaling>
          <c:orientation val="minMax"/>
          <c:max val="7"/>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120053296"/>
        <c:crosses val="max"/>
        <c:crossBetween val="between"/>
      </c:valAx>
      <c:catAx>
        <c:axId val="120053296"/>
        <c:scaling>
          <c:orientation val="minMax"/>
        </c:scaling>
        <c:delete val="1"/>
        <c:axPos val="b"/>
        <c:numFmt formatCode="General" sourceLinked="1"/>
        <c:majorTickMark val="out"/>
        <c:minorTickMark val="none"/>
        <c:tickLblPos val="nextTo"/>
        <c:crossAx val="120052736"/>
        <c:crosses val="autoZero"/>
        <c:auto val="1"/>
        <c:lblAlgn val="ctr"/>
        <c:lblOffset val="100"/>
        <c:noMultiLvlLbl val="0"/>
      </c:catAx>
      <c:spPr>
        <a:solidFill>
          <a:schemeClr val="bg1"/>
        </a:solidFill>
        <a:ln>
          <a:solidFill>
            <a:schemeClr val="bg1"/>
          </a:solidFill>
        </a:ln>
        <a:effectLst/>
      </c:spPr>
    </c:plotArea>
    <c:legend>
      <c:legendPos val="b"/>
      <c:layout>
        <c:manualLayout>
          <c:xMode val="edge"/>
          <c:yMode val="edge"/>
          <c:x val="0.33147309711286088"/>
          <c:y val="0.12202731180341587"/>
          <c:w val="0.66788010873640791"/>
          <c:h val="0.126662729658792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876328396013438E-2"/>
          <c:y val="0.11910806021042242"/>
          <c:w val="0.35210175651120534"/>
          <c:h val="0.79921509811273594"/>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1-EBDE-4171-A27E-B05F79B4CAC0}"/>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3-EBDE-4171-A27E-B05F79B4CAC0}"/>
              </c:ext>
            </c:extLst>
          </c:dPt>
          <c:dPt>
            <c:idx val="2"/>
            <c:bubble3D val="0"/>
            <c:spPr>
              <a:solidFill>
                <a:schemeClr val="bg1">
                  <a:lumMod val="85000"/>
                </a:schemeClr>
              </a:solidFill>
              <a:ln w="9525" cap="flat" cmpd="sng" algn="ctr">
                <a:noFill/>
                <a:round/>
              </a:ln>
              <a:effectLst/>
            </c:spPr>
            <c:extLst>
              <c:ext xmlns:c16="http://schemas.microsoft.com/office/drawing/2014/chart" uri="{C3380CC4-5D6E-409C-BE32-E72D297353CC}">
                <c16:uniqueId val="{00000005-EBDE-4171-A27E-B05F79B4CAC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Contexte!$A$43:$A$45</c:f>
              <c:strCache>
                <c:ptCount val="3"/>
                <c:pt idx="0">
                  <c:v>En journée</c:v>
                </c:pt>
                <c:pt idx="1">
                  <c:v>De nuit</c:v>
                </c:pt>
                <c:pt idx="2">
                  <c:v>Ne sait pas</c:v>
                </c:pt>
              </c:strCache>
            </c:strRef>
          </c:cat>
          <c:val>
            <c:numRef>
              <c:f>Contexte!$B$43:$B$45</c:f>
              <c:numCache>
                <c:formatCode>0</c:formatCode>
                <c:ptCount val="3"/>
                <c:pt idx="0">
                  <c:v>26.0365426695842</c:v>
                </c:pt>
                <c:pt idx="1">
                  <c:v>62.885339168490198</c:v>
                </c:pt>
                <c:pt idx="2">
                  <c:v>11.078118161925595</c:v>
                </c:pt>
              </c:numCache>
            </c:numRef>
          </c:val>
          <c:extLst>
            <c:ext xmlns:c16="http://schemas.microsoft.com/office/drawing/2014/chart" uri="{C3380CC4-5D6E-409C-BE32-E72D297353CC}">
              <c16:uniqueId val="{00000006-EBDE-4171-A27E-B05F79B4CAC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3273388029293541"/>
          <c:y val="0.30681581468983044"/>
          <c:w val="0.33905989024099265"/>
          <c:h val="0.41269507978169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81991369065174E-2"/>
          <c:y val="0.22447848910190574"/>
          <c:w val="0.26386948215802153"/>
          <c:h val="0.53347540796530857"/>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1-3613-4437-A426-C19DC7F401DF}"/>
              </c:ext>
            </c:extLst>
          </c:dPt>
          <c:dPt>
            <c:idx val="1"/>
            <c:bubble3D val="0"/>
            <c:spPr>
              <a:solidFill>
                <a:schemeClr val="accent6">
                  <a:lumMod val="60000"/>
                  <a:lumOff val="40000"/>
                </a:schemeClr>
              </a:solidFill>
              <a:ln w="9525" cap="flat" cmpd="sng" algn="ctr">
                <a:noFill/>
                <a:round/>
              </a:ln>
              <a:effectLst/>
            </c:spPr>
            <c:extLst>
              <c:ext xmlns:c16="http://schemas.microsoft.com/office/drawing/2014/chart" uri="{C3380CC4-5D6E-409C-BE32-E72D297353CC}">
                <c16:uniqueId val="{00000003-3613-4437-A426-C19DC7F401DF}"/>
              </c:ext>
            </c:extLst>
          </c:dPt>
          <c:dPt>
            <c:idx val="2"/>
            <c:bubble3D val="0"/>
            <c:spPr>
              <a:solidFill>
                <a:schemeClr val="accent4">
                  <a:lumMod val="60000"/>
                  <a:lumOff val="40000"/>
                </a:schemeClr>
              </a:solidFill>
              <a:ln w="9525" cap="flat" cmpd="sng" algn="ctr">
                <a:noFill/>
                <a:round/>
              </a:ln>
              <a:effectLst/>
            </c:spPr>
            <c:extLst>
              <c:ext xmlns:c16="http://schemas.microsoft.com/office/drawing/2014/chart" uri="{C3380CC4-5D6E-409C-BE32-E72D297353CC}">
                <c16:uniqueId val="{00000005-3613-4437-A426-C19DC7F401DF}"/>
              </c:ext>
            </c:extLst>
          </c:dPt>
          <c:dPt>
            <c:idx val="3"/>
            <c:bubble3D val="0"/>
            <c:spPr>
              <a:solidFill>
                <a:schemeClr val="accent2">
                  <a:lumMod val="60000"/>
                  <a:lumOff val="40000"/>
                </a:schemeClr>
              </a:solidFill>
              <a:ln w="9525" cap="flat" cmpd="sng" algn="ctr">
                <a:noFill/>
                <a:round/>
              </a:ln>
              <a:effectLst/>
            </c:spPr>
            <c:extLst>
              <c:ext xmlns:c16="http://schemas.microsoft.com/office/drawing/2014/chart" uri="{C3380CC4-5D6E-409C-BE32-E72D297353CC}">
                <c16:uniqueId val="{00000007-3613-4437-A426-C19DC7F401DF}"/>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Contexte!$A$48:$A$51</c:f>
              <c:strCache>
                <c:ptCount val="4"/>
                <c:pt idx="0">
                  <c:v>Hiver (janv.-fév. et déc.)</c:v>
                </c:pt>
                <c:pt idx="1">
                  <c:v>Printemps (mars-mai)</c:v>
                </c:pt>
                <c:pt idx="2">
                  <c:v>Été (juin-août)</c:v>
                </c:pt>
                <c:pt idx="3">
                  <c:v>Automne (sept.-nov.)</c:v>
                </c:pt>
              </c:strCache>
            </c:strRef>
          </c:cat>
          <c:val>
            <c:numRef>
              <c:f>Contexte!$B$48:$B$51</c:f>
              <c:numCache>
                <c:formatCode>0</c:formatCode>
                <c:ptCount val="4"/>
                <c:pt idx="0">
                  <c:v>24.85</c:v>
                </c:pt>
                <c:pt idx="1">
                  <c:v>21.82</c:v>
                </c:pt>
                <c:pt idx="2">
                  <c:v>23.64</c:v>
                </c:pt>
                <c:pt idx="3">
                  <c:v>29.7</c:v>
                </c:pt>
              </c:numCache>
            </c:numRef>
          </c:val>
          <c:extLst>
            <c:ext xmlns:c16="http://schemas.microsoft.com/office/drawing/2014/chart" uri="{C3380CC4-5D6E-409C-BE32-E72D297353CC}">
              <c16:uniqueId val="{00000008-3613-4437-A426-C19DC7F401D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1946058209562211"/>
          <c:y val="0.28889649663357297"/>
          <c:w val="0.55280711404422034"/>
          <c:h val="0.383705280083232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35911288766286"/>
          <c:y val="5.2452315357530623E-2"/>
          <c:w val="0.24041191204184539"/>
          <c:h val="0.63598287288562128"/>
        </c:manualLayout>
      </c:layout>
      <c:barChart>
        <c:barDir val="bar"/>
        <c:grouping val="clustered"/>
        <c:varyColors val="0"/>
        <c:ser>
          <c:idx val="2"/>
          <c:order val="0"/>
          <c:tx>
            <c:strRef>
              <c:f>Contexte!$D$55</c:f>
              <c:strCache>
                <c:ptCount val="1"/>
                <c:pt idx="0">
                  <c:v>Ensemble des ménages victimes</c:v>
                </c:pt>
              </c:strCache>
            </c:strRef>
          </c:tx>
          <c:spPr>
            <a:solidFill>
              <a:schemeClr val="accent1">
                <a:lumMod val="60000"/>
                <a:lumOff val="40000"/>
              </a:schemeClr>
            </a:solidFill>
            <a:ln w="9525" cap="flat" cmpd="sng" algn="ctr">
              <a:noFill/>
              <a:round/>
            </a:ln>
            <a:effectLst/>
          </c:spPr>
          <c:invertIfNegative val="0"/>
          <c:dLbls>
            <c:dLbl>
              <c:idx val="0"/>
              <c:layout/>
              <c:tx>
                <c:rich>
                  <a:bodyPr/>
                  <a:lstStyle/>
                  <a:p>
                    <a:r>
                      <a:rPr lang="en-US"/>
                      <a:t>NS</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01A-4E85-B9F4-C1C43DF869A5}"/>
                </c:ext>
              </c:extLst>
            </c:dLbl>
            <c:dLbl>
              <c:idx val="1"/>
              <c:layout/>
              <c:tx>
                <c:rich>
                  <a:bodyPr/>
                  <a:lstStyle/>
                  <a:p>
                    <a:r>
                      <a:rPr lang="en-US"/>
                      <a:t>NS</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01A-4E85-B9F4-C1C43DF869A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Contexte!$A$56:$A$60</c:f>
              <c:strCache>
                <c:ptCount val="5"/>
                <c:pt idx="0">
                  <c:v>Dans un autre lieu</c:v>
                </c:pt>
                <c:pt idx="1">
                  <c:v>Dans un garage</c:v>
                </c:pt>
                <c:pt idx="2">
                  <c:v>Dans un parking fermé</c:v>
                </c:pt>
                <c:pt idx="3">
                  <c:v>Dans un parking ouvert</c:v>
                </c:pt>
                <c:pt idx="4">
                  <c:v>Dans la rue</c:v>
                </c:pt>
              </c:strCache>
            </c:strRef>
          </c:cat>
          <c:val>
            <c:numRef>
              <c:f>Contexte!$D$56:$D$60</c:f>
              <c:numCache>
                <c:formatCode>0%</c:formatCode>
                <c:ptCount val="5"/>
                <c:pt idx="0">
                  <c:v>0</c:v>
                </c:pt>
                <c:pt idx="1">
                  <c:v>0</c:v>
                </c:pt>
                <c:pt idx="2">
                  <c:v>9.3789879649890606E-2</c:v>
                </c:pt>
                <c:pt idx="3">
                  <c:v>0.32706280087527401</c:v>
                </c:pt>
                <c:pt idx="4">
                  <c:v>0.55363566739606096</c:v>
                </c:pt>
              </c:numCache>
            </c:numRef>
          </c:val>
          <c:extLst>
            <c:ext xmlns:c16="http://schemas.microsoft.com/office/drawing/2014/chart" uri="{C3380CC4-5D6E-409C-BE32-E72D297353CC}">
              <c16:uniqueId val="{00000002-B01A-4E85-B9F4-C1C43DF869A5}"/>
            </c:ext>
          </c:extLst>
        </c:ser>
        <c:dLbls>
          <c:dLblPos val="inEnd"/>
          <c:showLegendKey val="0"/>
          <c:showVal val="1"/>
          <c:showCatName val="0"/>
          <c:showSerName val="0"/>
          <c:showPercent val="0"/>
          <c:showBubbleSize val="0"/>
        </c:dLbls>
        <c:gapWidth val="60"/>
        <c:axId val="251444288"/>
        <c:axId val="251444848"/>
      </c:barChart>
      <c:catAx>
        <c:axId val="2514442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t"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1444848"/>
        <c:crosses val="autoZero"/>
        <c:auto val="1"/>
        <c:lblAlgn val="ctr"/>
        <c:lblOffset val="100"/>
        <c:noMultiLvlLbl val="0"/>
      </c:catAx>
      <c:valAx>
        <c:axId val="251444848"/>
        <c:scaling>
          <c:orientation val="minMax"/>
          <c:max val="0.65000000000000013"/>
          <c:min val="0"/>
        </c:scaling>
        <c:delete val="0"/>
        <c:axPos val="b"/>
        <c:numFmt formatCode="0%"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1444288"/>
        <c:crosses val="autoZero"/>
        <c:crossBetween val="between"/>
        <c:majorUnit val="0.15000000000000002"/>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121681511122595E-3"/>
          <c:y val="0.21319067907952249"/>
          <c:w val="0.32653018372703413"/>
          <c:h val="0.56909580448192243"/>
        </c:manualLayout>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1-BD94-4E1B-84C1-EABBCFF332D4}"/>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3-BD94-4E1B-84C1-EABBCFF332D4}"/>
              </c:ext>
            </c:extLst>
          </c:dPt>
          <c:dPt>
            <c:idx val="2"/>
            <c:bubble3D val="0"/>
            <c:spPr>
              <a:solidFill>
                <a:schemeClr val="bg1">
                  <a:lumMod val="85000"/>
                </a:schemeClr>
              </a:solidFill>
              <a:ln w="9525" cap="flat" cmpd="sng" algn="ctr">
                <a:noFill/>
                <a:round/>
              </a:ln>
              <a:effectLst/>
            </c:spPr>
            <c:extLst>
              <c:ext xmlns:c16="http://schemas.microsoft.com/office/drawing/2014/chart" uri="{C3380CC4-5D6E-409C-BE32-E72D297353CC}">
                <c16:uniqueId val="{00000005-BD94-4E1B-84C1-EABBCFF332D4}"/>
              </c:ext>
            </c:extLst>
          </c:dPt>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D94-4E1B-84C1-EABBCFF332D4}"/>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BD94-4E1B-84C1-EABBCFF332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s>
          <c:cat>
            <c:strRef>
              <c:f>Contexte!$A$37:$A$39</c:f>
              <c:strCache>
                <c:ptCount val="3"/>
                <c:pt idx="0">
                  <c:v>Dans le quartier ou le village</c:v>
                </c:pt>
                <c:pt idx="1">
                  <c:v>Hors du quartier ou du village</c:v>
                </c:pt>
                <c:pt idx="2">
                  <c:v>Ne sait pas/Refus</c:v>
                </c:pt>
              </c:strCache>
            </c:strRef>
          </c:cat>
          <c:val>
            <c:numRef>
              <c:f>Contexte!$B$37:$B$39</c:f>
              <c:numCache>
                <c:formatCode>0</c:formatCode>
                <c:ptCount val="3"/>
                <c:pt idx="0">
                  <c:v>67.335120350109406</c:v>
                </c:pt>
                <c:pt idx="1">
                  <c:v>30.525355579868702</c:v>
                </c:pt>
                <c:pt idx="2">
                  <c:v>2.139524070021892</c:v>
                </c:pt>
              </c:numCache>
            </c:numRef>
          </c:val>
          <c:extLst>
            <c:ext xmlns:c16="http://schemas.microsoft.com/office/drawing/2014/chart" uri="{C3380CC4-5D6E-409C-BE32-E72D297353CC}">
              <c16:uniqueId val="{00000006-BD94-4E1B-84C1-EABBCFF332D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35465461899229811"/>
          <c:y val="0.36948983546446823"/>
          <c:w val="0.60477570985444995"/>
          <c:h val="0.30320762536261914"/>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5885355490784E-2"/>
          <c:y val="0.19269570324688434"/>
          <c:w val="0.25649628050637319"/>
          <c:h val="0.71424291197826617"/>
        </c:manualLayout>
      </c:layout>
      <c:pieChart>
        <c:varyColors val="1"/>
        <c:ser>
          <c:idx val="0"/>
          <c:order val="0"/>
          <c:spPr>
            <a:ln>
              <a:no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1-9DB8-4A57-8647-84C0E1D4BB59}"/>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noFill/>
                <a:round/>
              </a:ln>
              <a:effectLst/>
            </c:spPr>
            <c:extLst>
              <c:ext xmlns:c16="http://schemas.microsoft.com/office/drawing/2014/chart" uri="{C3380CC4-5D6E-409C-BE32-E72D297353CC}">
                <c16:uniqueId val="{00000003-9DB8-4A57-8647-84C0E1D4BB59}"/>
              </c:ext>
            </c:extLst>
          </c:dPt>
          <c:dPt>
            <c:idx val="2"/>
            <c:bubble3D val="0"/>
            <c:spPr>
              <a:solidFill>
                <a:schemeClr val="accent4">
                  <a:lumMod val="40000"/>
                  <a:lumOff val="60000"/>
                </a:schemeClr>
              </a:solidFill>
              <a:ln w="9525" cap="flat" cmpd="sng" algn="ctr">
                <a:noFill/>
                <a:round/>
              </a:ln>
              <a:effectLst/>
            </c:spPr>
            <c:extLst>
              <c:ext xmlns:c16="http://schemas.microsoft.com/office/drawing/2014/chart" uri="{C3380CC4-5D6E-409C-BE32-E72D297353CC}">
                <c16:uniqueId val="{00000005-9DB8-4A57-8647-84C0E1D4BB59}"/>
              </c:ext>
            </c:extLst>
          </c:dPt>
          <c:dPt>
            <c:idx val="3"/>
            <c:bubble3D val="0"/>
            <c:spPr>
              <a:solidFill>
                <a:schemeClr val="accent6">
                  <a:lumMod val="40000"/>
                  <a:lumOff val="60000"/>
                </a:schemeClr>
              </a:solidFill>
              <a:ln w="9525" cap="flat" cmpd="sng" algn="ctr">
                <a:noFill/>
                <a:round/>
              </a:ln>
              <a:effectLst/>
            </c:spPr>
            <c:extLst>
              <c:ext xmlns:c16="http://schemas.microsoft.com/office/drawing/2014/chart" uri="{C3380CC4-5D6E-409C-BE32-E72D297353CC}">
                <c16:uniqueId val="{00000007-9DB8-4A57-8647-84C0E1D4BB59}"/>
              </c:ext>
            </c:extLst>
          </c:dPt>
          <c:dLbls>
            <c:dLbl>
              <c:idx val="2"/>
              <c:layout>
                <c:manualLayout>
                  <c:x val="3.3606337528976761E-3"/>
                  <c:y val="2.062147825927353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9DB8-4A57-8647-84C0E1D4BB59}"/>
                </c:ext>
              </c:extLst>
            </c:dLbl>
            <c:dLbl>
              <c:idx val="3"/>
              <c:layout>
                <c:manualLayout>
                  <c:x val="2.4330900243309004E-2"/>
                  <c:y val="0.13986013986013981"/>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9DB8-4A57-8647-84C0E1D4BB5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Contexte!$A$63:$A$66</c:f>
              <c:strCache>
                <c:ptCount val="4"/>
                <c:pt idx="0">
                  <c:v>Dans la voiture</c:v>
                </c:pt>
                <c:pt idx="1">
                  <c:v>Sur la voiture</c:v>
                </c:pt>
                <c:pt idx="2">
                  <c:v>Dans ET sur la voiture</c:v>
                </c:pt>
                <c:pt idx="3">
                  <c:v>Tentatives</c:v>
                </c:pt>
              </c:strCache>
            </c:strRef>
          </c:cat>
          <c:val>
            <c:numRef>
              <c:f>Contexte!$B$63:$B$66</c:f>
              <c:numCache>
                <c:formatCode>0</c:formatCode>
                <c:ptCount val="4"/>
                <c:pt idx="0">
                  <c:v>45.424496717724303</c:v>
                </c:pt>
                <c:pt idx="1">
                  <c:v>39.912981400437602</c:v>
                </c:pt>
                <c:pt idx="2">
                  <c:v>3.9797045951859946</c:v>
                </c:pt>
                <c:pt idx="3">
                  <c:v>10.682817286652101</c:v>
                </c:pt>
              </c:numCache>
            </c:numRef>
          </c:val>
          <c:extLst>
            <c:ext xmlns:c16="http://schemas.microsoft.com/office/drawing/2014/chart" uri="{C3380CC4-5D6E-409C-BE32-E72D297353CC}">
              <c16:uniqueId val="{00000008-9DB8-4A57-8647-84C0E1D4BB5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7862731574611563"/>
          <c:y val="0.30830681129893733"/>
          <c:w val="0.43725874044749929"/>
          <c:h val="0.43178976861021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659421180046013"/>
          <c:y val="6.489150514276168E-2"/>
          <c:w val="0.55187153743542228"/>
          <c:h val="0.83633359483201131"/>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Prejudice!$A$49:$A$58</c:f>
              <c:strCache>
                <c:ptCount val="10"/>
                <c:pt idx="0">
                  <c:v>Autres</c:v>
                </c:pt>
                <c:pt idx="1">
                  <c:v>Pièces automobiles à l'extérieur du véhicule</c:v>
                </c:pt>
                <c:pt idx="2">
                  <c:v>Pièces automobiles à l'intérieur du véhicule</c:v>
                </c:pt>
                <c:pt idx="3">
                  <c:v>Téléphone portable</c:v>
                </c:pt>
                <c:pt idx="4">
                  <c:v>Vêtements</c:v>
                </c:pt>
                <c:pt idx="5">
                  <c:v>Accessoires automobiles informatiques</c:v>
                </c:pt>
                <c:pt idx="6">
                  <c:v>Matériel audio-vidéo, photo ou informatique</c:v>
                </c:pt>
                <c:pt idx="7">
                  <c:v>Documents administratifs, clés</c:v>
                </c:pt>
                <c:pt idx="8">
                  <c:v>Argent liquide, chèques, cartes bancaires</c:v>
                </c:pt>
                <c:pt idx="9">
                  <c:v>Accessoires automobiles audio-video</c:v>
                </c:pt>
              </c:strCache>
            </c:strRef>
          </c:cat>
          <c:val>
            <c:numRef>
              <c:f>Prejudice!$E$49:$E$58</c:f>
              <c:numCache>
                <c:formatCode>0%</c:formatCode>
                <c:ptCount val="10"/>
                <c:pt idx="0">
                  <c:v>0.401619811283216</c:v>
                </c:pt>
                <c:pt idx="1">
                  <c:v>6.9535534947639102E-2</c:v>
                </c:pt>
                <c:pt idx="2">
                  <c:v>7.0287876790574202E-2</c:v>
                </c:pt>
                <c:pt idx="3">
                  <c:v>0.100162977018718</c:v>
                </c:pt>
                <c:pt idx="4">
                  <c:v>0.113945310945658</c:v>
                </c:pt>
                <c:pt idx="5">
                  <c:v>0.12616475272686101</c:v>
                </c:pt>
                <c:pt idx="6">
                  <c:v>0.13106173253362699</c:v>
                </c:pt>
                <c:pt idx="7">
                  <c:v>0.169969703146858</c:v>
                </c:pt>
                <c:pt idx="8">
                  <c:v>0.183969521307942</c:v>
                </c:pt>
                <c:pt idx="9">
                  <c:v>0.19151972652138399</c:v>
                </c:pt>
              </c:numCache>
            </c:numRef>
          </c:val>
          <c:extLst>
            <c:ext xmlns:c16="http://schemas.microsoft.com/office/drawing/2014/chart" uri="{C3380CC4-5D6E-409C-BE32-E72D297353CC}">
              <c16:uniqueId val="{00000000-8480-4B86-9CB4-F2A6BCFBF0C1}"/>
            </c:ext>
          </c:extLst>
        </c:ser>
        <c:dLbls>
          <c:showLegendKey val="0"/>
          <c:showVal val="0"/>
          <c:showCatName val="0"/>
          <c:showSerName val="0"/>
          <c:showPercent val="0"/>
          <c:showBubbleSize val="0"/>
        </c:dLbls>
        <c:gapWidth val="70"/>
        <c:axId val="251450448"/>
        <c:axId val="251451008"/>
      </c:barChart>
      <c:catAx>
        <c:axId val="2514504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1451008"/>
        <c:crosses val="autoZero"/>
        <c:auto val="1"/>
        <c:lblAlgn val="ctr"/>
        <c:lblOffset val="100"/>
        <c:noMultiLvlLbl val="0"/>
      </c:catAx>
      <c:valAx>
        <c:axId val="251451008"/>
        <c:scaling>
          <c:orientation val="minMax"/>
          <c:max val="0.60000000000000009"/>
        </c:scaling>
        <c:delete val="0"/>
        <c:axPos val="b"/>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1450448"/>
        <c:crosses val="autoZero"/>
        <c:crossBetween val="between"/>
        <c:majorUnit val="0.1"/>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442008040134229E-2"/>
          <c:y val="4.7940726159230097E-2"/>
          <c:w val="0.12896624472573839"/>
          <c:h val="0.52926406926406921"/>
        </c:manualLayout>
      </c:layout>
      <c:pieChart>
        <c:varyColors val="1"/>
        <c:ser>
          <c:idx val="0"/>
          <c:order val="0"/>
          <c:spPr>
            <a:ln>
              <a:noFill/>
            </a:ln>
            <a:effectLst/>
          </c:spPr>
          <c:dPt>
            <c:idx val="0"/>
            <c:bubble3D val="0"/>
            <c:spPr>
              <a:solidFill>
                <a:schemeClr val="accent1">
                  <a:lumMod val="75000"/>
                </a:schemeClr>
              </a:solidFill>
              <a:ln w="9525" cap="flat" cmpd="sng" algn="ctr">
                <a:noFill/>
                <a:round/>
              </a:ln>
              <a:effectLst/>
            </c:spPr>
            <c:extLst>
              <c:ext xmlns:c16="http://schemas.microsoft.com/office/drawing/2014/chart" uri="{C3380CC4-5D6E-409C-BE32-E72D297353CC}">
                <c16:uniqueId val="{00000001-A4CA-4A26-8BD7-0D1356A109EF}"/>
              </c:ext>
            </c:extLst>
          </c:dPt>
          <c:dPt>
            <c:idx val="1"/>
            <c:bubble3D val="0"/>
            <c:spPr>
              <a:solidFill>
                <a:schemeClr val="accent1">
                  <a:lumMod val="60000"/>
                  <a:lumOff val="40000"/>
                </a:schemeClr>
              </a:solidFill>
              <a:ln w="9525" cap="flat" cmpd="sng" algn="ctr">
                <a:noFill/>
                <a:round/>
              </a:ln>
              <a:effectLst/>
            </c:spPr>
            <c:extLst>
              <c:ext xmlns:c16="http://schemas.microsoft.com/office/drawing/2014/chart" uri="{C3380CC4-5D6E-409C-BE32-E72D297353CC}">
                <c16:uniqueId val="{00000003-A4CA-4A26-8BD7-0D1356A109EF}"/>
              </c:ext>
            </c:extLst>
          </c:dPt>
          <c:dPt>
            <c:idx val="2"/>
            <c:bubble3D val="0"/>
            <c:spPr>
              <a:solidFill>
                <a:schemeClr val="accent1">
                  <a:lumMod val="20000"/>
                  <a:lumOff val="80000"/>
                </a:schemeClr>
              </a:solidFill>
              <a:ln w="9525" cap="flat" cmpd="sng" algn="ctr">
                <a:noFill/>
                <a:round/>
              </a:ln>
              <a:effectLst/>
            </c:spPr>
            <c:extLst>
              <c:ext xmlns:c16="http://schemas.microsoft.com/office/drawing/2014/chart" uri="{C3380CC4-5D6E-409C-BE32-E72D297353CC}">
                <c16:uniqueId val="{00000005-A4CA-4A26-8BD7-0D1356A109EF}"/>
              </c:ext>
            </c:extLst>
          </c:dPt>
          <c:dPt>
            <c:idx val="3"/>
            <c:bubble3D val="0"/>
            <c:spPr>
              <a:solidFill>
                <a:schemeClr val="accent2">
                  <a:lumMod val="60000"/>
                  <a:lumOff val="40000"/>
                </a:schemeClr>
              </a:solidFill>
              <a:ln w="9525" cap="flat" cmpd="sng" algn="ctr">
                <a:noFill/>
                <a:round/>
              </a:ln>
              <a:effectLst/>
            </c:spPr>
            <c:extLst>
              <c:ext xmlns:c16="http://schemas.microsoft.com/office/drawing/2014/chart" uri="{C3380CC4-5D6E-409C-BE32-E72D297353CC}">
                <c16:uniqueId val="{00000007-A4CA-4A26-8BD7-0D1356A109EF}"/>
              </c:ext>
            </c:extLst>
          </c:dPt>
          <c:dLbls>
            <c:dLbl>
              <c:idx val="0"/>
              <c:layout>
                <c:manualLayout>
                  <c:x val="-3.504501810691385E-2"/>
                  <c:y val="9.19877202849643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4CA-4A26-8BD7-0D1356A109EF}"/>
                </c:ext>
              </c:extLst>
            </c:dLbl>
            <c:dLbl>
              <c:idx val="1"/>
              <c:layout>
                <c:manualLayout>
                  <c:x val="-4.3950463470547194E-2"/>
                  <c:y val="-4.275692811125886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A4CA-4A26-8BD7-0D1356A109EF}"/>
                </c:ext>
              </c:extLst>
            </c:dLbl>
            <c:dLbl>
              <c:idx val="2"/>
              <c:layout>
                <c:manualLayout>
                  <c:x val="-1.2445596199209295E-2"/>
                  <c:y val="-0.1360909431775573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A4CA-4A26-8BD7-0D1356A109EF}"/>
                </c:ext>
              </c:extLst>
            </c:dLbl>
            <c:dLbl>
              <c:idx val="3"/>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fr-FR"/>
                </a:p>
              </c:txPr>
              <c:showLegendKey val="0"/>
              <c:showVal val="1"/>
              <c:showCatName val="0"/>
              <c:showSerName val="0"/>
              <c:showPercent val="0"/>
              <c:showBubbleSize val="0"/>
              <c:extLst>
                <c:ext xmlns:c16="http://schemas.microsoft.com/office/drawing/2014/chart" uri="{C3380CC4-5D6E-409C-BE32-E72D297353CC}">
                  <c16:uniqueId val="{00000007-A4CA-4A26-8BD7-0D1356A109E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Prejudice!$A$62:$A$65</c:f>
              <c:strCache>
                <c:ptCount val="4"/>
                <c:pt idx="0">
                  <c:v>Importants</c:v>
                </c:pt>
                <c:pt idx="1">
                  <c:v>Assez importants</c:v>
                </c:pt>
                <c:pt idx="2">
                  <c:v>Peu importants</c:v>
                </c:pt>
                <c:pt idx="3">
                  <c:v>Pas de dégradations</c:v>
                </c:pt>
              </c:strCache>
            </c:strRef>
          </c:cat>
          <c:val>
            <c:numRef>
              <c:f>Prejudice!$C$62:$C$65</c:f>
              <c:numCache>
                <c:formatCode>0</c:formatCode>
                <c:ptCount val="4"/>
                <c:pt idx="0">
                  <c:v>21.274597436871602</c:v>
                </c:pt>
                <c:pt idx="1">
                  <c:v>17.249766421465701</c:v>
                </c:pt>
                <c:pt idx="2">
                  <c:v>20.631870226589498</c:v>
                </c:pt>
                <c:pt idx="3">
                  <c:v>40.769318662030102</c:v>
                </c:pt>
              </c:numCache>
            </c:numRef>
          </c:val>
          <c:extLst>
            <c:ext xmlns:c16="http://schemas.microsoft.com/office/drawing/2014/chart" uri="{C3380CC4-5D6E-409C-BE32-E72D297353CC}">
              <c16:uniqueId val="{00000008-A4CA-4A26-8BD7-0D1356A109E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7261686434765275"/>
          <c:y val="0.10571633091318133"/>
          <c:w val="0.20942041263829364"/>
          <c:h val="0.40029727262353076"/>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033350831146112"/>
          <c:y val="9.179906309179707E-2"/>
          <c:w val="0.56082309711286094"/>
          <c:h val="0.53242699092993118"/>
        </c:manualLayout>
      </c:layout>
      <c:pieChart>
        <c:varyColors val="1"/>
        <c:ser>
          <c:idx val="0"/>
          <c:order val="0"/>
          <c:spPr>
            <a:ln>
              <a:noFill/>
            </a:ln>
          </c:spPr>
          <c:dPt>
            <c:idx val="0"/>
            <c:bubble3D val="0"/>
            <c:spPr>
              <a:solidFill>
                <a:schemeClr val="accent1">
                  <a:lumMod val="75000"/>
                </a:schemeClr>
              </a:solidFill>
              <a:ln w="9525" cap="flat" cmpd="sng" algn="ctr">
                <a:noFill/>
                <a:round/>
              </a:ln>
              <a:effectLst/>
            </c:spPr>
            <c:extLst>
              <c:ext xmlns:c16="http://schemas.microsoft.com/office/drawing/2014/chart" uri="{C3380CC4-5D6E-409C-BE32-E72D297353CC}">
                <c16:uniqueId val="{00000001-041B-4B36-AE1D-EC312745A844}"/>
              </c:ext>
            </c:extLst>
          </c:dPt>
          <c:dPt>
            <c:idx val="1"/>
            <c:bubble3D val="0"/>
            <c:spPr>
              <a:solidFill>
                <a:schemeClr val="accent1">
                  <a:lumMod val="60000"/>
                  <a:lumOff val="40000"/>
                </a:schemeClr>
              </a:solidFill>
              <a:ln w="9525" cap="flat" cmpd="sng" algn="ctr">
                <a:noFill/>
                <a:round/>
              </a:ln>
              <a:effectLst/>
            </c:spPr>
            <c:extLst>
              <c:ext xmlns:c16="http://schemas.microsoft.com/office/drawing/2014/chart" uri="{C3380CC4-5D6E-409C-BE32-E72D297353CC}">
                <c16:uniqueId val="{00000003-041B-4B36-AE1D-EC312745A844}"/>
              </c:ext>
            </c:extLst>
          </c:dPt>
          <c:dPt>
            <c:idx val="2"/>
            <c:bubble3D val="0"/>
            <c:spPr>
              <a:solidFill>
                <a:schemeClr val="accent1">
                  <a:lumMod val="20000"/>
                  <a:lumOff val="80000"/>
                </a:schemeClr>
              </a:solidFill>
              <a:ln w="9525" cap="flat" cmpd="sng" algn="ctr">
                <a:noFill/>
                <a:round/>
              </a:ln>
              <a:effectLst/>
            </c:spPr>
            <c:extLst>
              <c:ext xmlns:c16="http://schemas.microsoft.com/office/drawing/2014/chart" uri="{C3380CC4-5D6E-409C-BE32-E72D297353CC}">
                <c16:uniqueId val="{00000005-041B-4B36-AE1D-EC312745A844}"/>
              </c:ext>
            </c:extLst>
          </c:dPt>
          <c:dPt>
            <c:idx val="3"/>
            <c:bubble3D val="0"/>
            <c:spPr>
              <a:solidFill>
                <a:schemeClr val="accent2">
                  <a:lumMod val="60000"/>
                  <a:lumOff val="40000"/>
                </a:schemeClr>
              </a:solidFill>
              <a:ln w="9525" cap="flat" cmpd="sng" algn="ctr">
                <a:noFill/>
                <a:round/>
              </a:ln>
              <a:effectLst/>
            </c:spPr>
            <c:extLst>
              <c:ext xmlns:c16="http://schemas.microsoft.com/office/drawing/2014/chart" uri="{C3380CC4-5D6E-409C-BE32-E72D297353CC}">
                <c16:uniqueId val="{00000007-041B-4B36-AE1D-EC312745A844}"/>
              </c:ext>
            </c:extLst>
          </c:dPt>
          <c:dLbls>
            <c:dLbl>
              <c:idx val="0"/>
              <c:delete val="1"/>
              <c:extLst>
                <c:ext xmlns:c15="http://schemas.microsoft.com/office/drawing/2012/chart" uri="{CE6537A1-D6FC-4f65-9D91-7224C49458BB}"/>
                <c:ext xmlns:c16="http://schemas.microsoft.com/office/drawing/2014/chart" uri="{C3380CC4-5D6E-409C-BE32-E72D297353CC}">
                  <c16:uniqueId val="{00000001-041B-4B36-AE1D-EC312745A844}"/>
                </c:ext>
              </c:extLst>
            </c:dLbl>
            <c:dLbl>
              <c:idx val="1"/>
              <c:delete val="1"/>
              <c:extLst>
                <c:ext xmlns:c15="http://schemas.microsoft.com/office/drawing/2012/chart" uri="{CE6537A1-D6FC-4f65-9D91-7224C49458BB}"/>
                <c:ext xmlns:c16="http://schemas.microsoft.com/office/drawing/2014/chart" uri="{C3380CC4-5D6E-409C-BE32-E72D297353CC}">
                  <c16:uniqueId val="{00000003-041B-4B36-AE1D-EC312745A844}"/>
                </c:ext>
              </c:extLst>
            </c:dLbl>
            <c:dLbl>
              <c:idx val="2"/>
              <c:delete val="1"/>
              <c:extLst>
                <c:ext xmlns:c15="http://schemas.microsoft.com/office/drawing/2012/chart" uri="{CE6537A1-D6FC-4f65-9D91-7224C49458BB}"/>
                <c:ext xmlns:c16="http://schemas.microsoft.com/office/drawing/2014/chart" uri="{C3380CC4-5D6E-409C-BE32-E72D297353CC}">
                  <c16:uniqueId val="{00000005-041B-4B36-AE1D-EC312745A844}"/>
                </c:ext>
              </c:extLst>
            </c:dLbl>
            <c:dLbl>
              <c:idx val="3"/>
              <c:layout>
                <c:manualLayout>
                  <c:x val="0.1496496769877825"/>
                  <c:y val="-0.1534838914366473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41B-4B36-AE1D-EC312745A84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Prejudice!$A$62:$A$65</c:f>
              <c:strCache>
                <c:ptCount val="4"/>
                <c:pt idx="0">
                  <c:v>Importants</c:v>
                </c:pt>
                <c:pt idx="1">
                  <c:v>Assez importants</c:v>
                </c:pt>
                <c:pt idx="2">
                  <c:v>Peu importants</c:v>
                </c:pt>
                <c:pt idx="3">
                  <c:v>Pas de dégradations</c:v>
                </c:pt>
              </c:strCache>
            </c:strRef>
          </c:cat>
          <c:val>
            <c:numRef>
              <c:f>Prejudice!$D$62:$D$65</c:f>
              <c:numCache>
                <c:formatCode>0</c:formatCode>
                <c:ptCount val="4"/>
                <c:pt idx="0">
                  <c:v>3.9352212204531902</c:v>
                </c:pt>
                <c:pt idx="1">
                  <c:v>5.1713293676492302</c:v>
                </c:pt>
                <c:pt idx="2">
                  <c:v>2.8463343326352901</c:v>
                </c:pt>
                <c:pt idx="3">
                  <c:v>87.207797378679203</c:v>
                </c:pt>
              </c:numCache>
            </c:numRef>
          </c:val>
          <c:extLst>
            <c:ext xmlns:c16="http://schemas.microsoft.com/office/drawing/2014/chart" uri="{C3380CC4-5D6E-409C-BE32-E72D297353CC}">
              <c16:uniqueId val="{00000008-041B-4B36-AE1D-EC312745A84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013367515107123"/>
          <c:y val="0.16445770036321217"/>
          <c:w val="0.50718549716169203"/>
          <c:h val="0.44058538137278297"/>
        </c:manualLayout>
      </c:layout>
      <c:pieChart>
        <c:varyColors val="1"/>
        <c:ser>
          <c:idx val="0"/>
          <c:order val="0"/>
          <c:spPr>
            <a:ln>
              <a:noFill/>
            </a:ln>
          </c:spPr>
          <c:dPt>
            <c:idx val="0"/>
            <c:bubble3D val="0"/>
            <c:spPr>
              <a:solidFill>
                <a:schemeClr val="accent1">
                  <a:lumMod val="75000"/>
                </a:schemeClr>
              </a:solidFill>
              <a:ln w="9525" cap="flat" cmpd="sng" algn="ctr">
                <a:noFill/>
                <a:round/>
              </a:ln>
              <a:effectLst/>
            </c:spPr>
            <c:extLst>
              <c:ext xmlns:c16="http://schemas.microsoft.com/office/drawing/2014/chart" uri="{C3380CC4-5D6E-409C-BE32-E72D297353CC}">
                <c16:uniqueId val="{00000001-EA16-4C0A-8987-B93699007AB2}"/>
              </c:ext>
            </c:extLst>
          </c:dPt>
          <c:dPt>
            <c:idx val="1"/>
            <c:bubble3D val="0"/>
            <c:spPr>
              <a:solidFill>
                <a:schemeClr val="accent1">
                  <a:lumMod val="60000"/>
                  <a:lumOff val="40000"/>
                </a:schemeClr>
              </a:solidFill>
              <a:ln w="9525" cap="flat" cmpd="sng" algn="ctr">
                <a:noFill/>
                <a:round/>
              </a:ln>
              <a:effectLst/>
            </c:spPr>
            <c:extLst>
              <c:ext xmlns:c16="http://schemas.microsoft.com/office/drawing/2014/chart" uri="{C3380CC4-5D6E-409C-BE32-E72D297353CC}">
                <c16:uniqueId val="{00000003-EA16-4C0A-8987-B93699007AB2}"/>
              </c:ext>
            </c:extLst>
          </c:dPt>
          <c:dPt>
            <c:idx val="2"/>
            <c:bubble3D val="0"/>
            <c:spPr>
              <a:solidFill>
                <a:schemeClr val="accent1">
                  <a:lumMod val="20000"/>
                  <a:lumOff val="80000"/>
                </a:schemeClr>
              </a:solidFill>
              <a:ln w="9525" cap="flat" cmpd="sng" algn="ctr">
                <a:noFill/>
                <a:round/>
              </a:ln>
              <a:effectLst/>
            </c:spPr>
            <c:extLst>
              <c:ext xmlns:c16="http://schemas.microsoft.com/office/drawing/2014/chart" uri="{C3380CC4-5D6E-409C-BE32-E72D297353CC}">
                <c16:uniqueId val="{00000005-EA16-4C0A-8987-B93699007AB2}"/>
              </c:ext>
            </c:extLst>
          </c:dPt>
          <c:dPt>
            <c:idx val="3"/>
            <c:bubble3D val="0"/>
            <c:spPr>
              <a:solidFill>
                <a:schemeClr val="accent2">
                  <a:lumMod val="60000"/>
                  <a:lumOff val="40000"/>
                </a:schemeClr>
              </a:solidFill>
              <a:ln w="9525" cap="flat" cmpd="sng" algn="ctr">
                <a:noFill/>
                <a:round/>
              </a:ln>
              <a:effectLst/>
            </c:spPr>
            <c:extLst>
              <c:ext xmlns:c16="http://schemas.microsoft.com/office/drawing/2014/chart" uri="{C3380CC4-5D6E-409C-BE32-E72D297353CC}">
                <c16:uniqueId val="{00000007-EA16-4C0A-8987-B93699007AB2}"/>
              </c:ext>
            </c:extLst>
          </c:dPt>
          <c:dLbls>
            <c:dLbl>
              <c:idx val="0"/>
              <c:layout>
                <c:manualLayout>
                  <c:x val="-0.10863456021485679"/>
                  <c:y val="9.446003607091009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A16-4C0A-8987-B93699007AB2}"/>
                </c:ext>
              </c:extLst>
            </c:dLbl>
            <c:dLbl>
              <c:idx val="1"/>
              <c:layout>
                <c:manualLayout>
                  <c:x val="-0.1482032927702219"/>
                  <c:y val="5.143720671279726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EA16-4C0A-8987-B93699007AB2}"/>
                </c:ext>
              </c:extLst>
            </c:dLbl>
            <c:dLbl>
              <c:idx val="2"/>
              <c:layout>
                <c:manualLayout>
                  <c:x val="-0.15036779493472421"/>
                  <c:y val="-4.6953524748800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EA16-4C0A-8987-B93699007AB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Prejudice!$A$62:$A$65</c:f>
              <c:strCache>
                <c:ptCount val="4"/>
                <c:pt idx="0">
                  <c:v>Importants</c:v>
                </c:pt>
                <c:pt idx="1">
                  <c:v>Assez importants</c:v>
                </c:pt>
                <c:pt idx="2">
                  <c:v>Peu importants</c:v>
                </c:pt>
                <c:pt idx="3">
                  <c:v>Pas de dégradations</c:v>
                </c:pt>
              </c:strCache>
            </c:strRef>
          </c:cat>
          <c:val>
            <c:numRef>
              <c:f>Prejudice!$B$62:$B$65</c:f>
              <c:numCache>
                <c:formatCode>0</c:formatCode>
                <c:ptCount val="4"/>
                <c:pt idx="0">
                  <c:v>13.096487964989102</c:v>
                </c:pt>
                <c:pt idx="1">
                  <c:v>12.034715536105001</c:v>
                </c:pt>
                <c:pt idx="2">
                  <c:v>14.1053336980306</c:v>
                </c:pt>
                <c:pt idx="3">
                  <c:v>60.391849015317298</c:v>
                </c:pt>
              </c:numCache>
            </c:numRef>
          </c:val>
          <c:extLst>
            <c:ext xmlns:c16="http://schemas.microsoft.com/office/drawing/2014/chart" uri="{C3380CC4-5D6E-409C-BE32-E72D297353CC}">
              <c16:uniqueId val="{00000008-EA16-4C0A-8987-B93699007AB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503509800334624E-2"/>
          <c:y val="3.0108687494278863E-2"/>
          <c:w val="0.29759461505695667"/>
          <c:h val="0.74228106523826365"/>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Pt>
            <c:idx val="0"/>
            <c:invertIfNegative val="0"/>
            <c:bubble3D val="0"/>
            <c:spPr>
              <a:solidFill>
                <a:schemeClr val="bg2">
                  <a:lumMod val="90000"/>
                </a:schemeClr>
              </a:solidFill>
              <a:ln w="9525" cap="flat" cmpd="sng" algn="ctr">
                <a:noFill/>
                <a:round/>
              </a:ln>
              <a:effectLst/>
            </c:spPr>
            <c:extLst>
              <c:ext xmlns:c16="http://schemas.microsoft.com/office/drawing/2014/chart" uri="{C3380CC4-5D6E-409C-BE32-E72D297353CC}">
                <c16:uniqueId val="{00000001-1042-4F20-B8E2-1801541FD9E4}"/>
              </c:ext>
            </c:extLst>
          </c:dPt>
          <c:dPt>
            <c:idx val="1"/>
            <c:invertIfNegative val="0"/>
            <c:bubble3D val="0"/>
            <c:spPr>
              <a:solidFill>
                <a:schemeClr val="accent1">
                  <a:lumMod val="20000"/>
                  <a:lumOff val="80000"/>
                </a:schemeClr>
              </a:solidFill>
              <a:ln w="9525" cap="flat" cmpd="sng" algn="ctr">
                <a:noFill/>
                <a:round/>
              </a:ln>
              <a:effectLst/>
            </c:spPr>
            <c:extLst>
              <c:ext xmlns:c16="http://schemas.microsoft.com/office/drawing/2014/chart" uri="{C3380CC4-5D6E-409C-BE32-E72D297353CC}">
                <c16:uniqueId val="{00000003-1042-4F20-B8E2-1801541FD9E4}"/>
              </c:ext>
            </c:extLst>
          </c:dPt>
          <c:dPt>
            <c:idx val="2"/>
            <c:invertIfNegative val="0"/>
            <c:bubble3D val="0"/>
            <c:spPr>
              <a:solidFill>
                <a:schemeClr val="accent1">
                  <a:lumMod val="20000"/>
                  <a:lumOff val="80000"/>
                </a:schemeClr>
              </a:solidFill>
              <a:ln w="9525" cap="flat" cmpd="sng" algn="ctr">
                <a:noFill/>
                <a:round/>
              </a:ln>
              <a:effectLst/>
            </c:spPr>
            <c:extLst>
              <c:ext xmlns:c16="http://schemas.microsoft.com/office/drawing/2014/chart" uri="{C3380CC4-5D6E-409C-BE32-E72D297353CC}">
                <c16:uniqueId val="{00000005-1042-4F20-B8E2-1801541FD9E4}"/>
              </c:ext>
            </c:extLst>
          </c:dPt>
          <c:dPt>
            <c:idx val="4"/>
            <c:invertIfNegative val="0"/>
            <c:bubble3D val="0"/>
            <c:spPr>
              <a:solidFill>
                <a:schemeClr val="accent1">
                  <a:lumMod val="50000"/>
                </a:schemeClr>
              </a:solidFill>
              <a:ln w="9525" cap="flat" cmpd="sng" algn="ctr">
                <a:noFill/>
                <a:round/>
              </a:ln>
              <a:effectLst/>
            </c:spPr>
            <c:extLst>
              <c:ext xmlns:c16="http://schemas.microsoft.com/office/drawing/2014/chart" uri="{C3380CC4-5D6E-409C-BE32-E72D297353CC}">
                <c16:uniqueId val="{00000007-1042-4F20-B8E2-1801541FD9E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Prejudice!$A$68:$A$72</c:f>
              <c:strCache>
                <c:ptCount val="5"/>
                <c:pt idx="0">
                  <c:v>Non renseigné</c:v>
                </c:pt>
                <c:pt idx="1">
                  <c:v>&lt; 50 €</c:v>
                </c:pt>
                <c:pt idx="2">
                  <c:v>50 ≤ € &lt; 100</c:v>
                </c:pt>
                <c:pt idx="3">
                  <c:v>100 ≤ € &lt; 500</c:v>
                </c:pt>
                <c:pt idx="4">
                  <c:v>≥ 500 €</c:v>
                </c:pt>
              </c:strCache>
            </c:strRef>
          </c:cat>
          <c:val>
            <c:numRef>
              <c:f>Prejudice!$B$68:$B$72</c:f>
              <c:numCache>
                <c:formatCode>0%</c:formatCode>
                <c:ptCount val="5"/>
                <c:pt idx="0">
                  <c:v>0.1143</c:v>
                </c:pt>
                <c:pt idx="1">
                  <c:v>0.15770000000000001</c:v>
                </c:pt>
                <c:pt idx="2">
                  <c:v>0.1169</c:v>
                </c:pt>
                <c:pt idx="3">
                  <c:v>0.41260000000000002</c:v>
                </c:pt>
                <c:pt idx="4">
                  <c:v>0.19850000000000001</c:v>
                </c:pt>
              </c:numCache>
            </c:numRef>
          </c:val>
          <c:extLst>
            <c:ext xmlns:c16="http://schemas.microsoft.com/office/drawing/2014/chart" uri="{C3380CC4-5D6E-409C-BE32-E72D297353CC}">
              <c16:uniqueId val="{00000008-1042-4F20-B8E2-1801541FD9E4}"/>
            </c:ext>
          </c:extLst>
        </c:ser>
        <c:dLbls>
          <c:showLegendKey val="0"/>
          <c:showVal val="0"/>
          <c:showCatName val="0"/>
          <c:showSerName val="0"/>
          <c:showPercent val="0"/>
          <c:showBubbleSize val="0"/>
        </c:dLbls>
        <c:gapWidth val="70"/>
        <c:axId val="252544048"/>
        <c:axId val="252544608"/>
      </c:barChart>
      <c:catAx>
        <c:axId val="252544048"/>
        <c:scaling>
          <c:orientation val="maxMin"/>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2544608"/>
        <c:crosses val="autoZero"/>
        <c:auto val="1"/>
        <c:lblAlgn val="ctr"/>
        <c:lblOffset val="100"/>
        <c:noMultiLvlLbl val="0"/>
      </c:catAx>
      <c:valAx>
        <c:axId val="252544608"/>
        <c:scaling>
          <c:orientation val="maxMin"/>
          <c:max val="0.5"/>
        </c:scaling>
        <c:delete val="0"/>
        <c:axPos val="t"/>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2544048"/>
        <c:crosses val="autoZero"/>
        <c:crossBetween val="between"/>
        <c:majorUnit val="0.1"/>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513954410653059E-4"/>
          <c:y val="3.0108687494278863E-2"/>
          <c:w val="0.97208177925127781"/>
          <c:h val="0.75908776108868758"/>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c:spPr>
          <c:invertIfNegative val="0"/>
          <c:dPt>
            <c:idx val="0"/>
            <c:invertIfNegative val="0"/>
            <c:bubble3D val="0"/>
            <c:spPr>
              <a:solidFill>
                <a:schemeClr val="bg1">
                  <a:lumMod val="85000"/>
                </a:schemeClr>
              </a:solidFill>
              <a:ln w="9525" cap="flat" cmpd="sng" algn="ctr">
                <a:noFill/>
                <a:round/>
              </a:ln>
              <a:effectLst/>
            </c:spPr>
            <c:extLst>
              <c:ext xmlns:c16="http://schemas.microsoft.com/office/drawing/2014/chart" uri="{C3380CC4-5D6E-409C-BE32-E72D297353CC}">
                <c16:uniqueId val="{00000001-9CB9-48EC-BD4E-DDC7561EB794}"/>
              </c:ext>
            </c:extLst>
          </c:dPt>
          <c:dPt>
            <c:idx val="1"/>
            <c:invertIfNegative val="0"/>
            <c:bubble3D val="0"/>
            <c:spPr>
              <a:solidFill>
                <a:schemeClr val="accent1">
                  <a:lumMod val="20000"/>
                  <a:lumOff val="80000"/>
                </a:schemeClr>
              </a:solidFill>
              <a:ln w="9525" cap="flat" cmpd="sng" algn="ctr">
                <a:noFill/>
                <a:round/>
              </a:ln>
              <a:effectLst/>
            </c:spPr>
            <c:extLst>
              <c:ext xmlns:c16="http://schemas.microsoft.com/office/drawing/2014/chart" uri="{C3380CC4-5D6E-409C-BE32-E72D297353CC}">
                <c16:uniqueId val="{00000003-9CB9-48EC-BD4E-DDC7561EB794}"/>
              </c:ext>
            </c:extLst>
          </c:dPt>
          <c:dPt>
            <c:idx val="2"/>
            <c:invertIfNegative val="0"/>
            <c:bubble3D val="0"/>
            <c:spPr>
              <a:solidFill>
                <a:schemeClr val="accent1">
                  <a:lumMod val="20000"/>
                  <a:lumOff val="80000"/>
                </a:schemeClr>
              </a:solidFill>
              <a:ln w="9525" cap="flat" cmpd="sng" algn="ctr">
                <a:noFill/>
                <a:round/>
              </a:ln>
              <a:effectLst/>
            </c:spPr>
            <c:extLst>
              <c:ext xmlns:c16="http://schemas.microsoft.com/office/drawing/2014/chart" uri="{C3380CC4-5D6E-409C-BE32-E72D297353CC}">
                <c16:uniqueId val="{00000005-9CB9-48EC-BD4E-DDC7561EB794}"/>
              </c:ext>
            </c:extLst>
          </c:dPt>
          <c:dPt>
            <c:idx val="4"/>
            <c:invertIfNegative val="0"/>
            <c:bubble3D val="0"/>
            <c:spPr>
              <a:solidFill>
                <a:schemeClr val="accent1">
                  <a:lumMod val="50000"/>
                </a:schemeClr>
              </a:solidFill>
              <a:ln w="9525" cap="flat" cmpd="sng" algn="ctr">
                <a:noFill/>
                <a:round/>
              </a:ln>
              <a:effectLst/>
            </c:spPr>
            <c:extLst>
              <c:ext xmlns:c16="http://schemas.microsoft.com/office/drawing/2014/chart" uri="{C3380CC4-5D6E-409C-BE32-E72D297353CC}">
                <c16:uniqueId val="{00000007-9CB9-48EC-BD4E-DDC7561EB79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Prejudice!$A$68:$A$72</c:f>
              <c:strCache>
                <c:ptCount val="5"/>
                <c:pt idx="0">
                  <c:v>Non renseigné</c:v>
                </c:pt>
                <c:pt idx="1">
                  <c:v>&lt; 50 €</c:v>
                </c:pt>
                <c:pt idx="2">
                  <c:v>50 ≤ € &lt; 100</c:v>
                </c:pt>
                <c:pt idx="3">
                  <c:v>100 ≤ € &lt; 500</c:v>
                </c:pt>
                <c:pt idx="4">
                  <c:v>≥ 500 €</c:v>
                </c:pt>
              </c:strCache>
            </c:strRef>
          </c:cat>
          <c:val>
            <c:numRef>
              <c:f>Prejudice!$C$68:$C$72</c:f>
              <c:numCache>
                <c:formatCode>0%</c:formatCode>
                <c:ptCount val="5"/>
                <c:pt idx="0">
                  <c:v>0.16209999999999999</c:v>
                </c:pt>
                <c:pt idx="1">
                  <c:v>0.32929999999999998</c:v>
                </c:pt>
                <c:pt idx="2">
                  <c:v>0.15479999999999999</c:v>
                </c:pt>
                <c:pt idx="3">
                  <c:v>0.22939999999999999</c:v>
                </c:pt>
                <c:pt idx="4">
                  <c:v>0.12459999999999999</c:v>
                </c:pt>
              </c:numCache>
            </c:numRef>
          </c:val>
          <c:extLst>
            <c:ext xmlns:c16="http://schemas.microsoft.com/office/drawing/2014/chart" uri="{C3380CC4-5D6E-409C-BE32-E72D297353CC}">
              <c16:uniqueId val="{00000008-9CB9-48EC-BD4E-DDC7561EB794}"/>
            </c:ext>
          </c:extLst>
        </c:ser>
        <c:dLbls>
          <c:showLegendKey val="0"/>
          <c:showVal val="0"/>
          <c:showCatName val="0"/>
          <c:showSerName val="0"/>
          <c:showPercent val="0"/>
          <c:showBubbleSize val="0"/>
        </c:dLbls>
        <c:gapWidth val="70"/>
        <c:axId val="252546848"/>
        <c:axId val="252547408"/>
      </c:barChart>
      <c:catAx>
        <c:axId val="252546848"/>
        <c:scaling>
          <c:orientation val="maxMin"/>
        </c:scaling>
        <c:delete val="1"/>
        <c:axPos val="l"/>
        <c:numFmt formatCode="General" sourceLinked="1"/>
        <c:majorTickMark val="none"/>
        <c:minorTickMark val="none"/>
        <c:tickLblPos val="nextTo"/>
        <c:crossAx val="252547408"/>
        <c:crosses val="autoZero"/>
        <c:auto val="1"/>
        <c:lblAlgn val="ctr"/>
        <c:lblOffset val="100"/>
        <c:noMultiLvlLbl val="0"/>
      </c:catAx>
      <c:valAx>
        <c:axId val="252547408"/>
        <c:scaling>
          <c:orientation val="minMax"/>
          <c:max val="0.4"/>
        </c:scaling>
        <c:delete val="0"/>
        <c:axPos val="t"/>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2546848"/>
        <c:crosses val="autoZero"/>
        <c:crossBetween val="between"/>
        <c:majorUnit val="0.1"/>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95316472109319E-3"/>
          <c:y val="2.1466050920850084E-2"/>
          <c:w val="0.56762612440738147"/>
          <c:h val="0.74373500780756852"/>
        </c:manualLayout>
      </c:layout>
      <c:barChart>
        <c:barDir val="col"/>
        <c:grouping val="percentStacked"/>
        <c:varyColors val="0"/>
        <c:ser>
          <c:idx val="0"/>
          <c:order val="0"/>
          <c:tx>
            <c:strRef>
              <c:f>Recours!$A$43</c:f>
              <c:strCache>
                <c:ptCount val="1"/>
                <c:pt idx="0">
                  <c:v>Dépôt de plainte</c:v>
                </c:pt>
              </c:strCache>
            </c:strRef>
          </c:tx>
          <c:spPr>
            <a:solidFill>
              <a:schemeClr val="accent2">
                <a:lumMod val="60000"/>
                <a:lumOff val="40000"/>
              </a:schemeClr>
            </a:solidFill>
            <a:ln w="9525" cap="flat" cmpd="sng" algn="ctr">
              <a:noFill/>
              <a:round/>
            </a:ln>
            <a:effectLst/>
          </c:spPr>
          <c:invertIfNegative val="0"/>
          <c:dLbls>
            <c:dLbl>
              <c:idx val="2"/>
              <c:layout>
                <c:manualLayout>
                  <c:x val="6.7396780768885821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3E4-44B2-ADC9-371BAA4A33D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Recours!$B$42:$D$42</c:f>
              <c:strCache>
                <c:ptCount val="3"/>
                <c:pt idx="0">
                  <c:v>Ménages victimes d'un vol d'objet dans ou sur la voiture</c:v>
                </c:pt>
                <c:pt idx="1">
                  <c:v>Ménages victimes d'un vol d'objet SUR la voiture</c:v>
                </c:pt>
                <c:pt idx="2">
                  <c:v>Ménages victimes d'un vol d'objet DANS la voiture</c:v>
                </c:pt>
              </c:strCache>
            </c:strRef>
          </c:cat>
          <c:val>
            <c:numRef>
              <c:f>Recours!$B$43:$D$43</c:f>
              <c:numCache>
                <c:formatCode>0%</c:formatCode>
                <c:ptCount val="3"/>
                <c:pt idx="0">
                  <c:v>0.32157248358862101</c:v>
                </c:pt>
                <c:pt idx="1">
                  <c:v>0.186861516156661</c:v>
                </c:pt>
                <c:pt idx="2">
                  <c:v>0.45340277742272</c:v>
                </c:pt>
              </c:numCache>
            </c:numRef>
          </c:val>
          <c:extLst>
            <c:ext xmlns:c16="http://schemas.microsoft.com/office/drawing/2014/chart" uri="{C3380CC4-5D6E-409C-BE32-E72D297353CC}">
              <c16:uniqueId val="{00000001-53E4-44B2-ADC9-371BAA4A33DA}"/>
            </c:ext>
          </c:extLst>
        </c:ser>
        <c:ser>
          <c:idx val="1"/>
          <c:order val="1"/>
          <c:tx>
            <c:strRef>
              <c:f>Recours!$A$44</c:f>
              <c:strCache>
                <c:ptCount val="1"/>
                <c:pt idx="0">
                  <c:v>Dépôt d'une main courante</c:v>
                </c:pt>
              </c:strCache>
            </c:strRef>
          </c:tx>
          <c:spPr>
            <a:solidFill>
              <a:schemeClr val="accent2">
                <a:lumMod val="20000"/>
                <a:lumOff val="80000"/>
              </a:schemeClr>
            </a:solidFill>
            <a:ln w="9525" cap="flat" cmpd="sng" algn="ctr">
              <a:noFill/>
              <a:round/>
            </a:ln>
            <a:effectLst/>
          </c:spPr>
          <c:invertIfNegative val="0"/>
          <c:cat>
            <c:strRef>
              <c:f>Recours!$B$42:$D$42</c:f>
              <c:strCache>
                <c:ptCount val="3"/>
                <c:pt idx="0">
                  <c:v>Ménages victimes d'un vol d'objet dans ou sur la voiture</c:v>
                </c:pt>
                <c:pt idx="1">
                  <c:v>Ménages victimes d'un vol d'objet SUR la voiture</c:v>
                </c:pt>
                <c:pt idx="2">
                  <c:v>Ménages victimes d'un vol d'objet DANS la voiture</c:v>
                </c:pt>
              </c:strCache>
            </c:strRef>
          </c:cat>
          <c:val>
            <c:numRef>
              <c:f>Recours!$B$44:$D$44</c:f>
              <c:numCache>
                <c:formatCode>0%</c:formatCode>
                <c:ptCount val="3"/>
                <c:pt idx="0">
                  <c:v>4.9221570021881801E-2</c:v>
                </c:pt>
                <c:pt idx="1">
                  <c:v>3.3559618826130601E-2</c:v>
                </c:pt>
                <c:pt idx="2">
                  <c:v>5.17404518452537E-2</c:v>
                </c:pt>
              </c:numCache>
            </c:numRef>
          </c:val>
          <c:extLst>
            <c:ext xmlns:c16="http://schemas.microsoft.com/office/drawing/2014/chart" uri="{C3380CC4-5D6E-409C-BE32-E72D297353CC}">
              <c16:uniqueId val="{00000002-53E4-44B2-ADC9-371BAA4A33DA}"/>
            </c:ext>
          </c:extLst>
        </c:ser>
        <c:ser>
          <c:idx val="2"/>
          <c:order val="2"/>
          <c:tx>
            <c:strRef>
              <c:f>Recours!$A$45</c:f>
              <c:strCache>
                <c:ptCount val="1"/>
                <c:pt idx="0">
                  <c:v>Abandon de la démarche</c:v>
                </c:pt>
              </c:strCache>
            </c:strRef>
          </c:tx>
          <c:spPr>
            <a:solidFill>
              <a:schemeClr val="accent4">
                <a:lumMod val="20000"/>
                <a:lumOff val="80000"/>
              </a:schemeClr>
            </a:solidFill>
            <a:ln w="9525" cap="flat" cmpd="sng" algn="ctr">
              <a:noFill/>
              <a:round/>
            </a:ln>
            <a:effectLst/>
          </c:spPr>
          <c:invertIfNegative val="0"/>
          <c:cat>
            <c:strRef>
              <c:f>Recours!$B$42:$D$42</c:f>
              <c:strCache>
                <c:ptCount val="3"/>
                <c:pt idx="0">
                  <c:v>Ménages victimes d'un vol d'objet dans ou sur la voiture</c:v>
                </c:pt>
                <c:pt idx="1">
                  <c:v>Ménages victimes d'un vol d'objet SUR la voiture</c:v>
                </c:pt>
                <c:pt idx="2">
                  <c:v>Ménages victimes d'un vol d'objet DANS la voiture</c:v>
                </c:pt>
              </c:strCache>
            </c:strRef>
          </c:cat>
          <c:val>
            <c:numRef>
              <c:f>Recours!$B$45:$D$45</c:f>
              <c:numCache>
                <c:formatCode>0%</c:formatCode>
                <c:ptCount val="3"/>
                <c:pt idx="0">
                  <c:v>2.2938605032822801E-2</c:v>
                </c:pt>
                <c:pt idx="1">
                  <c:v>1.7706092836261799E-2</c:v>
                </c:pt>
                <c:pt idx="2">
                  <c:v>2.21202817747389E-2</c:v>
                </c:pt>
              </c:numCache>
            </c:numRef>
          </c:val>
          <c:extLst>
            <c:ext xmlns:c16="http://schemas.microsoft.com/office/drawing/2014/chart" uri="{C3380CC4-5D6E-409C-BE32-E72D297353CC}">
              <c16:uniqueId val="{00000003-53E4-44B2-ADC9-371BAA4A33DA}"/>
            </c:ext>
          </c:extLst>
        </c:ser>
        <c:ser>
          <c:idx val="3"/>
          <c:order val="3"/>
          <c:tx>
            <c:strRef>
              <c:f>Recours!$A$46</c:f>
              <c:strCache>
                <c:ptCount val="1"/>
                <c:pt idx="0">
                  <c:v>Pas de déplacement au commissariat ou à la gendarmerie</c:v>
                </c:pt>
              </c:strCache>
            </c:strRef>
          </c:tx>
          <c:spPr>
            <a:solidFill>
              <a:schemeClr val="bg2"/>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Recours!$B$42:$D$42</c:f>
              <c:strCache>
                <c:ptCount val="3"/>
                <c:pt idx="0">
                  <c:v>Ménages victimes d'un vol d'objet dans ou sur la voiture</c:v>
                </c:pt>
                <c:pt idx="1">
                  <c:v>Ménages victimes d'un vol d'objet SUR la voiture</c:v>
                </c:pt>
                <c:pt idx="2">
                  <c:v>Ménages victimes d'un vol d'objet DANS la voiture</c:v>
                </c:pt>
              </c:strCache>
            </c:strRef>
          </c:cat>
          <c:val>
            <c:numRef>
              <c:f>Recours!$B$46:$D$46</c:f>
              <c:numCache>
                <c:formatCode>0%</c:formatCode>
                <c:ptCount val="3"/>
                <c:pt idx="0">
                  <c:v>0.60431400437636795</c:v>
                </c:pt>
                <c:pt idx="1">
                  <c:v>0.761872689945153</c:v>
                </c:pt>
                <c:pt idx="2">
                  <c:v>0.46876783238453301</c:v>
                </c:pt>
              </c:numCache>
            </c:numRef>
          </c:val>
          <c:extLst>
            <c:ext xmlns:c16="http://schemas.microsoft.com/office/drawing/2014/chart" uri="{C3380CC4-5D6E-409C-BE32-E72D297353CC}">
              <c16:uniqueId val="{00000004-53E4-44B2-ADC9-371BAA4A33DA}"/>
            </c:ext>
          </c:extLst>
        </c:ser>
        <c:ser>
          <c:idx val="4"/>
          <c:order val="4"/>
          <c:tx>
            <c:strRef>
              <c:f>Recours!$A$47</c:f>
              <c:strCache>
                <c:ptCount val="1"/>
                <c:pt idx="0">
                  <c:v>Ne sait pas/Refus</c:v>
                </c:pt>
              </c:strCache>
            </c:strRef>
          </c:tx>
          <c:spPr>
            <a:solidFill>
              <a:schemeClr val="bg1">
                <a:lumMod val="75000"/>
              </a:schemeClr>
            </a:solidFill>
            <a:ln w="9525" cap="flat" cmpd="sng" algn="ctr">
              <a:noFill/>
              <a:round/>
            </a:ln>
            <a:effectLst/>
          </c:spPr>
          <c:invertIfNegative val="0"/>
          <c:cat>
            <c:strRef>
              <c:f>Recours!$B$42:$D$42</c:f>
              <c:strCache>
                <c:ptCount val="3"/>
                <c:pt idx="0">
                  <c:v>Ménages victimes d'un vol d'objet dans ou sur la voiture</c:v>
                </c:pt>
                <c:pt idx="1">
                  <c:v>Ménages victimes d'un vol d'objet SUR la voiture</c:v>
                </c:pt>
                <c:pt idx="2">
                  <c:v>Ménages victimes d'un vol d'objet DANS la voiture</c:v>
                </c:pt>
              </c:strCache>
            </c:strRef>
          </c:cat>
          <c:val>
            <c:numRef>
              <c:f>Recours!$B$47:$D$47</c:f>
              <c:numCache>
                <c:formatCode>0%</c:formatCode>
                <c:ptCount val="3"/>
                <c:pt idx="0">
                  <c:v>1.9533369803064957E-3</c:v>
                </c:pt>
                <c:pt idx="1">
                  <c:v>8.2235793584517491E-8</c:v>
                </c:pt>
                <c:pt idx="2">
                  <c:v>3.9686565727543241E-3</c:v>
                </c:pt>
              </c:numCache>
            </c:numRef>
          </c:val>
          <c:extLst>
            <c:ext xmlns:c16="http://schemas.microsoft.com/office/drawing/2014/chart" uri="{C3380CC4-5D6E-409C-BE32-E72D297353CC}">
              <c16:uniqueId val="{00000005-53E4-44B2-ADC9-371BAA4A33DA}"/>
            </c:ext>
          </c:extLst>
        </c:ser>
        <c:dLbls>
          <c:showLegendKey val="0"/>
          <c:showVal val="0"/>
          <c:showCatName val="0"/>
          <c:showSerName val="0"/>
          <c:showPercent val="0"/>
          <c:showBubbleSize val="0"/>
        </c:dLbls>
        <c:gapWidth val="80"/>
        <c:overlap val="100"/>
        <c:axId val="252554128"/>
        <c:axId val="252554688"/>
      </c:barChart>
      <c:catAx>
        <c:axId val="252554128"/>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2554688"/>
        <c:crosses val="autoZero"/>
        <c:auto val="1"/>
        <c:lblAlgn val="ctr"/>
        <c:lblOffset val="100"/>
        <c:noMultiLvlLbl val="0"/>
      </c:catAx>
      <c:valAx>
        <c:axId val="252554688"/>
        <c:scaling>
          <c:orientation val="minMax"/>
          <c:max val="1"/>
          <c:min val="0"/>
        </c:scaling>
        <c:delete val="1"/>
        <c:axPos val="r"/>
        <c:numFmt formatCode="0%" sourceLinked="1"/>
        <c:majorTickMark val="none"/>
        <c:minorTickMark val="none"/>
        <c:tickLblPos val="nextTo"/>
        <c:crossAx val="252554128"/>
        <c:crosses val="autoZero"/>
        <c:crossBetween val="between"/>
        <c:majorUnit val="1"/>
      </c:valAx>
      <c:spPr>
        <a:noFill/>
        <a:ln w="25400">
          <a:noFill/>
        </a:ln>
        <a:effectLst/>
      </c:spPr>
    </c:plotArea>
    <c:legend>
      <c:legendPos val="r"/>
      <c:layout>
        <c:manualLayout>
          <c:xMode val="edge"/>
          <c:yMode val="edge"/>
          <c:x val="0.57183762718046716"/>
          <c:y val="3.4471577128808266E-2"/>
          <c:w val="0.41243645730679279"/>
          <c:h val="0.790409426669767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500754147813E-2"/>
          <c:y val="9.5639943741209557E-2"/>
          <c:w val="0.84313725490196079"/>
          <c:h val="0.78621659634317864"/>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882998953174146E-3"/>
          <c:y val="2.6376098735507329E-2"/>
          <c:w val="0.55509631068276311"/>
          <c:h val="0.65652592138604704"/>
        </c:manualLayout>
      </c:layout>
      <c:barChart>
        <c:barDir val="col"/>
        <c:grouping val="percentStacked"/>
        <c:varyColors val="0"/>
        <c:ser>
          <c:idx val="0"/>
          <c:order val="0"/>
          <c:tx>
            <c:strRef>
              <c:f>Recours!$A$38</c:f>
              <c:strCache>
                <c:ptCount val="1"/>
                <c:pt idx="0">
                  <c:v>Pas d'assurance avant les faits</c:v>
                </c:pt>
              </c:strCache>
            </c:strRef>
          </c:tx>
          <c:spPr>
            <a:gradFill flip="none" rotWithShape="1">
              <a:gsLst>
                <a:gs pos="0">
                  <a:schemeClr val="tx1">
                    <a:lumMod val="50000"/>
                    <a:lumOff val="50000"/>
                    <a:shade val="30000"/>
                    <a:satMod val="115000"/>
                  </a:schemeClr>
                </a:gs>
                <a:gs pos="50000">
                  <a:schemeClr val="tx1">
                    <a:lumMod val="50000"/>
                    <a:lumOff val="50000"/>
                    <a:shade val="67500"/>
                    <a:satMod val="115000"/>
                  </a:schemeClr>
                </a:gs>
                <a:gs pos="100000">
                  <a:schemeClr val="tx1">
                    <a:lumMod val="50000"/>
                    <a:lumOff val="50000"/>
                    <a:shade val="100000"/>
                    <a:satMod val="115000"/>
                  </a:schemeClr>
                </a:gs>
              </a:gsLst>
              <a:lin ang="13500000" scaled="1"/>
              <a:tileRect/>
            </a:gradFill>
            <a:ln w="9525" cap="flat" cmpd="sng" algn="ctr">
              <a:noFill/>
              <a:round/>
            </a:ln>
            <a:effectLst/>
          </c:spPr>
          <c:invertIfNegative val="0"/>
          <c:cat>
            <c:strRef>
              <c:f>Recours!$B$37:$D$37</c:f>
              <c:strCache>
                <c:ptCount val="3"/>
                <c:pt idx="0">
                  <c:v>Ménages victimes d'un vol d'objet dans ou sur la voiture</c:v>
                </c:pt>
                <c:pt idx="1">
                  <c:v>Ménages victimes d'un vol d'objet SUR la voiture</c:v>
                </c:pt>
                <c:pt idx="2">
                  <c:v>Ménages victimes d'un vol d'objet DANS la voiture</c:v>
                </c:pt>
              </c:strCache>
            </c:strRef>
          </c:cat>
          <c:val>
            <c:numRef>
              <c:f>Recours!$B$38:$D$38</c:f>
              <c:numCache>
                <c:formatCode>0%</c:formatCode>
                <c:ptCount val="3"/>
                <c:pt idx="0">
                  <c:v>0</c:v>
                </c:pt>
                <c:pt idx="1">
                  <c:v>0</c:v>
                </c:pt>
                <c:pt idx="2">
                  <c:v>0</c:v>
                </c:pt>
              </c:numCache>
            </c:numRef>
          </c:val>
          <c:extLst>
            <c:ext xmlns:c16="http://schemas.microsoft.com/office/drawing/2014/chart" uri="{C3380CC4-5D6E-409C-BE32-E72D297353CC}">
              <c16:uniqueId val="{00000000-4CDE-4BDB-A5DF-8F65DDD7BBF6}"/>
            </c:ext>
          </c:extLst>
        </c:ser>
        <c:ser>
          <c:idx val="2"/>
          <c:order val="1"/>
          <c:tx>
            <c:strRef>
              <c:f>Recours!$A$39</c:f>
              <c:strCache>
                <c:ptCount val="1"/>
                <c:pt idx="0">
                  <c:v>Déclaration à l'assurance</c:v>
                </c:pt>
              </c:strCache>
            </c:strRef>
          </c:tx>
          <c:spPr>
            <a:solidFill>
              <a:schemeClr val="accent2">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Recours!$B$37:$D$37</c:f>
              <c:strCache>
                <c:ptCount val="3"/>
                <c:pt idx="0">
                  <c:v>Ménages victimes d'un vol d'objet dans ou sur la voiture</c:v>
                </c:pt>
                <c:pt idx="1">
                  <c:v>Ménages victimes d'un vol d'objet SUR la voiture</c:v>
                </c:pt>
                <c:pt idx="2">
                  <c:v>Ménages victimes d'un vol d'objet DANS la voiture</c:v>
                </c:pt>
              </c:strCache>
            </c:strRef>
          </c:cat>
          <c:val>
            <c:numRef>
              <c:f>Recours!$B$39:$D$39</c:f>
              <c:numCache>
                <c:formatCode>0%</c:formatCode>
                <c:ptCount val="3"/>
                <c:pt idx="0">
                  <c:v>0.35468490153172899</c:v>
                </c:pt>
                <c:pt idx="1">
                  <c:v>0.19999333890069701</c:v>
                </c:pt>
                <c:pt idx="2">
                  <c:v>0.47173116205515297</c:v>
                </c:pt>
              </c:numCache>
            </c:numRef>
          </c:val>
          <c:extLst>
            <c:ext xmlns:c16="http://schemas.microsoft.com/office/drawing/2014/chart" uri="{C3380CC4-5D6E-409C-BE32-E72D297353CC}">
              <c16:uniqueId val="{00000001-4CDE-4BDB-A5DF-8F65DDD7BBF6}"/>
            </c:ext>
          </c:extLst>
        </c:ser>
        <c:ser>
          <c:idx val="1"/>
          <c:order val="2"/>
          <c:tx>
            <c:strRef>
              <c:f>Recours!$A$40</c:f>
              <c:strCache>
                <c:ptCount val="1"/>
                <c:pt idx="0">
                  <c:v>Pas de déclaration à l'assurance</c:v>
                </c:pt>
              </c:strCache>
            </c:strRef>
          </c:tx>
          <c:spPr>
            <a:solidFill>
              <a:schemeClr val="bg2"/>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Recours!$B$37:$D$37</c:f>
              <c:strCache>
                <c:ptCount val="3"/>
                <c:pt idx="0">
                  <c:v>Ménages victimes d'un vol d'objet dans ou sur la voiture</c:v>
                </c:pt>
                <c:pt idx="1">
                  <c:v>Ménages victimes d'un vol d'objet SUR la voiture</c:v>
                </c:pt>
                <c:pt idx="2">
                  <c:v>Ménages victimes d'un vol d'objet DANS la voiture</c:v>
                </c:pt>
              </c:strCache>
            </c:strRef>
          </c:cat>
          <c:val>
            <c:numRef>
              <c:f>Recours!$B$40:$D$40</c:f>
              <c:numCache>
                <c:formatCode>0%</c:formatCode>
                <c:ptCount val="3"/>
                <c:pt idx="0">
                  <c:v>0.63999835886214396</c:v>
                </c:pt>
                <c:pt idx="1">
                  <c:v>0.79573231865328498</c:v>
                </c:pt>
                <c:pt idx="2">
                  <c:v>0.52093181551930701</c:v>
                </c:pt>
              </c:numCache>
            </c:numRef>
          </c:val>
          <c:extLst>
            <c:ext xmlns:c16="http://schemas.microsoft.com/office/drawing/2014/chart" uri="{C3380CC4-5D6E-409C-BE32-E72D297353CC}">
              <c16:uniqueId val="{00000002-4CDE-4BDB-A5DF-8F65DDD7BBF6}"/>
            </c:ext>
          </c:extLst>
        </c:ser>
        <c:ser>
          <c:idx val="3"/>
          <c:order val="3"/>
          <c:tx>
            <c:strRef>
              <c:f>Recours!$A$41</c:f>
              <c:strCache>
                <c:ptCount val="1"/>
                <c:pt idx="0">
                  <c:v>Ne sait pas/Refus</c:v>
                </c:pt>
              </c:strCache>
            </c:strRef>
          </c:tx>
          <c:spPr>
            <a:solidFill>
              <a:schemeClr val="bg1">
                <a:lumMod val="75000"/>
              </a:schemeClr>
            </a:solidFill>
            <a:ln w="9525" cap="flat" cmpd="sng" algn="ctr">
              <a:noFill/>
              <a:round/>
            </a:ln>
            <a:effectLst/>
          </c:spPr>
          <c:invertIfNegative val="0"/>
          <c:cat>
            <c:strRef>
              <c:f>Recours!$B$37:$D$37</c:f>
              <c:strCache>
                <c:ptCount val="3"/>
                <c:pt idx="0">
                  <c:v>Ménages victimes d'un vol d'objet dans ou sur la voiture</c:v>
                </c:pt>
                <c:pt idx="1">
                  <c:v>Ménages victimes d'un vol d'objet SUR la voiture</c:v>
                </c:pt>
                <c:pt idx="2">
                  <c:v>Ménages victimes d'un vol d'objet DANS la voiture</c:v>
                </c:pt>
              </c:strCache>
            </c:strRef>
          </c:cat>
          <c:val>
            <c:numRef>
              <c:f>Recours!$B$41:$D$41</c:f>
              <c:numCache>
                <c:formatCode>0%</c:formatCode>
                <c:ptCount val="3"/>
                <c:pt idx="0">
                  <c:v>5.3167396061269967E-3</c:v>
                </c:pt>
                <c:pt idx="1">
                  <c:v>4.2743424460179869E-3</c:v>
                </c:pt>
                <c:pt idx="2">
                  <c:v>7.3370224255400185E-3</c:v>
                </c:pt>
              </c:numCache>
            </c:numRef>
          </c:val>
          <c:extLst>
            <c:ext xmlns:c16="http://schemas.microsoft.com/office/drawing/2014/chart" uri="{C3380CC4-5D6E-409C-BE32-E72D297353CC}">
              <c16:uniqueId val="{00000003-4CDE-4BDB-A5DF-8F65DDD7BBF6}"/>
            </c:ext>
          </c:extLst>
        </c:ser>
        <c:dLbls>
          <c:showLegendKey val="0"/>
          <c:showVal val="0"/>
          <c:showCatName val="0"/>
          <c:showSerName val="0"/>
          <c:showPercent val="0"/>
          <c:showBubbleSize val="0"/>
        </c:dLbls>
        <c:gapWidth val="80"/>
        <c:overlap val="100"/>
        <c:axId val="253544592"/>
        <c:axId val="253545152"/>
      </c:barChart>
      <c:catAx>
        <c:axId val="253544592"/>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3545152"/>
        <c:crosses val="autoZero"/>
        <c:auto val="1"/>
        <c:lblAlgn val="ctr"/>
        <c:lblOffset val="100"/>
        <c:noMultiLvlLbl val="0"/>
      </c:catAx>
      <c:valAx>
        <c:axId val="253545152"/>
        <c:scaling>
          <c:orientation val="minMax"/>
          <c:max val="1"/>
          <c:min val="0"/>
        </c:scaling>
        <c:delete val="1"/>
        <c:axPos val="r"/>
        <c:numFmt formatCode="0%" sourceLinked="1"/>
        <c:majorTickMark val="none"/>
        <c:minorTickMark val="none"/>
        <c:tickLblPos val="nextTo"/>
        <c:crossAx val="253544592"/>
        <c:crosses val="autoZero"/>
        <c:crossBetween val="between"/>
        <c:majorUnit val="1"/>
      </c:valAx>
      <c:spPr>
        <a:noFill/>
        <a:ln w="25400">
          <a:noFill/>
        </a:ln>
        <a:effectLst/>
      </c:spPr>
    </c:plotArea>
    <c:legend>
      <c:legendPos val="r"/>
      <c:legendEntry>
        <c:idx val="3"/>
        <c:delete val="1"/>
      </c:legendEntry>
      <c:layout>
        <c:manualLayout>
          <c:xMode val="edge"/>
          <c:yMode val="edge"/>
          <c:x val="0.57484263800113067"/>
          <c:y val="9.7951789864258468E-2"/>
          <c:w val="0.31097320991427929"/>
          <c:h val="0.373088192159049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47911061798711"/>
          <c:y val="0.2986899443171126"/>
          <c:w val="0.29473975172351807"/>
          <c:h val="0.61383180057060227"/>
        </c:manualLayout>
      </c:layout>
      <c:barChart>
        <c:barDir val="bar"/>
        <c:grouping val="clustered"/>
        <c:varyColors val="0"/>
        <c:ser>
          <c:idx val="1"/>
          <c:order val="0"/>
          <c:tx>
            <c:v>Proportion de victimes parmi les ménages possédant une voiture</c:v>
          </c:tx>
          <c:spPr>
            <a:solidFill>
              <a:schemeClr val="accent1">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Profil!$B$50:$B$57</c:f>
              <c:strCache>
                <c:ptCount val="8"/>
                <c:pt idx="0">
                  <c:v>Région parisienne</c:v>
                </c:pt>
                <c:pt idx="1">
                  <c:v>Bassin parisien</c:v>
                </c:pt>
                <c:pt idx="2">
                  <c:v>Nord</c:v>
                </c:pt>
                <c:pt idx="3">
                  <c:v>Est</c:v>
                </c:pt>
                <c:pt idx="4">
                  <c:v>Ouest</c:v>
                </c:pt>
                <c:pt idx="5">
                  <c:v>Sud-Ouest</c:v>
                </c:pt>
                <c:pt idx="6">
                  <c:v>Centre-Est</c:v>
                </c:pt>
                <c:pt idx="7">
                  <c:v>Méditerranée</c:v>
                </c:pt>
              </c:strCache>
            </c:strRef>
          </c:cat>
          <c:val>
            <c:numRef>
              <c:f>Profil!$D$50:$D$57</c:f>
              <c:numCache>
                <c:formatCode>0.0%</c:formatCode>
                <c:ptCount val="8"/>
                <c:pt idx="0">
                  <c:v>3.7664489106992202E-2</c:v>
                </c:pt>
                <c:pt idx="1">
                  <c:v>2.4031278389773199E-2</c:v>
                </c:pt>
                <c:pt idx="2">
                  <c:v>3.4314135817526001E-2</c:v>
                </c:pt>
                <c:pt idx="3">
                  <c:v>2.27514737512379E-2</c:v>
                </c:pt>
                <c:pt idx="4">
                  <c:v>2.05539033660368E-2</c:v>
                </c:pt>
                <c:pt idx="5">
                  <c:v>1.9447475723940399E-2</c:v>
                </c:pt>
                <c:pt idx="6">
                  <c:v>2.2720176266776599E-2</c:v>
                </c:pt>
                <c:pt idx="7">
                  <c:v>3.1274788953927997E-2</c:v>
                </c:pt>
              </c:numCache>
            </c:numRef>
          </c:val>
          <c:extLst>
            <c:ext xmlns:c16="http://schemas.microsoft.com/office/drawing/2014/chart" uri="{C3380CC4-5D6E-409C-BE32-E72D297353CC}">
              <c16:uniqueId val="{00000000-0EE9-4EC3-947A-A32A506606A2}"/>
            </c:ext>
          </c:extLst>
        </c:ser>
        <c:ser>
          <c:idx val="0"/>
          <c:order val="1"/>
          <c:tx>
            <c:v>Proportion de victimes parmi l'ensemble des ménages</c:v>
          </c:tx>
          <c:spPr>
            <a:solidFill>
              <a:schemeClr val="accent1">
                <a:lumMod val="20000"/>
                <a:lumOff val="8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65000"/>
                      </a:schemeClr>
                    </a:solidFill>
                    <a:latin typeface="Albany AMT" panose="020B0604020202020204" pitchFamily="34" charset="0"/>
                    <a:ea typeface="+mn-ea"/>
                    <a:cs typeface="Albany AMT" panose="020B0604020202020204" pitchFamily="34" charset="0"/>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Profil!$B$50:$B$57</c:f>
              <c:strCache>
                <c:ptCount val="8"/>
                <c:pt idx="0">
                  <c:v>Région parisienne</c:v>
                </c:pt>
                <c:pt idx="1">
                  <c:v>Bassin parisien</c:v>
                </c:pt>
                <c:pt idx="2">
                  <c:v>Nord</c:v>
                </c:pt>
                <c:pt idx="3">
                  <c:v>Est</c:v>
                </c:pt>
                <c:pt idx="4">
                  <c:v>Ouest</c:v>
                </c:pt>
                <c:pt idx="5">
                  <c:v>Sud-Ouest</c:v>
                </c:pt>
                <c:pt idx="6">
                  <c:v>Centre-Est</c:v>
                </c:pt>
                <c:pt idx="7">
                  <c:v>Méditerranée</c:v>
                </c:pt>
              </c:strCache>
            </c:strRef>
          </c:cat>
          <c:val>
            <c:numRef>
              <c:f>Profil!$C$50:$C$57</c:f>
              <c:numCache>
                <c:formatCode>0.0%</c:formatCode>
                <c:ptCount val="8"/>
                <c:pt idx="0">
                  <c:v>2.41800869520719E-2</c:v>
                </c:pt>
                <c:pt idx="1">
                  <c:v>2.0314869103387E-2</c:v>
                </c:pt>
                <c:pt idx="2">
                  <c:v>2.7211581779695002E-2</c:v>
                </c:pt>
                <c:pt idx="3">
                  <c:v>1.93654459231998E-2</c:v>
                </c:pt>
                <c:pt idx="4">
                  <c:v>1.8229724041208002E-2</c:v>
                </c:pt>
                <c:pt idx="5">
                  <c:v>1.7071459412780699E-2</c:v>
                </c:pt>
                <c:pt idx="6">
                  <c:v>1.9124674045947102E-2</c:v>
                </c:pt>
                <c:pt idx="7">
                  <c:v>2.6008315786137701E-2</c:v>
                </c:pt>
              </c:numCache>
            </c:numRef>
          </c:val>
          <c:extLst>
            <c:ext xmlns:c16="http://schemas.microsoft.com/office/drawing/2014/chart" uri="{C3380CC4-5D6E-409C-BE32-E72D297353CC}">
              <c16:uniqueId val="{00000001-0EE9-4EC3-947A-A32A506606A2}"/>
            </c:ext>
          </c:extLst>
        </c:ser>
        <c:dLbls>
          <c:showLegendKey val="0"/>
          <c:showVal val="0"/>
          <c:showCatName val="0"/>
          <c:showSerName val="0"/>
          <c:showPercent val="0"/>
          <c:showBubbleSize val="0"/>
        </c:dLbls>
        <c:gapWidth val="30"/>
        <c:axId val="253548512"/>
        <c:axId val="253549072"/>
      </c:barChart>
      <c:catAx>
        <c:axId val="25354851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3549072"/>
        <c:crosses val="autoZero"/>
        <c:auto val="1"/>
        <c:lblAlgn val="ctr"/>
        <c:lblOffset val="100"/>
        <c:noMultiLvlLbl val="0"/>
      </c:catAx>
      <c:valAx>
        <c:axId val="253549072"/>
        <c:scaling>
          <c:orientation val="minMax"/>
          <c:max val="5.800000000000001E-2"/>
          <c:min val="0"/>
        </c:scaling>
        <c:delete val="0"/>
        <c:axPos val="t"/>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3548512"/>
        <c:crosses val="autoZero"/>
        <c:crossBetween val="between"/>
        <c:minorUnit val="5.000000000000001E-3"/>
      </c:valAx>
      <c:spPr>
        <a:noFill/>
        <a:ln w="25400">
          <a:noFill/>
        </a:ln>
        <a:effectLst/>
      </c:spPr>
    </c:plotArea>
    <c:legend>
      <c:legendPos val="t"/>
      <c:layout>
        <c:manualLayout>
          <c:xMode val="edge"/>
          <c:yMode val="edge"/>
          <c:x val="0.21044470344209945"/>
          <c:y val="6.0700799771592831E-2"/>
          <c:w val="0.71650565776493047"/>
          <c:h val="0.123905918691616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legend>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8896437682536751"/>
          <c:y val="0.21220888136799382"/>
          <c:w val="0.35382109470151824"/>
          <c:h val="0.68047445602054568"/>
        </c:manualLayout>
      </c:layout>
      <c:barChart>
        <c:barDir val="bar"/>
        <c:grouping val="clustered"/>
        <c:varyColors val="0"/>
        <c:ser>
          <c:idx val="1"/>
          <c:order val="0"/>
          <c:spPr>
            <a:solidFill>
              <a:schemeClr val="accent1">
                <a:lumMod val="60000"/>
                <a:lumOff val="40000"/>
              </a:schemeClr>
            </a:solidFill>
            <a:ln w="9525" cap="flat" cmpd="sng" algn="ctr">
              <a:noFill/>
              <a:round/>
            </a:ln>
            <a:effectLst/>
          </c:spPr>
          <c:invertIfNegative val="0"/>
          <c:dLbls>
            <c:dLbl>
              <c:idx val="4"/>
              <c:layout>
                <c:manualLayout>
                  <c:x val="-9.0497759052210556E-3"/>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83F-48D5-A314-C1DEBE4EF7A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Profil!$B$58:$B$62</c:f>
              <c:strCache>
                <c:ptCount val="5"/>
                <c:pt idx="0">
                  <c:v>Communes rurales</c:v>
                </c:pt>
                <c:pt idx="1">
                  <c:v>Moins de 20 000 hab.</c:v>
                </c:pt>
                <c:pt idx="2">
                  <c:v>20 000 - 100 000 hab.</c:v>
                </c:pt>
                <c:pt idx="3">
                  <c:v>100 000 hab. ou plus</c:v>
                </c:pt>
                <c:pt idx="4">
                  <c:v>Agglomération parisienne</c:v>
                </c:pt>
              </c:strCache>
            </c:strRef>
          </c:cat>
          <c:val>
            <c:numRef>
              <c:f>Profil!$D$58:$D$62</c:f>
              <c:numCache>
                <c:formatCode>0.0%</c:formatCode>
                <c:ptCount val="5"/>
                <c:pt idx="0">
                  <c:v>1.2450632416820699E-2</c:v>
                </c:pt>
                <c:pt idx="1">
                  <c:v>1.7366173151331699E-2</c:v>
                </c:pt>
                <c:pt idx="2">
                  <c:v>2.5496072670823301E-2</c:v>
                </c:pt>
                <c:pt idx="3">
                  <c:v>3.6792037242142403E-2</c:v>
                </c:pt>
                <c:pt idx="4">
                  <c:v>4.1109817129566399E-2</c:v>
                </c:pt>
              </c:numCache>
            </c:numRef>
          </c:val>
          <c:extLst>
            <c:ext xmlns:c16="http://schemas.microsoft.com/office/drawing/2014/chart" uri="{C3380CC4-5D6E-409C-BE32-E72D297353CC}">
              <c16:uniqueId val="{00000001-283F-48D5-A314-C1DEBE4EF7AB}"/>
            </c:ext>
          </c:extLst>
        </c:ser>
        <c:ser>
          <c:idx val="0"/>
          <c:order val="1"/>
          <c:spPr>
            <a:solidFill>
              <a:schemeClr val="accent1">
                <a:lumMod val="20000"/>
                <a:lumOff val="80000"/>
              </a:schemeClr>
            </a:solidFill>
            <a:ln w="9525" cap="flat" cmpd="sng" algn="ctr">
              <a:noFill/>
              <a:round/>
            </a:ln>
            <a:effectLst/>
          </c:spPr>
          <c:invertIfNegative val="0"/>
          <c:dLbls>
            <c:dLbl>
              <c:idx val="0"/>
              <c:layout>
                <c:manualLayout>
                  <c:x val="-7.4090111540269482E-2"/>
                  <c:y val="6.0207264584859775E-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283F-48D5-A314-C1DEBE4EF7A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65000"/>
                      </a:schemeClr>
                    </a:solidFill>
                    <a:latin typeface="Albany AMT" panose="020B0604020202020204" pitchFamily="34" charset="0"/>
                    <a:ea typeface="+mn-ea"/>
                    <a:cs typeface="Albany AMT" panose="020B0604020202020204" pitchFamily="34" charset="0"/>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Profil!$B$58:$B$62</c:f>
              <c:strCache>
                <c:ptCount val="5"/>
                <c:pt idx="0">
                  <c:v>Communes rurales</c:v>
                </c:pt>
                <c:pt idx="1">
                  <c:v>Moins de 20 000 hab.</c:v>
                </c:pt>
                <c:pt idx="2">
                  <c:v>20 000 - 100 000 hab.</c:v>
                </c:pt>
                <c:pt idx="3">
                  <c:v>100 000 hab. ou plus</c:v>
                </c:pt>
                <c:pt idx="4">
                  <c:v>Agglomération parisienne</c:v>
                </c:pt>
              </c:strCache>
            </c:strRef>
          </c:cat>
          <c:val>
            <c:numRef>
              <c:f>Profil!$C$58:$C$62</c:f>
              <c:numCache>
                <c:formatCode>0.0%</c:formatCode>
                <c:ptCount val="5"/>
                <c:pt idx="0">
                  <c:v>1.16627943865179E-2</c:v>
                </c:pt>
                <c:pt idx="1">
                  <c:v>1.5395234234459E-2</c:v>
                </c:pt>
                <c:pt idx="2">
                  <c:v>2.11571424959692E-2</c:v>
                </c:pt>
                <c:pt idx="3">
                  <c:v>2.8861481197708101E-2</c:v>
                </c:pt>
                <c:pt idx="4">
                  <c:v>2.5338992128793501E-2</c:v>
                </c:pt>
              </c:numCache>
            </c:numRef>
          </c:val>
          <c:extLst>
            <c:ext xmlns:c16="http://schemas.microsoft.com/office/drawing/2014/chart" uri="{C3380CC4-5D6E-409C-BE32-E72D297353CC}">
              <c16:uniqueId val="{00000003-283F-48D5-A314-C1DEBE4EF7AB}"/>
            </c:ext>
          </c:extLst>
        </c:ser>
        <c:dLbls>
          <c:showLegendKey val="0"/>
          <c:showVal val="0"/>
          <c:showCatName val="0"/>
          <c:showSerName val="0"/>
          <c:showPercent val="0"/>
          <c:showBubbleSize val="0"/>
        </c:dLbls>
        <c:gapWidth val="40"/>
        <c:axId val="253551872"/>
        <c:axId val="253552432"/>
      </c:barChart>
      <c:catAx>
        <c:axId val="25355187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3552432"/>
        <c:crosses val="autoZero"/>
        <c:auto val="1"/>
        <c:lblAlgn val="ctr"/>
        <c:lblOffset val="100"/>
        <c:noMultiLvlLbl val="0"/>
      </c:catAx>
      <c:valAx>
        <c:axId val="253552432"/>
        <c:scaling>
          <c:orientation val="minMax"/>
          <c:max val="5.800000000000001E-2"/>
          <c:min val="0"/>
        </c:scaling>
        <c:delete val="0"/>
        <c:axPos val="t"/>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3551872"/>
        <c:crosses val="autoZero"/>
        <c:crossBetween val="between"/>
        <c:majorUnit val="1.0000000000000002E-2"/>
        <c:minorUnit val="5.000000000000001E-3"/>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6932809956618926"/>
          <c:y val="0.21663111468126506"/>
          <c:w val="0.47172036729830136"/>
          <c:h val="0.62773679398979421"/>
        </c:manualLayout>
      </c:layout>
      <c:barChart>
        <c:barDir val="bar"/>
        <c:grouping val="clustered"/>
        <c:varyColors val="0"/>
        <c:ser>
          <c:idx val="1"/>
          <c:order val="0"/>
          <c:spPr>
            <a:solidFill>
              <a:schemeClr val="accent1">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Profil!$B$63:$B$66</c:f>
              <c:strCache>
                <c:ptCount val="4"/>
                <c:pt idx="0">
                  <c:v>Maison indépendante, pavillon, ferme</c:v>
                </c:pt>
                <c:pt idx="1">
                  <c:v>Maison de ville groupée</c:v>
                </c:pt>
                <c:pt idx="2">
                  <c:v>Appartement (immeuble 2 - 9 logements)</c:v>
                </c:pt>
                <c:pt idx="3">
                  <c:v>Appartement (immeuble de 10 logements ou +)</c:v>
                </c:pt>
              </c:strCache>
            </c:strRef>
          </c:cat>
          <c:val>
            <c:numRef>
              <c:f>Profil!$D$63:$D$66</c:f>
              <c:numCache>
                <c:formatCode>0.0%</c:formatCode>
                <c:ptCount val="4"/>
                <c:pt idx="0">
                  <c:v>1.5869252612094799E-2</c:v>
                </c:pt>
                <c:pt idx="1">
                  <c:v>2.9254840043865402E-2</c:v>
                </c:pt>
                <c:pt idx="2">
                  <c:v>3.5438072244206101E-2</c:v>
                </c:pt>
                <c:pt idx="3">
                  <c:v>3.7548216190771901E-2</c:v>
                </c:pt>
              </c:numCache>
            </c:numRef>
          </c:val>
          <c:extLst>
            <c:ext xmlns:c16="http://schemas.microsoft.com/office/drawing/2014/chart" uri="{C3380CC4-5D6E-409C-BE32-E72D297353CC}">
              <c16:uniqueId val="{00000000-9CE1-47FD-956F-30FF9643DF12}"/>
            </c:ext>
          </c:extLst>
        </c:ser>
        <c:ser>
          <c:idx val="0"/>
          <c:order val="1"/>
          <c:spPr>
            <a:solidFill>
              <a:schemeClr val="accent1">
                <a:lumMod val="20000"/>
                <a:lumOff val="80000"/>
              </a:schemeClr>
            </a:solidFill>
            <a:ln w="9525" cap="flat" cmpd="sng" algn="ctr">
              <a:noFill/>
              <a:round/>
            </a:ln>
            <a:effectLst/>
          </c:spPr>
          <c:invertIfNegative val="0"/>
          <c:dLbls>
            <c:dLbl>
              <c:idx val="0"/>
              <c:layout>
                <c:manualLayout>
                  <c:x val="-0.10646941859540285"/>
                  <c:y val="5.3839452905015362E-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CE1-47FD-956F-30FF9643DF1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65000"/>
                      </a:schemeClr>
                    </a:solidFill>
                    <a:latin typeface="Albany AMT" panose="020B0604020202020204" pitchFamily="34" charset="0"/>
                    <a:ea typeface="+mn-ea"/>
                    <a:cs typeface="Albany AMT" panose="020B0604020202020204" pitchFamily="34" charset="0"/>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Profil!$B$63:$B$66</c:f>
              <c:strCache>
                <c:ptCount val="4"/>
                <c:pt idx="0">
                  <c:v>Maison indépendante, pavillon, ferme</c:v>
                </c:pt>
                <c:pt idx="1">
                  <c:v>Maison de ville groupée</c:v>
                </c:pt>
                <c:pt idx="2">
                  <c:v>Appartement (immeuble 2 - 9 logements)</c:v>
                </c:pt>
                <c:pt idx="3">
                  <c:v>Appartement (immeuble de 10 logements ou +)</c:v>
                </c:pt>
              </c:strCache>
            </c:strRef>
          </c:cat>
          <c:val>
            <c:numRef>
              <c:f>Profil!$C$63:$C$66</c:f>
              <c:numCache>
                <c:formatCode>0.0%</c:formatCode>
                <c:ptCount val="4"/>
                <c:pt idx="0">
                  <c:v>1.50233229644496E-2</c:v>
                </c:pt>
                <c:pt idx="1">
                  <c:v>2.6174510329595699E-2</c:v>
                </c:pt>
                <c:pt idx="2">
                  <c:v>2.5191482511819401E-2</c:v>
                </c:pt>
                <c:pt idx="3">
                  <c:v>2.41441984657427E-2</c:v>
                </c:pt>
              </c:numCache>
            </c:numRef>
          </c:val>
          <c:extLst>
            <c:ext xmlns:c16="http://schemas.microsoft.com/office/drawing/2014/chart" uri="{C3380CC4-5D6E-409C-BE32-E72D297353CC}">
              <c16:uniqueId val="{00000002-9CE1-47FD-956F-30FF9643DF12}"/>
            </c:ext>
          </c:extLst>
        </c:ser>
        <c:dLbls>
          <c:showLegendKey val="0"/>
          <c:showVal val="0"/>
          <c:showCatName val="0"/>
          <c:showSerName val="0"/>
          <c:showPercent val="0"/>
          <c:showBubbleSize val="0"/>
        </c:dLbls>
        <c:gapWidth val="60"/>
        <c:axId val="253555232"/>
        <c:axId val="253555792"/>
      </c:barChart>
      <c:catAx>
        <c:axId val="2535552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3555792"/>
        <c:crosses val="autoZero"/>
        <c:auto val="1"/>
        <c:lblAlgn val="ctr"/>
        <c:lblOffset val="100"/>
        <c:noMultiLvlLbl val="0"/>
      </c:catAx>
      <c:valAx>
        <c:axId val="253555792"/>
        <c:scaling>
          <c:orientation val="minMax"/>
          <c:max val="5.800000000000001E-2"/>
          <c:min val="0"/>
        </c:scaling>
        <c:delete val="0"/>
        <c:axPos val="t"/>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3555232"/>
        <c:crosses val="autoZero"/>
        <c:crossBetween val="between"/>
        <c:minorUnit val="5.000000000000001E-3"/>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494678195900351"/>
          <c:y val="0.18432728973197274"/>
          <c:w val="0.47593256364426839"/>
          <c:h val="0.66101559974435686"/>
        </c:manualLayout>
      </c:layout>
      <c:barChart>
        <c:barDir val="bar"/>
        <c:grouping val="clustered"/>
        <c:varyColors val="0"/>
        <c:ser>
          <c:idx val="1"/>
          <c:order val="0"/>
          <c:spPr>
            <a:solidFill>
              <a:schemeClr val="accent1">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Profil!$B$67:$B$71</c:f>
              <c:strCache>
                <c:ptCount val="5"/>
                <c:pt idx="0">
                  <c:v>Maisons dispersées, hors agglomération</c:v>
                </c:pt>
                <c:pt idx="1">
                  <c:v>Maisons en lotissement, en quartier pavillonnaire</c:v>
                </c:pt>
                <c:pt idx="2">
                  <c:v>Immeubles en ville</c:v>
                </c:pt>
                <c:pt idx="3">
                  <c:v>Immeubles en cité ou grand ensemble</c:v>
                </c:pt>
                <c:pt idx="4">
                  <c:v>Habitat mixte : immeubles et maisons</c:v>
                </c:pt>
              </c:strCache>
            </c:strRef>
          </c:cat>
          <c:val>
            <c:numRef>
              <c:f>Profil!$D$67:$D$71</c:f>
              <c:numCache>
                <c:formatCode>0.0%</c:formatCode>
                <c:ptCount val="5"/>
                <c:pt idx="0">
                  <c:v>1.1425928579542E-2</c:v>
                </c:pt>
                <c:pt idx="1">
                  <c:v>2.4192971354075301E-2</c:v>
                </c:pt>
                <c:pt idx="2">
                  <c:v>3.5325663002740502E-2</c:v>
                </c:pt>
                <c:pt idx="3">
                  <c:v>3.83208514186223E-2</c:v>
                </c:pt>
                <c:pt idx="4">
                  <c:v>4.0122778825056403E-2</c:v>
                </c:pt>
              </c:numCache>
            </c:numRef>
          </c:val>
          <c:extLst>
            <c:ext xmlns:c16="http://schemas.microsoft.com/office/drawing/2014/chart" uri="{C3380CC4-5D6E-409C-BE32-E72D297353CC}">
              <c16:uniqueId val="{00000000-88AB-4DD1-8331-194E5C70B8C9}"/>
            </c:ext>
          </c:extLst>
        </c:ser>
        <c:ser>
          <c:idx val="0"/>
          <c:order val="1"/>
          <c:spPr>
            <a:solidFill>
              <a:schemeClr val="accent1">
                <a:lumMod val="20000"/>
                <a:lumOff val="80000"/>
              </a:schemeClr>
            </a:solidFill>
            <a:ln w="9525" cap="flat" cmpd="sng" algn="ctr">
              <a:noFill/>
              <a:round/>
            </a:ln>
            <a:effectLst/>
          </c:spPr>
          <c:invertIfNegative val="0"/>
          <c:dLbls>
            <c:dLbl>
              <c:idx val="0"/>
              <c:layout>
                <c:manualLayout>
                  <c:x val="-9.6717388854000691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8AB-4DD1-8331-194E5C70B8C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65000"/>
                      </a:schemeClr>
                    </a:solidFill>
                    <a:latin typeface="Albany AMT" panose="020B0604020202020204" pitchFamily="34" charset="0"/>
                    <a:ea typeface="+mn-ea"/>
                    <a:cs typeface="Albany AMT" panose="020B0604020202020204" pitchFamily="34" charset="0"/>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Profil!$B$67:$B$71</c:f>
              <c:strCache>
                <c:ptCount val="5"/>
                <c:pt idx="0">
                  <c:v>Maisons dispersées, hors agglomération</c:v>
                </c:pt>
                <c:pt idx="1">
                  <c:v>Maisons en lotissement, en quartier pavillonnaire</c:v>
                </c:pt>
                <c:pt idx="2">
                  <c:v>Immeubles en ville</c:v>
                </c:pt>
                <c:pt idx="3">
                  <c:v>Immeubles en cité ou grand ensemble</c:v>
                </c:pt>
                <c:pt idx="4">
                  <c:v>Habitat mixte : immeubles et maisons</c:v>
                </c:pt>
              </c:strCache>
            </c:strRef>
          </c:cat>
          <c:val>
            <c:numRef>
              <c:f>Profil!$C$67:$C$71</c:f>
              <c:numCache>
                <c:formatCode>0.0%</c:formatCode>
                <c:ptCount val="5"/>
                <c:pt idx="0">
                  <c:v>1.07513233500602E-2</c:v>
                </c:pt>
                <c:pt idx="1">
                  <c:v>2.2278043511931401E-2</c:v>
                </c:pt>
                <c:pt idx="2">
                  <c:v>2.2892670892572398E-2</c:v>
                </c:pt>
                <c:pt idx="3">
                  <c:v>2.5540573051890701E-2</c:v>
                </c:pt>
                <c:pt idx="4">
                  <c:v>3.10255125364211E-2</c:v>
                </c:pt>
              </c:numCache>
            </c:numRef>
          </c:val>
          <c:extLst>
            <c:ext xmlns:c16="http://schemas.microsoft.com/office/drawing/2014/chart" uri="{C3380CC4-5D6E-409C-BE32-E72D297353CC}">
              <c16:uniqueId val="{00000002-88AB-4DD1-8331-194E5C70B8C9}"/>
            </c:ext>
          </c:extLst>
        </c:ser>
        <c:dLbls>
          <c:showLegendKey val="0"/>
          <c:showVal val="0"/>
          <c:showCatName val="0"/>
          <c:showSerName val="0"/>
          <c:showPercent val="0"/>
          <c:showBubbleSize val="0"/>
        </c:dLbls>
        <c:gapWidth val="100"/>
        <c:axId val="254151200"/>
        <c:axId val="254151760"/>
      </c:barChart>
      <c:catAx>
        <c:axId val="25415120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4151760"/>
        <c:crosses val="autoZero"/>
        <c:auto val="1"/>
        <c:lblAlgn val="ctr"/>
        <c:lblOffset val="100"/>
        <c:noMultiLvlLbl val="0"/>
      </c:catAx>
      <c:valAx>
        <c:axId val="254151760"/>
        <c:scaling>
          <c:orientation val="minMax"/>
          <c:max val="5.800000000000001E-2"/>
          <c:min val="0"/>
        </c:scaling>
        <c:delete val="0"/>
        <c:axPos val="t"/>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4151200"/>
        <c:crosses val="autoZero"/>
        <c:crossBetween val="between"/>
        <c:majorUnit val="1.0000000000000002E-2"/>
        <c:minorUnit val="5.000000000000001E-3"/>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2694131331939528"/>
          <c:y val="0.17688976377952756"/>
          <c:w val="0.49280388277709775"/>
          <c:h val="0.72939261380206266"/>
        </c:manualLayout>
      </c:layout>
      <c:barChart>
        <c:barDir val="bar"/>
        <c:grouping val="clustered"/>
        <c:varyColors val="0"/>
        <c:ser>
          <c:idx val="1"/>
          <c:order val="0"/>
          <c:spPr>
            <a:solidFill>
              <a:schemeClr val="accent1">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Profil!$B$72:$B$76</c:f>
              <c:strCache>
                <c:ptCount val="5"/>
                <c:pt idx="0">
                  <c:v>Moins de 30 ans</c:v>
                </c:pt>
                <c:pt idx="1">
                  <c:v>30-39 ans</c:v>
                </c:pt>
                <c:pt idx="2">
                  <c:v>40-49 ans</c:v>
                </c:pt>
                <c:pt idx="3">
                  <c:v>50-59 ans</c:v>
                </c:pt>
                <c:pt idx="4">
                  <c:v>60 ans ou plus</c:v>
                </c:pt>
              </c:strCache>
            </c:strRef>
          </c:cat>
          <c:val>
            <c:numRef>
              <c:f>Profil!$D$72:$D$76</c:f>
              <c:numCache>
                <c:formatCode>0.0%</c:formatCode>
                <c:ptCount val="5"/>
                <c:pt idx="0">
                  <c:v>4.9929146776639399E-2</c:v>
                </c:pt>
                <c:pt idx="1">
                  <c:v>3.57078648177242E-2</c:v>
                </c:pt>
                <c:pt idx="2">
                  <c:v>3.2235257137148303E-2</c:v>
                </c:pt>
                <c:pt idx="3">
                  <c:v>2.8015324158604998E-2</c:v>
                </c:pt>
                <c:pt idx="4">
                  <c:v>1.28291594955957E-2</c:v>
                </c:pt>
              </c:numCache>
            </c:numRef>
          </c:val>
          <c:extLst>
            <c:ext xmlns:c16="http://schemas.microsoft.com/office/drawing/2014/chart" uri="{C3380CC4-5D6E-409C-BE32-E72D297353CC}">
              <c16:uniqueId val="{00000000-BE8E-4C0D-B3DD-F04DFF6AFB36}"/>
            </c:ext>
          </c:extLst>
        </c:ser>
        <c:ser>
          <c:idx val="0"/>
          <c:order val="1"/>
          <c:spPr>
            <a:solidFill>
              <a:schemeClr val="accent1">
                <a:lumMod val="20000"/>
                <a:lumOff val="80000"/>
              </a:schemeClr>
            </a:solidFill>
            <a:ln w="9525" cap="flat" cmpd="sng" algn="ctr">
              <a:noFill/>
              <a:round/>
            </a:ln>
            <a:effectLst/>
          </c:spPr>
          <c:invertIfNegative val="0"/>
          <c:dLbls>
            <c:dLbl>
              <c:idx val="4"/>
              <c:layout>
                <c:manualLayout>
                  <c:x val="-9.447016549481442E-2"/>
                  <c:y val="-7.5751610594128891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E8E-4C0D-B3DD-F04DFF6AFB3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65000"/>
                      </a:schemeClr>
                    </a:solidFill>
                    <a:latin typeface="Albany AMT" panose="020B0604020202020204" pitchFamily="34" charset="0"/>
                    <a:ea typeface="+mn-ea"/>
                    <a:cs typeface="Albany AMT" panose="020B0604020202020204" pitchFamily="34" charset="0"/>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Profil!$B$72:$B$76</c:f>
              <c:strCache>
                <c:ptCount val="5"/>
                <c:pt idx="0">
                  <c:v>Moins de 30 ans</c:v>
                </c:pt>
                <c:pt idx="1">
                  <c:v>30-39 ans</c:v>
                </c:pt>
                <c:pt idx="2">
                  <c:v>40-49 ans</c:v>
                </c:pt>
                <c:pt idx="3">
                  <c:v>50-59 ans</c:v>
                </c:pt>
                <c:pt idx="4">
                  <c:v>60 ans ou plus</c:v>
                </c:pt>
              </c:strCache>
            </c:strRef>
          </c:cat>
          <c:val>
            <c:numRef>
              <c:f>Profil!$C$72:$C$76</c:f>
              <c:numCache>
                <c:formatCode>0.0%</c:formatCode>
                <c:ptCount val="5"/>
                <c:pt idx="0">
                  <c:v>3.3707197674132001E-2</c:v>
                </c:pt>
                <c:pt idx="1">
                  <c:v>2.98967794903124E-2</c:v>
                </c:pt>
                <c:pt idx="2">
                  <c:v>2.8074625345120601E-2</c:v>
                </c:pt>
                <c:pt idx="3">
                  <c:v>2.4479394209409699E-2</c:v>
                </c:pt>
                <c:pt idx="4">
                  <c:v>1.00068806901908E-2</c:v>
                </c:pt>
              </c:numCache>
            </c:numRef>
          </c:val>
          <c:extLst>
            <c:ext xmlns:c16="http://schemas.microsoft.com/office/drawing/2014/chart" uri="{C3380CC4-5D6E-409C-BE32-E72D297353CC}">
              <c16:uniqueId val="{00000002-BE8E-4C0D-B3DD-F04DFF6AFB36}"/>
            </c:ext>
          </c:extLst>
        </c:ser>
        <c:dLbls>
          <c:showLegendKey val="0"/>
          <c:showVal val="0"/>
          <c:showCatName val="0"/>
          <c:showSerName val="0"/>
          <c:showPercent val="0"/>
          <c:showBubbleSize val="0"/>
        </c:dLbls>
        <c:gapWidth val="40"/>
        <c:axId val="254154560"/>
        <c:axId val="254155120"/>
      </c:barChart>
      <c:catAx>
        <c:axId val="25415456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4155120"/>
        <c:crosses val="autoZero"/>
        <c:auto val="1"/>
        <c:lblAlgn val="ctr"/>
        <c:lblOffset val="100"/>
        <c:noMultiLvlLbl val="0"/>
      </c:catAx>
      <c:valAx>
        <c:axId val="254155120"/>
        <c:scaling>
          <c:orientation val="minMax"/>
          <c:max val="5.800000000000001E-2"/>
          <c:min val="0"/>
        </c:scaling>
        <c:delete val="0"/>
        <c:axPos val="t"/>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4154560"/>
        <c:crosses val="autoZero"/>
        <c:crossBetween val="between"/>
        <c:minorUnit val="5.000000000000001E-3"/>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6423862063632715"/>
          <c:y val="0.16104944106480965"/>
          <c:w val="0.47566741299529663"/>
          <c:h val="0.40756222035742679"/>
        </c:manualLayout>
      </c:layout>
      <c:barChart>
        <c:barDir val="bar"/>
        <c:grouping val="clustered"/>
        <c:varyColors val="0"/>
        <c:ser>
          <c:idx val="1"/>
          <c:order val="0"/>
          <c:spPr>
            <a:solidFill>
              <a:schemeClr val="accent1">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Profil!$B$77:$B$80</c:f>
              <c:strCache>
                <c:ptCount val="4"/>
                <c:pt idx="0">
                  <c:v>Personnes en emploi¹</c:v>
                </c:pt>
                <c:pt idx="1">
                  <c:v>Chômeurs</c:v>
                </c:pt>
                <c:pt idx="2">
                  <c:v>Retraités</c:v>
                </c:pt>
                <c:pt idx="3">
                  <c:v>Etudiants et autres inactifs</c:v>
                </c:pt>
              </c:strCache>
            </c:strRef>
          </c:cat>
          <c:val>
            <c:numRef>
              <c:f>Profil!$D$77:$D$80</c:f>
              <c:numCache>
                <c:formatCode>0.0%</c:formatCode>
                <c:ptCount val="4"/>
                <c:pt idx="0">
                  <c:v>3.3181100348143401E-2</c:v>
                </c:pt>
                <c:pt idx="1">
                  <c:v>3.8753947921122703E-2</c:v>
                </c:pt>
                <c:pt idx="2">
                  <c:v>1.07852705931334E-2</c:v>
                </c:pt>
                <c:pt idx="3">
                  <c:v>2.06363999899568E-2</c:v>
                </c:pt>
              </c:numCache>
            </c:numRef>
          </c:val>
          <c:extLst>
            <c:ext xmlns:c16="http://schemas.microsoft.com/office/drawing/2014/chart" uri="{C3380CC4-5D6E-409C-BE32-E72D297353CC}">
              <c16:uniqueId val="{00000000-6CF7-4785-ADBD-CC2DFCEFF9DC}"/>
            </c:ext>
          </c:extLst>
        </c:ser>
        <c:ser>
          <c:idx val="0"/>
          <c:order val="1"/>
          <c:spPr>
            <a:solidFill>
              <a:schemeClr val="accent1">
                <a:lumMod val="20000"/>
                <a:lumOff val="8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65000"/>
                      </a:schemeClr>
                    </a:solidFill>
                    <a:latin typeface="Albany AMT" panose="020B0604020202020204" pitchFamily="34" charset="0"/>
                    <a:ea typeface="+mn-ea"/>
                    <a:cs typeface="Albany AMT" panose="020B0604020202020204" pitchFamily="34" charset="0"/>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Profil!$B$77:$B$80</c:f>
              <c:strCache>
                <c:ptCount val="4"/>
                <c:pt idx="0">
                  <c:v>Personnes en emploi¹</c:v>
                </c:pt>
                <c:pt idx="1">
                  <c:v>Chômeurs</c:v>
                </c:pt>
                <c:pt idx="2">
                  <c:v>Retraités</c:v>
                </c:pt>
                <c:pt idx="3">
                  <c:v>Etudiants et autres inactifs</c:v>
                </c:pt>
              </c:strCache>
            </c:strRef>
          </c:cat>
          <c:val>
            <c:numRef>
              <c:f>Profil!$C$77:$C$80</c:f>
              <c:numCache>
                <c:formatCode>0.0%</c:formatCode>
                <c:ptCount val="4"/>
                <c:pt idx="0">
                  <c:v>2.9279945835630899E-2</c:v>
                </c:pt>
                <c:pt idx="1">
                  <c:v>2.3829893665072401E-2</c:v>
                </c:pt>
                <c:pt idx="2">
                  <c:v>8.4266753284938795E-3</c:v>
                </c:pt>
                <c:pt idx="3">
                  <c:v>1.08775584183006E-2</c:v>
                </c:pt>
              </c:numCache>
            </c:numRef>
          </c:val>
          <c:extLst>
            <c:ext xmlns:c16="http://schemas.microsoft.com/office/drawing/2014/chart" uri="{C3380CC4-5D6E-409C-BE32-E72D297353CC}">
              <c16:uniqueId val="{00000001-6CF7-4785-ADBD-CC2DFCEFF9DC}"/>
            </c:ext>
          </c:extLst>
        </c:ser>
        <c:dLbls>
          <c:showLegendKey val="0"/>
          <c:showVal val="0"/>
          <c:showCatName val="0"/>
          <c:showSerName val="0"/>
          <c:showPercent val="0"/>
          <c:showBubbleSize val="0"/>
        </c:dLbls>
        <c:gapWidth val="50"/>
        <c:axId val="254157920"/>
        <c:axId val="254158480"/>
      </c:barChart>
      <c:catAx>
        <c:axId val="25415792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4158480"/>
        <c:crosses val="autoZero"/>
        <c:auto val="1"/>
        <c:lblAlgn val="ctr"/>
        <c:lblOffset val="100"/>
        <c:noMultiLvlLbl val="0"/>
      </c:catAx>
      <c:valAx>
        <c:axId val="254158480"/>
        <c:scaling>
          <c:orientation val="minMax"/>
          <c:max val="5.800000000000001E-2"/>
          <c:min val="0"/>
        </c:scaling>
        <c:delete val="0"/>
        <c:axPos val="t"/>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4157920"/>
        <c:crosses val="autoZero"/>
        <c:crossBetween val="between"/>
        <c:majorUnit val="1.0000000000000002E-2"/>
        <c:minorUnit val="5.000000000000001E-3"/>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10252448035898"/>
          <c:y val="0.23230448237326146"/>
          <c:w val="0.44951664227812232"/>
          <c:h val="0.69351942147752133"/>
        </c:manualLayout>
      </c:layout>
      <c:barChart>
        <c:barDir val="bar"/>
        <c:grouping val="clustered"/>
        <c:varyColors val="0"/>
        <c:ser>
          <c:idx val="1"/>
          <c:order val="0"/>
          <c:spPr>
            <a:solidFill>
              <a:schemeClr val="accent1">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Profil!$B$81:$B$84</c:f>
              <c:strCache>
                <c:ptCount val="4"/>
                <c:pt idx="0">
                  <c:v>Modeste</c:v>
                </c:pt>
                <c:pt idx="1">
                  <c:v>Médian inférieur</c:v>
                </c:pt>
                <c:pt idx="2">
                  <c:v>Médian supérieur</c:v>
                </c:pt>
                <c:pt idx="3">
                  <c:v>Aisé</c:v>
                </c:pt>
              </c:strCache>
            </c:strRef>
          </c:cat>
          <c:val>
            <c:numRef>
              <c:f>Profil!$D$81:$D$84</c:f>
              <c:numCache>
                <c:formatCode>0.0%</c:formatCode>
                <c:ptCount val="4"/>
                <c:pt idx="0">
                  <c:v>2.7946957565850399E-2</c:v>
                </c:pt>
                <c:pt idx="1">
                  <c:v>2.53804671532563E-2</c:v>
                </c:pt>
                <c:pt idx="2">
                  <c:v>2.29871068613209E-2</c:v>
                </c:pt>
                <c:pt idx="3">
                  <c:v>2.84283319549779E-2</c:v>
                </c:pt>
              </c:numCache>
            </c:numRef>
          </c:val>
          <c:extLst>
            <c:ext xmlns:c16="http://schemas.microsoft.com/office/drawing/2014/chart" uri="{C3380CC4-5D6E-409C-BE32-E72D297353CC}">
              <c16:uniqueId val="{00000000-5097-445F-B057-99076F727A13}"/>
            </c:ext>
          </c:extLst>
        </c:ser>
        <c:ser>
          <c:idx val="0"/>
          <c:order val="1"/>
          <c:spPr>
            <a:solidFill>
              <a:schemeClr val="accent1">
                <a:lumMod val="20000"/>
                <a:lumOff val="8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65000"/>
                      </a:schemeClr>
                    </a:solidFill>
                    <a:latin typeface="Albany AMT" panose="020B0604020202020204" pitchFamily="34" charset="0"/>
                    <a:ea typeface="+mn-ea"/>
                    <a:cs typeface="Albany AMT" panose="020B0604020202020204" pitchFamily="34" charset="0"/>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Profil!$B$81:$B$84</c:f>
              <c:strCache>
                <c:ptCount val="4"/>
                <c:pt idx="0">
                  <c:v>Modeste</c:v>
                </c:pt>
                <c:pt idx="1">
                  <c:v>Médian inférieur</c:v>
                </c:pt>
                <c:pt idx="2">
                  <c:v>Médian supérieur</c:v>
                </c:pt>
                <c:pt idx="3">
                  <c:v>Aisé</c:v>
                </c:pt>
              </c:strCache>
            </c:strRef>
          </c:cat>
          <c:val>
            <c:numRef>
              <c:f>Profil!$C$81:$C$84</c:f>
              <c:numCache>
                <c:formatCode>0.0%</c:formatCode>
                <c:ptCount val="4"/>
                <c:pt idx="0">
                  <c:v>1.92532288558982E-2</c:v>
                </c:pt>
                <c:pt idx="1">
                  <c:v>2.0628254418827801E-2</c:v>
                </c:pt>
                <c:pt idx="2">
                  <c:v>2.0179481369988799E-2</c:v>
                </c:pt>
                <c:pt idx="3">
                  <c:v>2.4896681582963199E-2</c:v>
                </c:pt>
              </c:numCache>
            </c:numRef>
          </c:val>
          <c:extLst>
            <c:ext xmlns:c16="http://schemas.microsoft.com/office/drawing/2014/chart" uri="{C3380CC4-5D6E-409C-BE32-E72D297353CC}">
              <c16:uniqueId val="{00000001-5097-445F-B057-99076F727A13}"/>
            </c:ext>
          </c:extLst>
        </c:ser>
        <c:dLbls>
          <c:showLegendKey val="0"/>
          <c:showVal val="0"/>
          <c:showCatName val="0"/>
          <c:showSerName val="0"/>
          <c:showPercent val="0"/>
          <c:showBubbleSize val="0"/>
        </c:dLbls>
        <c:gapWidth val="50"/>
        <c:axId val="254161280"/>
        <c:axId val="254161840"/>
      </c:barChart>
      <c:catAx>
        <c:axId val="25416128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4161840"/>
        <c:crosses val="autoZero"/>
        <c:auto val="1"/>
        <c:lblAlgn val="ctr"/>
        <c:lblOffset val="100"/>
        <c:noMultiLvlLbl val="0"/>
      </c:catAx>
      <c:valAx>
        <c:axId val="254161840"/>
        <c:scaling>
          <c:orientation val="minMax"/>
          <c:max val="5.800000000000001E-2"/>
          <c:min val="0"/>
        </c:scaling>
        <c:delete val="0"/>
        <c:axPos val="t"/>
        <c:minorGridlines>
          <c:spPr>
            <a:ln>
              <a:noFill/>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4161280"/>
        <c:crosses val="autoZero"/>
        <c:crossBetween val="between"/>
        <c:majorUnit val="1.0000000000000002E-2"/>
        <c:minorUnit val="5.000000000000001E-3"/>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7900015439246563"/>
          <c:y val="0.32261207349081367"/>
          <c:w val="0.46225042457928051"/>
          <c:h val="0.59159459883522392"/>
        </c:manualLayout>
      </c:layout>
      <c:barChart>
        <c:barDir val="bar"/>
        <c:grouping val="clustered"/>
        <c:varyColors val="0"/>
        <c:ser>
          <c:idx val="1"/>
          <c:order val="0"/>
          <c:spPr>
            <a:solidFill>
              <a:schemeClr val="accent1">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Profil!$B$85:$B$86</c:f>
              <c:strCache>
                <c:ptCount val="2"/>
                <c:pt idx="0">
                  <c:v>QPV</c:v>
                </c:pt>
                <c:pt idx="1">
                  <c:v>Hors QPV</c:v>
                </c:pt>
              </c:strCache>
            </c:strRef>
          </c:cat>
          <c:val>
            <c:numRef>
              <c:f>Profil!$D$85:$D$86</c:f>
              <c:numCache>
                <c:formatCode>0.0%</c:formatCode>
                <c:ptCount val="2"/>
                <c:pt idx="0">
                  <c:v>4.5650251881884103E-2</c:v>
                </c:pt>
                <c:pt idx="1">
                  <c:v>2.50300302269576E-2</c:v>
                </c:pt>
              </c:numCache>
            </c:numRef>
          </c:val>
          <c:extLst>
            <c:ext xmlns:c16="http://schemas.microsoft.com/office/drawing/2014/chart" uri="{C3380CC4-5D6E-409C-BE32-E72D297353CC}">
              <c16:uniqueId val="{00000000-F9C0-4DB7-B7EB-2713F8C02837}"/>
            </c:ext>
          </c:extLst>
        </c:ser>
        <c:ser>
          <c:idx val="0"/>
          <c:order val="1"/>
          <c:spPr>
            <a:solidFill>
              <a:schemeClr val="accent1">
                <a:lumMod val="20000"/>
                <a:lumOff val="8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65000"/>
                      </a:schemeClr>
                    </a:solidFill>
                    <a:latin typeface="Albany AMT" panose="020B0604020202020204" pitchFamily="34" charset="0"/>
                    <a:ea typeface="+mn-ea"/>
                    <a:cs typeface="Albany AMT" panose="020B0604020202020204" pitchFamily="34" charset="0"/>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Profil!$B$85:$B$86</c:f>
              <c:strCache>
                <c:ptCount val="2"/>
                <c:pt idx="0">
                  <c:v>QPV</c:v>
                </c:pt>
                <c:pt idx="1">
                  <c:v>Hors QPV</c:v>
                </c:pt>
              </c:strCache>
            </c:strRef>
          </c:cat>
          <c:val>
            <c:numRef>
              <c:f>Profil!$C$85:$C$86</c:f>
              <c:numCache>
                <c:formatCode>0.0%</c:formatCode>
                <c:ptCount val="2"/>
                <c:pt idx="0">
                  <c:v>2.75101992444119E-2</c:v>
                </c:pt>
                <c:pt idx="1">
                  <c:v>2.07673826486818E-2</c:v>
                </c:pt>
              </c:numCache>
            </c:numRef>
          </c:val>
          <c:extLst>
            <c:ext xmlns:c16="http://schemas.microsoft.com/office/drawing/2014/chart" uri="{C3380CC4-5D6E-409C-BE32-E72D297353CC}">
              <c16:uniqueId val="{00000001-F9C0-4DB7-B7EB-2713F8C02837}"/>
            </c:ext>
          </c:extLst>
        </c:ser>
        <c:dLbls>
          <c:showLegendKey val="0"/>
          <c:showVal val="0"/>
          <c:showCatName val="0"/>
          <c:showSerName val="0"/>
          <c:showPercent val="0"/>
          <c:showBubbleSize val="0"/>
        </c:dLbls>
        <c:gapWidth val="80"/>
        <c:axId val="254164640"/>
        <c:axId val="254165200"/>
      </c:barChart>
      <c:catAx>
        <c:axId val="25416464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Albany AMT" panose="020B0604020202020204" pitchFamily="34" charset="0"/>
                <a:ea typeface="+mn-ea"/>
                <a:cs typeface="Albany AMT" panose="020B0604020202020204" pitchFamily="34" charset="0"/>
              </a:defRPr>
            </a:pPr>
            <a:endParaRPr lang="fr-FR"/>
          </a:p>
        </c:txPr>
        <c:crossAx val="254165200"/>
        <c:crosses val="autoZero"/>
        <c:auto val="1"/>
        <c:lblAlgn val="ctr"/>
        <c:lblOffset val="100"/>
        <c:noMultiLvlLbl val="0"/>
      </c:catAx>
      <c:valAx>
        <c:axId val="254165200"/>
        <c:scaling>
          <c:orientation val="minMax"/>
          <c:max val="5.800000000000001E-2"/>
          <c:min val="0"/>
        </c:scaling>
        <c:delete val="0"/>
        <c:axPos val="t"/>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fr-FR"/>
          </a:p>
        </c:txPr>
        <c:crossAx val="254164640"/>
        <c:crosses val="autoZero"/>
        <c:crossBetween val="between"/>
        <c:minorUnit val="5.000000000000001E-3"/>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361950</xdr:rowOff>
    </xdr:from>
    <xdr:to>
      <xdr:col>7</xdr:col>
      <xdr:colOff>0</xdr:colOff>
      <xdr:row>37</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76200</xdr:rowOff>
    </xdr:from>
    <xdr:to>
      <xdr:col>0</xdr:col>
      <xdr:colOff>504825</xdr:colOff>
      <xdr:row>17</xdr:row>
      <xdr:rowOff>76200</xdr:rowOff>
    </xdr:to>
    <xdr:cxnSp macro="">
      <xdr:nvCxnSpPr>
        <xdr:cNvPr id="4" name="Connecteur droit 3"/>
        <xdr:cNvCxnSpPr/>
      </xdr:nvCxnSpPr>
      <xdr:spPr>
        <a:xfrm>
          <a:off x="0" y="3543300"/>
          <a:ext cx="504825" cy="0"/>
        </a:xfrm>
        <a:prstGeom prst="line">
          <a:avLst/>
        </a:prstGeom>
        <a:ln w="19050">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6</xdr:row>
      <xdr:rowOff>133350</xdr:rowOff>
    </xdr:from>
    <xdr:to>
      <xdr:col>4</xdr:col>
      <xdr:colOff>590550</xdr:colOff>
      <xdr:row>23</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685800</xdr:colOff>
      <xdr:row>19</xdr:row>
      <xdr:rowOff>28576</xdr:rowOff>
    </xdr:from>
    <xdr:to>
      <xdr:col>8</xdr:col>
      <xdr:colOff>400050</xdr:colOff>
      <xdr:row>24</xdr:row>
      <xdr:rowOff>276226</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209550</xdr:rowOff>
    </xdr:from>
    <xdr:to>
      <xdr:col>4</xdr:col>
      <xdr:colOff>552450</xdr:colOff>
      <xdr:row>26</xdr:row>
      <xdr:rowOff>209550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xdr:row>
      <xdr:rowOff>66676</xdr:rowOff>
    </xdr:from>
    <xdr:to>
      <xdr:col>7</xdr:col>
      <xdr:colOff>676274</xdr:colOff>
      <xdr:row>18</xdr:row>
      <xdr:rowOff>9525</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114300</xdr:colOff>
      <xdr:row>8</xdr:row>
      <xdr:rowOff>209551</xdr:rowOff>
    </xdr:from>
    <xdr:to>
      <xdr:col>8</xdr:col>
      <xdr:colOff>9525</xdr:colOff>
      <xdr:row>16</xdr:row>
      <xdr:rowOff>228600</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600075</xdr:colOff>
      <xdr:row>1</xdr:row>
      <xdr:rowOff>276225</xdr:rowOff>
    </xdr:from>
    <xdr:to>
      <xdr:col>7</xdr:col>
      <xdr:colOff>552450</xdr:colOff>
      <xdr:row>7</xdr:row>
      <xdr:rowOff>0</xdr:rowOff>
    </xdr:to>
    <xdr:graphicFrame macro="">
      <xdr:nvGraphicFramePr>
        <xdr:cNvPr id="16" name="Graphique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0.38897</cdr:x>
      <cdr:y>0.13287</cdr:y>
    </cdr:from>
    <cdr:to>
      <cdr:x>0.92883</cdr:x>
      <cdr:y>0.32867</cdr:y>
    </cdr:to>
    <cdr:sp macro="" textlink="">
      <cdr:nvSpPr>
        <cdr:cNvPr id="2" name="ZoneTexte 1"/>
        <cdr:cNvSpPr txBox="1"/>
      </cdr:nvSpPr>
      <cdr:spPr>
        <a:xfrm xmlns:a="http://schemas.openxmlformats.org/drawingml/2006/main">
          <a:off x="2030297" y="180975"/>
          <a:ext cx="2817927"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900" b="1">
              <a:solidFill>
                <a:schemeClr val="tx1">
                  <a:lumMod val="65000"/>
                  <a:lumOff val="35000"/>
                </a:schemeClr>
              </a:solidFill>
              <a:latin typeface="Albany AMT" panose="020B0604020202020204" pitchFamily="34" charset="0"/>
              <a:cs typeface="Albany AMT" panose="020B0604020202020204" pitchFamily="34" charset="0"/>
            </a:rPr>
            <a:t>Les</a:t>
          </a:r>
          <a:r>
            <a:rPr lang="fr-FR" sz="900" b="1" baseline="0">
              <a:solidFill>
                <a:schemeClr val="tx1">
                  <a:lumMod val="65000"/>
                  <a:lumOff val="35000"/>
                </a:schemeClr>
              </a:solidFill>
              <a:latin typeface="Albany AMT" panose="020B0604020202020204" pitchFamily="34" charset="0"/>
              <a:cs typeface="Albany AMT" panose="020B0604020202020204" pitchFamily="34" charset="0"/>
            </a:rPr>
            <a:t> objets ou accessoires volés se trouvaient ...</a:t>
          </a:r>
          <a:endParaRPr lang="fr-FR" sz="900" b="1">
            <a:solidFill>
              <a:schemeClr val="tx1">
                <a:lumMod val="65000"/>
                <a:lumOff val="35000"/>
              </a:schemeClr>
            </a:solidFill>
            <a:latin typeface="Albany AMT" panose="020B0604020202020204" pitchFamily="34" charset="0"/>
            <a:cs typeface="Albany AMT"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13</xdr:row>
      <xdr:rowOff>0</xdr:rowOff>
    </xdr:from>
    <xdr:to>
      <xdr:col>7</xdr:col>
      <xdr:colOff>723899</xdr:colOff>
      <xdr:row>23</xdr:row>
      <xdr:rowOff>161926</xdr:rowOff>
    </xdr:to>
    <xdr:graphicFrame macro="">
      <xdr:nvGraphicFramePr>
        <xdr:cNvPr id="9" name="Graphique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3</xdr:row>
      <xdr:rowOff>57150</xdr:rowOff>
    </xdr:from>
    <xdr:to>
      <xdr:col>8</xdr:col>
      <xdr:colOff>19050</xdr:colOff>
      <xdr:row>11</xdr:row>
      <xdr:rowOff>0</xdr:rowOff>
    </xdr:to>
    <xdr:graphicFrame macro="">
      <xdr:nvGraphicFramePr>
        <xdr:cNvPr id="10" name="Graphique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361950</xdr:colOff>
      <xdr:row>2</xdr:row>
      <xdr:rowOff>161925</xdr:rowOff>
    </xdr:from>
    <xdr:to>
      <xdr:col>4</xdr:col>
      <xdr:colOff>285750</xdr:colOff>
      <xdr:row>10</xdr:row>
      <xdr:rowOff>133350</xdr:rowOff>
    </xdr:to>
    <xdr:graphicFrame macro="">
      <xdr:nvGraphicFramePr>
        <xdr:cNvPr id="11" name="Graphique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0</xdr:colOff>
      <xdr:row>2</xdr:row>
      <xdr:rowOff>0</xdr:rowOff>
    </xdr:from>
    <xdr:ext cx="6048375" cy="224998"/>
    <xdr:sp macro="" textlink="">
      <xdr:nvSpPr>
        <xdr:cNvPr id="14" name="ZoneTexte 13"/>
        <xdr:cNvSpPr txBox="1"/>
      </xdr:nvSpPr>
      <xdr:spPr>
        <a:xfrm>
          <a:off x="0" y="485775"/>
          <a:ext cx="6048375"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900" b="1">
              <a:solidFill>
                <a:schemeClr val="tx1">
                  <a:lumMod val="65000"/>
                  <a:lumOff val="35000"/>
                </a:schemeClr>
              </a:solidFill>
              <a:latin typeface="Albany AMT" panose="020B0604020202020204" pitchFamily="34" charset="0"/>
              <a:cs typeface="Albany AMT" panose="020B0604020202020204" pitchFamily="34" charset="0"/>
            </a:rPr>
            <a:t>« Comment qualifieriez-vous les dégâts (destruction/dégradation)</a:t>
          </a:r>
          <a:r>
            <a:rPr lang="fr-FR" sz="900" b="1" baseline="0">
              <a:solidFill>
                <a:schemeClr val="tx1">
                  <a:lumMod val="65000"/>
                  <a:lumOff val="35000"/>
                </a:schemeClr>
              </a:solidFill>
              <a:latin typeface="Albany AMT" panose="020B0604020202020204" pitchFamily="34" charset="0"/>
              <a:cs typeface="Albany AMT" panose="020B0604020202020204" pitchFamily="34" charset="0"/>
            </a:rPr>
            <a:t> </a:t>
          </a:r>
          <a:r>
            <a:rPr lang="fr-FR" sz="900" b="1">
              <a:solidFill>
                <a:schemeClr val="tx1">
                  <a:lumMod val="65000"/>
                  <a:lumOff val="35000"/>
                </a:schemeClr>
              </a:solidFill>
              <a:latin typeface="Albany AMT" panose="020B0604020202020204" pitchFamily="34" charset="0"/>
              <a:cs typeface="Albany AMT" panose="020B0604020202020204" pitchFamily="34" charset="0"/>
            </a:rPr>
            <a:t>causés à votre voiture</a:t>
          </a:r>
          <a:r>
            <a:rPr lang="fr-FR" sz="900" b="1" baseline="0">
              <a:solidFill>
                <a:schemeClr val="tx1">
                  <a:lumMod val="65000"/>
                  <a:lumOff val="35000"/>
                </a:schemeClr>
              </a:solidFill>
              <a:latin typeface="Albany AMT" panose="020B0604020202020204" pitchFamily="34" charset="0"/>
              <a:cs typeface="Albany AMT" panose="020B0604020202020204" pitchFamily="34" charset="0"/>
            </a:rPr>
            <a:t> </a:t>
          </a:r>
          <a:r>
            <a:rPr lang="fr-FR" sz="900" b="1">
              <a:solidFill>
                <a:schemeClr val="tx1">
                  <a:lumMod val="65000"/>
                  <a:lumOff val="35000"/>
                </a:schemeClr>
              </a:solidFill>
              <a:latin typeface="Albany AMT" panose="020B0604020202020204" pitchFamily="34" charset="0"/>
              <a:cs typeface="Albany AMT" panose="020B0604020202020204" pitchFamily="34" charset="0"/>
            </a:rPr>
            <a:t>? »</a:t>
          </a:r>
        </a:p>
      </xdr:txBody>
    </xdr:sp>
    <xdr:clientData/>
  </xdr:oneCellAnchor>
  <xdr:twoCellAnchor>
    <xdr:from>
      <xdr:col>4</xdr:col>
      <xdr:colOff>200026</xdr:colOff>
      <xdr:row>2</xdr:row>
      <xdr:rowOff>9525</xdr:rowOff>
    </xdr:from>
    <xdr:to>
      <xdr:col>6</xdr:col>
      <xdr:colOff>333376</xdr:colOff>
      <xdr:row>11</xdr:row>
      <xdr:rowOff>0</xdr:rowOff>
    </xdr:to>
    <xdr:graphicFrame macro="">
      <xdr:nvGraphicFramePr>
        <xdr:cNvPr id="15" name="Graphique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552450</xdr:colOff>
      <xdr:row>12</xdr:row>
      <xdr:rowOff>47625</xdr:rowOff>
    </xdr:from>
    <xdr:ext cx="4914900" cy="357662"/>
    <xdr:sp macro="" textlink="">
      <xdr:nvSpPr>
        <xdr:cNvPr id="16" name="ZoneTexte 15"/>
        <xdr:cNvSpPr txBox="1"/>
      </xdr:nvSpPr>
      <xdr:spPr>
        <a:xfrm>
          <a:off x="552450" y="2971800"/>
          <a:ext cx="4914900" cy="357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900" b="1">
              <a:solidFill>
                <a:schemeClr val="tx1">
                  <a:lumMod val="65000"/>
                  <a:lumOff val="35000"/>
                </a:schemeClr>
              </a:solidFill>
              <a:latin typeface="Albany AMT" panose="020B0604020202020204" pitchFamily="34" charset="0"/>
              <a:cs typeface="Albany AMT" panose="020B0604020202020204" pitchFamily="34" charset="0"/>
            </a:rPr>
            <a:t>« Quels objets </a:t>
          </a:r>
          <a:r>
            <a:rPr lang="fr-FR" sz="900" b="1" baseline="0">
              <a:solidFill>
                <a:schemeClr val="tx1">
                  <a:lumMod val="65000"/>
                  <a:lumOff val="35000"/>
                </a:schemeClr>
              </a:solidFill>
              <a:latin typeface="Albany AMT" panose="020B0604020202020204" pitchFamily="34" charset="0"/>
              <a:cs typeface="Albany AMT" panose="020B0604020202020204" pitchFamily="34" charset="0"/>
            </a:rPr>
            <a:t>ont été volés ou tentés de l'être </a:t>
          </a:r>
          <a:r>
            <a:rPr lang="fr-FR" sz="900" b="1">
              <a:solidFill>
                <a:schemeClr val="tx1">
                  <a:lumMod val="65000"/>
                  <a:lumOff val="35000"/>
                </a:schemeClr>
              </a:solidFill>
              <a:latin typeface="Albany AMT" panose="020B0604020202020204" pitchFamily="34" charset="0"/>
              <a:cs typeface="Albany AMT" panose="020B0604020202020204" pitchFamily="34" charset="0"/>
            </a:rPr>
            <a:t>? »</a:t>
          </a:r>
        </a:p>
        <a:p>
          <a:pPr algn="ctr"/>
          <a:r>
            <a:rPr lang="fr-FR" sz="900" b="0" i="1">
              <a:solidFill>
                <a:schemeClr val="tx1">
                  <a:lumMod val="65000"/>
                  <a:lumOff val="35000"/>
                </a:schemeClr>
              </a:solidFill>
              <a:latin typeface="Albany AMT" panose="020B0604020202020204" pitchFamily="34" charset="0"/>
              <a:cs typeface="Albany AMT" panose="020B0604020202020204" pitchFamily="34" charset="0"/>
            </a:rPr>
            <a:t>(plusieurs</a:t>
          </a:r>
          <a:r>
            <a:rPr lang="fr-FR" sz="900" b="0" i="1" baseline="0">
              <a:solidFill>
                <a:schemeClr val="tx1">
                  <a:lumMod val="65000"/>
                  <a:lumOff val="35000"/>
                </a:schemeClr>
              </a:solidFill>
              <a:latin typeface="Albany AMT" panose="020B0604020202020204" pitchFamily="34" charset="0"/>
              <a:cs typeface="Albany AMT" panose="020B0604020202020204" pitchFamily="34" charset="0"/>
            </a:rPr>
            <a:t> réponses possibles)</a:t>
          </a:r>
          <a:endParaRPr lang="fr-FR" sz="900" b="0" i="1">
            <a:solidFill>
              <a:schemeClr val="tx1">
                <a:lumMod val="65000"/>
                <a:lumOff val="35000"/>
              </a:schemeClr>
            </a:solidFill>
            <a:latin typeface="Albany AMT" panose="020B0604020202020204" pitchFamily="34" charset="0"/>
            <a:cs typeface="Albany AMT" panose="020B0604020202020204" pitchFamily="34" charset="0"/>
          </a:endParaRPr>
        </a:p>
      </xdr:txBody>
    </xdr:sp>
    <xdr:clientData/>
  </xdr:oneCellAnchor>
  <xdr:twoCellAnchor>
    <xdr:from>
      <xdr:col>6</xdr:col>
      <xdr:colOff>352425</xdr:colOff>
      <xdr:row>29</xdr:row>
      <xdr:rowOff>180975</xdr:rowOff>
    </xdr:from>
    <xdr:to>
      <xdr:col>8</xdr:col>
      <xdr:colOff>19051</xdr:colOff>
      <xdr:row>33</xdr:row>
      <xdr:rowOff>41966</xdr:rowOff>
    </xdr:to>
    <xdr:sp macro="" textlink="">
      <xdr:nvSpPr>
        <xdr:cNvPr id="20" name="ZoneTexte 3"/>
        <xdr:cNvSpPr txBox="1"/>
      </xdr:nvSpPr>
      <xdr:spPr>
        <a:xfrm>
          <a:off x="4867275" y="6257925"/>
          <a:ext cx="1171576" cy="62299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fr-FR" sz="900">
              <a:solidFill>
                <a:schemeClr val="tx1">
                  <a:lumMod val="65000"/>
                  <a:lumOff val="35000"/>
                </a:schemeClr>
              </a:solidFill>
              <a:latin typeface="Albany AMT" panose="020B0604020202020204" pitchFamily="34" charset="0"/>
              <a:cs typeface="Albany AMT" panose="020B0604020202020204" pitchFamily="34" charset="0"/>
            </a:rPr>
            <a:t>en % des ménages victimes</a:t>
          </a:r>
          <a:r>
            <a:rPr lang="fr-FR" sz="900" baseline="0">
              <a:solidFill>
                <a:schemeClr val="tx1">
                  <a:lumMod val="65000"/>
                  <a:lumOff val="35000"/>
                </a:schemeClr>
              </a:solidFill>
              <a:latin typeface="Albany AMT" panose="020B0604020202020204" pitchFamily="34" charset="0"/>
              <a:cs typeface="Albany AMT" panose="020B0604020202020204" pitchFamily="34" charset="0"/>
            </a:rPr>
            <a:t> d'un vol </a:t>
          </a:r>
          <a:r>
            <a:rPr lang="fr-FR" sz="900" baseline="0">
              <a:solidFill>
                <a:schemeClr val="tx1">
                  <a:lumMod val="65000"/>
                  <a:lumOff val="35000"/>
                </a:schemeClr>
              </a:solidFill>
              <a:effectLst/>
              <a:latin typeface="Albany AMT" panose="020B0604020202020204" pitchFamily="34" charset="0"/>
              <a:ea typeface="+mn-ea"/>
              <a:cs typeface="Albany AMT" panose="020B0604020202020204" pitchFamily="34" charset="0"/>
            </a:rPr>
            <a:t>d'objet SUR</a:t>
          </a:r>
          <a:r>
            <a:rPr lang="fr-FR" sz="900" baseline="0">
              <a:solidFill>
                <a:schemeClr val="tx1">
                  <a:lumMod val="65000"/>
                  <a:lumOff val="35000"/>
                </a:schemeClr>
              </a:solidFill>
              <a:latin typeface="Albany AMT" panose="020B0604020202020204" pitchFamily="34" charset="0"/>
              <a:cs typeface="Albany AMT" panose="020B0604020202020204" pitchFamily="34" charset="0"/>
            </a:rPr>
            <a:t> la voiture</a:t>
          </a:r>
          <a:endParaRPr lang="fr-FR" sz="900">
            <a:solidFill>
              <a:schemeClr val="tx1">
                <a:lumMod val="65000"/>
                <a:lumOff val="35000"/>
              </a:schemeClr>
            </a:solidFill>
            <a:latin typeface="Albany AMT" panose="020B0604020202020204" pitchFamily="34" charset="0"/>
            <a:cs typeface="Albany AMT" panose="020B0604020202020204" pitchFamily="34" charset="0"/>
          </a:endParaRPr>
        </a:p>
      </xdr:txBody>
    </xdr:sp>
    <xdr:clientData/>
  </xdr:twoCellAnchor>
  <xdr:oneCellAnchor>
    <xdr:from>
      <xdr:col>2</xdr:col>
      <xdr:colOff>9525</xdr:colOff>
      <xdr:row>24</xdr:row>
      <xdr:rowOff>161925</xdr:rowOff>
    </xdr:from>
    <xdr:ext cx="3263522" cy="224998"/>
    <xdr:sp macro="" textlink="">
      <xdr:nvSpPr>
        <xdr:cNvPr id="22" name="ZoneTexte 21"/>
        <xdr:cNvSpPr txBox="1"/>
      </xdr:nvSpPr>
      <xdr:spPr>
        <a:xfrm>
          <a:off x="1514475" y="5286375"/>
          <a:ext cx="3263522"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900" b="1" baseline="0">
              <a:solidFill>
                <a:schemeClr val="tx1">
                  <a:lumMod val="65000"/>
                  <a:lumOff val="35000"/>
                </a:schemeClr>
              </a:solidFill>
              <a:latin typeface="Albany AMT" panose="020B0604020202020204" pitchFamily="34" charset="0"/>
              <a:cs typeface="Albany AMT" panose="020B0604020202020204" pitchFamily="34" charset="0"/>
            </a:rPr>
            <a:t>« À combien estimez-vous la valeur des objets volés ? »</a:t>
          </a:r>
          <a:endParaRPr lang="fr-FR" sz="900" b="1">
            <a:solidFill>
              <a:schemeClr val="tx1">
                <a:lumMod val="65000"/>
                <a:lumOff val="35000"/>
              </a:schemeClr>
            </a:solidFill>
            <a:latin typeface="Albany AMT" panose="020B0604020202020204" pitchFamily="34" charset="0"/>
            <a:cs typeface="Albany AMT" panose="020B0604020202020204" pitchFamily="34" charset="0"/>
          </a:endParaRPr>
        </a:p>
      </xdr:txBody>
    </xdr:sp>
    <xdr:clientData/>
  </xdr:oneCellAnchor>
  <xdr:twoCellAnchor>
    <xdr:from>
      <xdr:col>0</xdr:col>
      <xdr:colOff>647700</xdr:colOff>
      <xdr:row>26</xdr:row>
      <xdr:rowOff>133352</xdr:rowOff>
    </xdr:from>
    <xdr:to>
      <xdr:col>8</xdr:col>
      <xdr:colOff>619124</xdr:colOff>
      <xdr:row>35</xdr:row>
      <xdr:rowOff>238125</xdr:rowOff>
    </xdr:to>
    <xdr:graphicFrame macro="">
      <xdr:nvGraphicFramePr>
        <xdr:cNvPr id="28" name="Graphique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495300</xdr:colOff>
      <xdr:row>26</xdr:row>
      <xdr:rowOff>114300</xdr:rowOff>
    </xdr:from>
    <xdr:to>
      <xdr:col>7</xdr:col>
      <xdr:colOff>47625</xdr:colOff>
      <xdr:row>35</xdr:row>
      <xdr:rowOff>209549</xdr:rowOff>
    </xdr:to>
    <xdr:graphicFrame macro="">
      <xdr:nvGraphicFramePr>
        <xdr:cNvPr id="29" name="Graphique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409575</xdr:colOff>
      <xdr:row>27</xdr:row>
      <xdr:rowOff>123825</xdr:rowOff>
    </xdr:from>
    <xdr:to>
      <xdr:col>2</xdr:col>
      <xdr:colOff>9527</xdr:colOff>
      <xdr:row>30</xdr:row>
      <xdr:rowOff>184841</xdr:rowOff>
    </xdr:to>
    <xdr:sp macro="" textlink="">
      <xdr:nvSpPr>
        <xdr:cNvPr id="30" name="ZoneTexte 15"/>
        <xdr:cNvSpPr txBox="1"/>
      </xdr:nvSpPr>
      <xdr:spPr>
        <a:xfrm>
          <a:off x="409575" y="5829300"/>
          <a:ext cx="1104902" cy="62299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fr-FR" sz="900" b="0">
              <a:solidFill>
                <a:schemeClr val="tx1">
                  <a:lumMod val="65000"/>
                  <a:lumOff val="35000"/>
                </a:schemeClr>
              </a:solidFill>
              <a:latin typeface="Albany AMT" panose="020B0604020202020204" pitchFamily="34" charset="0"/>
              <a:cs typeface="Albany AMT" panose="020B0604020202020204" pitchFamily="34" charset="0"/>
            </a:rPr>
            <a:t>en % des ménages victimes d'un vol d'objet</a:t>
          </a:r>
          <a:r>
            <a:rPr lang="fr-FR" sz="900" b="0" baseline="0">
              <a:solidFill>
                <a:schemeClr val="tx1">
                  <a:lumMod val="65000"/>
                  <a:lumOff val="35000"/>
                </a:schemeClr>
              </a:solidFill>
              <a:latin typeface="Albany AMT" panose="020B0604020202020204" pitchFamily="34" charset="0"/>
              <a:cs typeface="Albany AMT" panose="020B0604020202020204" pitchFamily="34" charset="0"/>
            </a:rPr>
            <a:t> DANS la voiture</a:t>
          </a:r>
          <a:r>
            <a:rPr lang="fr-FR" sz="900" b="0" baseline="30000">
              <a:solidFill>
                <a:schemeClr val="tx1">
                  <a:lumMod val="65000"/>
                  <a:lumOff val="35000"/>
                </a:schemeClr>
              </a:solidFill>
              <a:latin typeface="Albany AMT" panose="020B0604020202020204" pitchFamily="34" charset="0"/>
              <a:cs typeface="Albany AMT" panose="020B0604020202020204" pitchFamily="34" charset="0"/>
            </a:rPr>
            <a:t>1</a:t>
          </a:r>
          <a:endParaRPr lang="fr-FR" sz="900" b="0" i="1" baseline="30000">
            <a:solidFill>
              <a:schemeClr val="tx1">
                <a:lumMod val="65000"/>
                <a:lumOff val="35000"/>
              </a:schemeClr>
            </a:solidFill>
            <a:latin typeface="Albany AMT" panose="020B0604020202020204" pitchFamily="34" charset="0"/>
            <a:cs typeface="Albany AMT" panose="020B0604020202020204" pitchFamily="34" charset="0"/>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0.71224</cdr:x>
      <cdr:y>0.32957</cdr:y>
    </cdr:from>
    <cdr:to>
      <cdr:x>0.96661</cdr:x>
      <cdr:y>0.55339</cdr:y>
    </cdr:to>
    <cdr:sp macro="" textlink="">
      <cdr:nvSpPr>
        <cdr:cNvPr id="2" name="ZoneTexte 15"/>
        <cdr:cNvSpPr txBox="1"/>
      </cdr:nvSpPr>
      <cdr:spPr>
        <a:xfrm xmlns:a="http://schemas.openxmlformats.org/drawingml/2006/main">
          <a:off x="4267200" y="681206"/>
          <a:ext cx="1524000" cy="46261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fr-FR" sz="900" b="0">
              <a:solidFill>
                <a:schemeClr val="tx1">
                  <a:lumMod val="65000"/>
                  <a:lumOff val="35000"/>
                </a:schemeClr>
              </a:solidFill>
              <a:latin typeface="Albany AMT" panose="020B0604020202020204" pitchFamily="34" charset="0"/>
              <a:cs typeface="Albany AMT" panose="020B0604020202020204" pitchFamily="34" charset="0"/>
            </a:rPr>
            <a:t>en</a:t>
          </a:r>
          <a:r>
            <a:rPr lang="fr-FR" sz="900" b="0" baseline="0">
              <a:solidFill>
                <a:schemeClr val="tx1">
                  <a:lumMod val="65000"/>
                  <a:lumOff val="35000"/>
                </a:schemeClr>
              </a:solidFill>
              <a:latin typeface="Albany AMT" panose="020B0604020202020204" pitchFamily="34" charset="0"/>
              <a:cs typeface="Albany AMT" panose="020B0604020202020204" pitchFamily="34" charset="0"/>
            </a:rPr>
            <a:t> % des m</a:t>
          </a:r>
          <a:r>
            <a:rPr lang="fr-FR" sz="900" b="0">
              <a:solidFill>
                <a:schemeClr val="tx1">
                  <a:lumMod val="65000"/>
                  <a:lumOff val="35000"/>
                </a:schemeClr>
              </a:solidFill>
              <a:latin typeface="Albany AMT" panose="020B0604020202020204" pitchFamily="34" charset="0"/>
              <a:cs typeface="Albany AMT" panose="020B0604020202020204" pitchFamily="34" charset="0"/>
            </a:rPr>
            <a:t>énages victimes d'un vol d'objet</a:t>
          </a:r>
          <a:r>
            <a:rPr lang="fr-FR" sz="900" b="0" baseline="0">
              <a:solidFill>
                <a:schemeClr val="tx1">
                  <a:lumMod val="65000"/>
                  <a:lumOff val="35000"/>
                </a:schemeClr>
              </a:solidFill>
              <a:latin typeface="Albany AMT" panose="020B0604020202020204" pitchFamily="34" charset="0"/>
              <a:cs typeface="Albany AMT" panose="020B0604020202020204" pitchFamily="34" charset="0"/>
            </a:rPr>
            <a:t> DANS la voiture</a:t>
          </a:r>
          <a:r>
            <a:rPr lang="fr-FR" sz="900" b="0" baseline="30000">
              <a:solidFill>
                <a:schemeClr val="tx1">
                  <a:lumMod val="65000"/>
                  <a:lumOff val="35000"/>
                </a:schemeClr>
              </a:solidFill>
              <a:latin typeface="Albany AMT" panose="020B0604020202020204" pitchFamily="34" charset="0"/>
              <a:cs typeface="Albany AMT" panose="020B0604020202020204" pitchFamily="34" charset="0"/>
            </a:rPr>
            <a:t>1</a:t>
          </a:r>
          <a:endParaRPr lang="fr-FR" sz="900" b="0" i="1" baseline="30000">
            <a:solidFill>
              <a:schemeClr val="tx1">
                <a:lumMod val="65000"/>
                <a:lumOff val="35000"/>
              </a:schemeClr>
            </a:solidFill>
            <a:latin typeface="Albany AMT" panose="020B0604020202020204" pitchFamily="34" charset="0"/>
            <a:cs typeface="Albany AMT"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0.28939</cdr:x>
      <cdr:y>0.55609</cdr:y>
    </cdr:from>
    <cdr:to>
      <cdr:x>0.5538</cdr:x>
      <cdr:y>0.74964</cdr:y>
    </cdr:to>
    <cdr:sp macro="" textlink="">
      <cdr:nvSpPr>
        <cdr:cNvPr id="2" name="ZoneTexte 3"/>
        <cdr:cNvSpPr txBox="1"/>
      </cdr:nvSpPr>
      <cdr:spPr>
        <a:xfrm xmlns:a="http://schemas.openxmlformats.org/drawingml/2006/main">
          <a:off x="1742048" y="868663"/>
          <a:ext cx="1591695" cy="30234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fr-FR" sz="900">
              <a:solidFill>
                <a:schemeClr val="tx1">
                  <a:lumMod val="65000"/>
                  <a:lumOff val="35000"/>
                </a:schemeClr>
              </a:solidFill>
              <a:latin typeface="Albany AMT" panose="020B0604020202020204" pitchFamily="34" charset="0"/>
              <a:cs typeface="Albany AMT" panose="020B0604020202020204" pitchFamily="34" charset="0"/>
            </a:rPr>
            <a:t>Ménages victimes</a:t>
          </a:r>
          <a:r>
            <a:rPr lang="fr-FR" sz="900" baseline="0">
              <a:solidFill>
                <a:schemeClr val="tx1">
                  <a:lumMod val="65000"/>
                  <a:lumOff val="35000"/>
                </a:schemeClr>
              </a:solidFill>
              <a:latin typeface="Albany AMT" panose="020B0604020202020204" pitchFamily="34" charset="0"/>
              <a:cs typeface="Albany AMT" panose="020B0604020202020204" pitchFamily="34" charset="0"/>
            </a:rPr>
            <a:t> d'un vol </a:t>
          </a:r>
          <a:r>
            <a:rPr lang="fr-FR" sz="900" baseline="0">
              <a:solidFill>
                <a:schemeClr val="tx1">
                  <a:lumMod val="65000"/>
                  <a:lumOff val="35000"/>
                </a:schemeClr>
              </a:solidFill>
              <a:effectLst/>
              <a:latin typeface="Albany AMT" panose="020B0604020202020204" pitchFamily="34" charset="0"/>
              <a:ea typeface="+mn-ea"/>
              <a:cs typeface="Albany AMT" panose="020B0604020202020204" pitchFamily="34" charset="0"/>
            </a:rPr>
            <a:t>d'objet </a:t>
          </a:r>
          <a:r>
            <a:rPr lang="fr-FR" sz="900" baseline="0">
              <a:solidFill>
                <a:schemeClr val="tx1">
                  <a:lumMod val="65000"/>
                  <a:lumOff val="35000"/>
                </a:schemeClr>
              </a:solidFill>
              <a:latin typeface="Albany AMT" panose="020B0604020202020204" pitchFamily="34" charset="0"/>
              <a:cs typeface="Albany AMT" panose="020B0604020202020204" pitchFamily="34" charset="0"/>
            </a:rPr>
            <a:t>SUR la voiture</a:t>
          </a:r>
          <a:endParaRPr lang="fr-FR" sz="900">
            <a:solidFill>
              <a:schemeClr val="tx1">
                <a:lumMod val="65000"/>
                <a:lumOff val="35000"/>
              </a:schemeClr>
            </a:solidFill>
            <a:latin typeface="Albany AMT" panose="020B0604020202020204" pitchFamily="34" charset="0"/>
            <a:cs typeface="Albany AMT" panose="020B0604020202020204" pitchFamily="34" charset="0"/>
          </a:endParaRPr>
        </a:p>
      </cdr:txBody>
    </cdr:sp>
  </cdr:relSizeAnchor>
  <cdr:relSizeAnchor xmlns:cdr="http://schemas.openxmlformats.org/drawingml/2006/chartDrawing">
    <cdr:from>
      <cdr:x>0.54746</cdr:x>
      <cdr:y>0.55055</cdr:y>
    </cdr:from>
    <cdr:to>
      <cdr:x>0.83385</cdr:x>
      <cdr:y>0.83834</cdr:y>
    </cdr:to>
    <cdr:sp macro="" textlink="">
      <cdr:nvSpPr>
        <cdr:cNvPr id="5" name="ZoneTexte 3"/>
        <cdr:cNvSpPr txBox="1"/>
      </cdr:nvSpPr>
      <cdr:spPr>
        <a:xfrm xmlns:a="http://schemas.openxmlformats.org/drawingml/2006/main">
          <a:off x="3295627" y="860018"/>
          <a:ext cx="1724011" cy="44955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fr-FR" sz="900" b="0">
              <a:solidFill>
                <a:schemeClr val="tx1">
                  <a:lumMod val="65000"/>
                  <a:lumOff val="35000"/>
                </a:schemeClr>
              </a:solidFill>
              <a:latin typeface="Albany AMT" panose="020B0604020202020204" pitchFamily="34" charset="0"/>
              <a:cs typeface="Albany AMT" panose="020B0604020202020204" pitchFamily="34" charset="0"/>
            </a:rPr>
            <a:t>Ménages</a:t>
          </a:r>
          <a:r>
            <a:rPr lang="fr-FR" sz="900" b="0" baseline="0">
              <a:solidFill>
                <a:schemeClr val="tx1">
                  <a:lumMod val="65000"/>
                  <a:lumOff val="35000"/>
                </a:schemeClr>
              </a:solidFill>
              <a:latin typeface="Albany AMT" panose="020B0604020202020204" pitchFamily="34" charset="0"/>
              <a:cs typeface="Albany AMT" panose="020B0604020202020204" pitchFamily="34" charset="0"/>
            </a:rPr>
            <a:t> victimes d'un vol d'objet dans ou sur la voiture</a:t>
          </a:r>
          <a:r>
            <a:rPr lang="fr-FR" sz="900" b="0" baseline="30000">
              <a:solidFill>
                <a:schemeClr val="tx1">
                  <a:lumMod val="65000"/>
                  <a:lumOff val="35000"/>
                </a:schemeClr>
              </a:solidFill>
              <a:latin typeface="Albany AMT" panose="020B0604020202020204" pitchFamily="34" charset="0"/>
              <a:cs typeface="Albany AMT" panose="020B0604020202020204" pitchFamily="34" charset="0"/>
            </a:rPr>
            <a:t>2</a:t>
          </a:r>
          <a:r>
            <a:rPr lang="fr-FR" sz="900" b="0" baseline="0">
              <a:solidFill>
                <a:schemeClr val="tx1">
                  <a:lumMod val="65000"/>
                  <a:lumOff val="35000"/>
                </a:schemeClr>
              </a:solidFill>
              <a:latin typeface="Albany AMT" panose="020B0604020202020204" pitchFamily="34" charset="0"/>
              <a:cs typeface="Albany AMT" panose="020B0604020202020204" pitchFamily="34" charset="0"/>
            </a:rPr>
            <a:t> </a:t>
          </a:r>
          <a:endParaRPr lang="fr-FR" sz="900" b="0">
            <a:solidFill>
              <a:schemeClr val="tx1">
                <a:lumMod val="65000"/>
                <a:lumOff val="35000"/>
              </a:schemeClr>
            </a:solidFill>
            <a:latin typeface="Albany AMT" panose="020B0604020202020204" pitchFamily="34" charset="0"/>
            <a:cs typeface="Albany AMT" panose="020B0604020202020204" pitchFamily="34" charset="0"/>
          </a:endParaRPr>
        </a:p>
      </cdr:txBody>
    </cdr:sp>
  </cdr:relSizeAnchor>
  <cdr:relSizeAnchor xmlns:cdr="http://schemas.openxmlformats.org/drawingml/2006/chartDrawing">
    <cdr:from>
      <cdr:x>0.0116</cdr:x>
      <cdr:y>0.55418</cdr:y>
    </cdr:from>
    <cdr:to>
      <cdr:x>0.27601</cdr:x>
      <cdr:y>0.74975</cdr:y>
    </cdr:to>
    <cdr:sp macro="" textlink="">
      <cdr:nvSpPr>
        <cdr:cNvPr id="6" name="ZoneTexte 3"/>
        <cdr:cNvSpPr txBox="1"/>
      </cdr:nvSpPr>
      <cdr:spPr>
        <a:xfrm xmlns:a="http://schemas.openxmlformats.org/drawingml/2006/main">
          <a:off x="69854" y="812898"/>
          <a:ext cx="1591695" cy="28687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fr-FR" sz="900">
              <a:solidFill>
                <a:schemeClr val="tx1">
                  <a:lumMod val="65000"/>
                  <a:lumOff val="35000"/>
                </a:schemeClr>
              </a:solidFill>
              <a:latin typeface="Albany AMT" panose="020B0604020202020204" pitchFamily="34" charset="0"/>
              <a:cs typeface="Albany AMT" panose="020B0604020202020204" pitchFamily="34" charset="0"/>
            </a:rPr>
            <a:t>Ménages victimes</a:t>
          </a:r>
          <a:r>
            <a:rPr lang="fr-FR" sz="900" baseline="0">
              <a:solidFill>
                <a:schemeClr val="tx1">
                  <a:lumMod val="65000"/>
                  <a:lumOff val="35000"/>
                </a:schemeClr>
              </a:solidFill>
              <a:latin typeface="Albany AMT" panose="020B0604020202020204" pitchFamily="34" charset="0"/>
              <a:cs typeface="Albany AMT" panose="020B0604020202020204" pitchFamily="34" charset="0"/>
            </a:rPr>
            <a:t> d'un vol </a:t>
          </a:r>
          <a:r>
            <a:rPr lang="fr-FR" sz="900" baseline="0">
              <a:solidFill>
                <a:schemeClr val="tx1">
                  <a:lumMod val="65000"/>
                  <a:lumOff val="35000"/>
                </a:schemeClr>
              </a:solidFill>
              <a:effectLst/>
              <a:latin typeface="Albany AMT" panose="020B0604020202020204" pitchFamily="34" charset="0"/>
              <a:ea typeface="+mn-ea"/>
              <a:cs typeface="Albany AMT" panose="020B0604020202020204" pitchFamily="34" charset="0"/>
            </a:rPr>
            <a:t>d'objet D</a:t>
          </a:r>
          <a:r>
            <a:rPr lang="fr-FR" sz="900" baseline="0">
              <a:solidFill>
                <a:schemeClr val="tx1">
                  <a:lumMod val="65000"/>
                  <a:lumOff val="35000"/>
                </a:schemeClr>
              </a:solidFill>
              <a:latin typeface="Albany AMT" panose="020B0604020202020204" pitchFamily="34" charset="0"/>
              <a:cs typeface="Albany AMT" panose="020B0604020202020204" pitchFamily="34" charset="0"/>
            </a:rPr>
            <a:t>ANS la voiture</a:t>
          </a:r>
          <a:r>
            <a:rPr lang="fr-FR" sz="900" baseline="30000">
              <a:solidFill>
                <a:schemeClr val="tx1">
                  <a:lumMod val="65000"/>
                  <a:lumOff val="35000"/>
                </a:schemeClr>
              </a:solidFill>
              <a:latin typeface="Albany AMT" panose="020B0604020202020204" pitchFamily="34" charset="0"/>
              <a:cs typeface="Albany AMT" panose="020B0604020202020204" pitchFamily="34" charset="0"/>
            </a:rPr>
            <a:t>1</a:t>
          </a:r>
        </a:p>
      </cdr:txBody>
    </cdr:sp>
  </cdr:relSizeAnchor>
</c:userShapes>
</file>

<file path=xl/drawings/drawing7.xml><?xml version="1.0" encoding="utf-8"?>
<xdr:wsDr xmlns:xdr="http://schemas.openxmlformats.org/drawingml/2006/spreadsheetDrawing" xmlns:a="http://schemas.openxmlformats.org/drawingml/2006/main">
  <xdr:twoCellAnchor>
    <xdr:from>
      <xdr:col>2</xdr:col>
      <xdr:colOff>333375</xdr:colOff>
      <xdr:row>3</xdr:row>
      <xdr:rowOff>133350</xdr:rowOff>
    </xdr:from>
    <xdr:to>
      <xdr:col>4</xdr:col>
      <xdr:colOff>0</xdr:colOff>
      <xdr:row>13</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4</xdr:row>
      <xdr:rowOff>100012</xdr:rowOff>
    </xdr:from>
    <xdr:to>
      <xdr:col>6</xdr:col>
      <xdr:colOff>161925</xdr:colOff>
      <xdr:row>13</xdr:row>
      <xdr:rowOff>38100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52386</xdr:colOff>
      <xdr:row>2</xdr:row>
      <xdr:rowOff>123825</xdr:rowOff>
    </xdr:from>
    <xdr:to>
      <xdr:col>6</xdr:col>
      <xdr:colOff>619125</xdr:colOff>
      <xdr:row>13</xdr:row>
      <xdr:rowOff>85723</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333375</xdr:colOff>
      <xdr:row>17</xdr:row>
      <xdr:rowOff>133350</xdr:rowOff>
    </xdr:from>
    <xdr:to>
      <xdr:col>4</xdr:col>
      <xdr:colOff>590550</xdr:colOff>
      <xdr:row>27</xdr:row>
      <xdr:rowOff>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628650</xdr:colOff>
      <xdr:row>18</xdr:row>
      <xdr:rowOff>61912</xdr:rowOff>
    </xdr:from>
    <xdr:to>
      <xdr:col>7</xdr:col>
      <xdr:colOff>0</xdr:colOff>
      <xdr:row>27</xdr:row>
      <xdr:rowOff>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16</xdr:row>
      <xdr:rowOff>104774</xdr:rowOff>
    </xdr:from>
    <xdr:to>
      <xdr:col>6</xdr:col>
      <xdr:colOff>828674</xdr:colOff>
      <xdr:row>27</xdr:row>
      <xdr:rowOff>104775</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104775</xdr:colOff>
      <xdr:row>12</xdr:row>
      <xdr:rowOff>47625</xdr:rowOff>
    </xdr:from>
    <xdr:ext cx="227435" cy="180755"/>
    <xdr:sp macro="" textlink="">
      <xdr:nvSpPr>
        <xdr:cNvPr id="8" name="ZoneTexte 7"/>
        <xdr:cNvSpPr txBox="1"/>
      </xdr:nvSpPr>
      <xdr:spPr>
        <a:xfrm>
          <a:off x="952500" y="2619375"/>
          <a:ext cx="227435" cy="180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600">
              <a:solidFill>
                <a:schemeClr val="tx1">
                  <a:lumMod val="65000"/>
                  <a:lumOff val="35000"/>
                </a:schemeClr>
              </a:solidFill>
              <a:latin typeface="Albany AMT" panose="020B0604020202020204" pitchFamily="34" charset="0"/>
              <a:cs typeface="Albany AMT" panose="020B0604020202020204" pitchFamily="34" charset="0"/>
            </a:rPr>
            <a:t>1</a:t>
          </a:r>
        </a:p>
      </xdr:txBody>
    </xdr:sp>
    <xdr:clientData/>
  </xdr:oneCellAnchor>
  <xdr:oneCellAnchor>
    <xdr:from>
      <xdr:col>1</xdr:col>
      <xdr:colOff>66675</xdr:colOff>
      <xdr:row>25</xdr:row>
      <xdr:rowOff>66675</xdr:rowOff>
    </xdr:from>
    <xdr:ext cx="227435" cy="180755"/>
    <xdr:sp macro="" textlink="">
      <xdr:nvSpPr>
        <xdr:cNvPr id="9" name="ZoneTexte 8"/>
        <xdr:cNvSpPr txBox="1"/>
      </xdr:nvSpPr>
      <xdr:spPr>
        <a:xfrm>
          <a:off x="914400" y="5791200"/>
          <a:ext cx="227435" cy="180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600">
              <a:solidFill>
                <a:schemeClr val="tx1">
                  <a:lumMod val="65000"/>
                  <a:lumOff val="35000"/>
                </a:schemeClr>
              </a:solidFill>
              <a:latin typeface="Albany AMT" panose="020B0604020202020204" pitchFamily="34" charset="0"/>
              <a:cs typeface="Albany AMT" panose="020B0604020202020204" pitchFamily="34" charset="0"/>
            </a:rPr>
            <a:t>1</a:t>
          </a:r>
        </a:p>
      </xdr:txBody>
    </xdr:sp>
    <xdr:clientData/>
  </xdr:oneCellAnchor>
  <xdr:oneCellAnchor>
    <xdr:from>
      <xdr:col>3</xdr:col>
      <xdr:colOff>552450</xdr:colOff>
      <xdr:row>12</xdr:row>
      <xdr:rowOff>47625</xdr:rowOff>
    </xdr:from>
    <xdr:ext cx="227435" cy="180755"/>
    <xdr:sp macro="" textlink="">
      <xdr:nvSpPr>
        <xdr:cNvPr id="10" name="ZoneTexte 9"/>
        <xdr:cNvSpPr txBox="1"/>
      </xdr:nvSpPr>
      <xdr:spPr>
        <a:xfrm>
          <a:off x="3095625" y="2619375"/>
          <a:ext cx="227435" cy="180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600">
              <a:solidFill>
                <a:schemeClr val="tx1">
                  <a:lumMod val="65000"/>
                  <a:lumOff val="35000"/>
                </a:schemeClr>
              </a:solidFill>
              <a:latin typeface="Albany AMT" panose="020B0604020202020204" pitchFamily="34" charset="0"/>
              <a:cs typeface="Albany AMT" panose="020B0604020202020204" pitchFamily="34" charset="0"/>
            </a:rPr>
            <a:t>2</a:t>
          </a:r>
        </a:p>
      </xdr:txBody>
    </xdr:sp>
    <xdr:clientData/>
  </xdr:oneCellAnchor>
  <xdr:oneCellAnchor>
    <xdr:from>
      <xdr:col>3</xdr:col>
      <xdr:colOff>571500</xdr:colOff>
      <xdr:row>25</xdr:row>
      <xdr:rowOff>66675</xdr:rowOff>
    </xdr:from>
    <xdr:ext cx="227435" cy="180755"/>
    <xdr:sp macro="" textlink="">
      <xdr:nvSpPr>
        <xdr:cNvPr id="11" name="ZoneTexte 10"/>
        <xdr:cNvSpPr txBox="1"/>
      </xdr:nvSpPr>
      <xdr:spPr>
        <a:xfrm>
          <a:off x="3114675" y="5791200"/>
          <a:ext cx="227435" cy="180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600">
              <a:solidFill>
                <a:schemeClr val="tx1">
                  <a:lumMod val="65000"/>
                  <a:lumOff val="35000"/>
                </a:schemeClr>
              </a:solidFill>
              <a:latin typeface="Albany AMT" panose="020B0604020202020204" pitchFamily="34" charset="0"/>
              <a:cs typeface="Albany AMT" panose="020B0604020202020204" pitchFamily="34" charset="0"/>
            </a:rPr>
            <a:t>2</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371474</xdr:colOff>
      <xdr:row>1</xdr:row>
      <xdr:rowOff>285750</xdr:rowOff>
    </xdr:from>
    <xdr:to>
      <xdr:col>7</xdr:col>
      <xdr:colOff>200025</xdr:colOff>
      <xdr:row>15</xdr:row>
      <xdr:rowOff>142874</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438151</xdr:colOff>
      <xdr:row>2</xdr:row>
      <xdr:rowOff>161924</xdr:rowOff>
    </xdr:from>
    <xdr:to>
      <xdr:col>8</xdr:col>
      <xdr:colOff>66675</xdr:colOff>
      <xdr:row>12</xdr:row>
      <xdr:rowOff>152400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666750</xdr:colOff>
      <xdr:row>11</xdr:row>
      <xdr:rowOff>47626</xdr:rowOff>
    </xdr:from>
    <xdr:to>
      <xdr:col>8</xdr:col>
      <xdr:colOff>57150</xdr:colOff>
      <xdr:row>21</xdr:row>
      <xdr:rowOff>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13</xdr:row>
      <xdr:rowOff>171451</xdr:rowOff>
    </xdr:from>
    <xdr:to>
      <xdr:col>4</xdr:col>
      <xdr:colOff>161925</xdr:colOff>
      <xdr:row>24</xdr:row>
      <xdr:rowOff>361950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25</xdr:row>
      <xdr:rowOff>142875</xdr:rowOff>
    </xdr:from>
    <xdr:to>
      <xdr:col>3</xdr:col>
      <xdr:colOff>704849</xdr:colOff>
      <xdr:row>35</xdr:row>
      <xdr:rowOff>123825</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666749</xdr:colOff>
      <xdr:row>25</xdr:row>
      <xdr:rowOff>19050</xdr:rowOff>
    </xdr:from>
    <xdr:to>
      <xdr:col>8</xdr:col>
      <xdr:colOff>28575</xdr:colOff>
      <xdr:row>37</xdr:row>
      <xdr:rowOff>200025</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581024</xdr:colOff>
      <xdr:row>32</xdr:row>
      <xdr:rowOff>85726</xdr:rowOff>
    </xdr:from>
    <xdr:to>
      <xdr:col>8</xdr:col>
      <xdr:colOff>180975</xdr:colOff>
      <xdr:row>40</xdr:row>
      <xdr:rowOff>180976</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114301</xdr:colOff>
      <xdr:row>3</xdr:row>
      <xdr:rowOff>133350</xdr:rowOff>
    </xdr:from>
    <xdr:to>
      <xdr:col>4</xdr:col>
      <xdr:colOff>123826</xdr:colOff>
      <xdr:row>4</xdr:row>
      <xdr:rowOff>180977</xdr:rowOff>
    </xdr:to>
    <xdr:sp macro="" textlink="">
      <xdr:nvSpPr>
        <xdr:cNvPr id="9" name="ZoneTexte 1"/>
        <xdr:cNvSpPr txBox="1"/>
      </xdr:nvSpPr>
      <xdr:spPr>
        <a:xfrm>
          <a:off x="114301" y="1009650"/>
          <a:ext cx="3067050" cy="238127"/>
        </a:xfrm>
        <a:prstGeom prst="rect">
          <a:avLst/>
        </a:prstGeom>
        <a:no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fr-FR" sz="900" b="1">
              <a:solidFill>
                <a:schemeClr val="tx1">
                  <a:lumMod val="65000"/>
                  <a:lumOff val="35000"/>
                </a:schemeClr>
              </a:solidFill>
              <a:latin typeface="Albany AMT" panose="020B0604020202020204" pitchFamily="34" charset="0"/>
              <a:cs typeface="Albany AMT" panose="020B0604020202020204" pitchFamily="34" charset="0"/>
            </a:rPr>
            <a:t>Zone d'étude et d'aménagement</a:t>
          </a:r>
          <a:r>
            <a:rPr lang="fr-FR" sz="900" b="1" baseline="0">
              <a:solidFill>
                <a:schemeClr val="tx1">
                  <a:lumMod val="65000"/>
                  <a:lumOff val="35000"/>
                </a:schemeClr>
              </a:solidFill>
              <a:latin typeface="Albany AMT" panose="020B0604020202020204" pitchFamily="34" charset="0"/>
              <a:cs typeface="Albany AMT" panose="020B0604020202020204" pitchFamily="34" charset="0"/>
            </a:rPr>
            <a:t> du territoire (ZEAT)</a:t>
          </a:r>
          <a:endParaRPr lang="fr-FR" sz="900" b="1">
            <a:solidFill>
              <a:schemeClr val="tx1">
                <a:lumMod val="65000"/>
                <a:lumOff val="35000"/>
              </a:schemeClr>
            </a:solidFill>
            <a:latin typeface="Albany AMT" panose="020B0604020202020204" pitchFamily="34" charset="0"/>
            <a:cs typeface="Albany AMT" panose="020B0604020202020204" pitchFamily="34" charset="0"/>
          </a:endParaRPr>
        </a:p>
      </xdr:txBody>
    </xdr:sp>
    <xdr:clientData/>
  </xdr:twoCellAnchor>
  <xdr:twoCellAnchor>
    <xdr:from>
      <xdr:col>3</xdr:col>
      <xdr:colOff>581025</xdr:colOff>
      <xdr:row>19</xdr:row>
      <xdr:rowOff>66675</xdr:rowOff>
    </xdr:from>
    <xdr:to>
      <xdr:col>8</xdr:col>
      <xdr:colOff>0</xdr:colOff>
      <xdr:row>24</xdr:row>
      <xdr:rowOff>66675</xdr:rowOff>
    </xdr:to>
    <xdr:graphicFrame macro="">
      <xdr:nvGraphicFramePr>
        <xdr:cNvPr id="10" name="Graphique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0.3893</cdr:x>
      <cdr:y>0.07379</cdr:y>
    </cdr:from>
    <cdr:to>
      <cdr:x>0.78274</cdr:x>
      <cdr:y>0.18801</cdr:y>
    </cdr:to>
    <cdr:sp macro="" textlink="">
      <cdr:nvSpPr>
        <cdr:cNvPr id="3" name="ZoneTexte 1"/>
        <cdr:cNvSpPr txBox="1"/>
      </cdr:nvSpPr>
      <cdr:spPr>
        <a:xfrm xmlns:a="http://schemas.openxmlformats.org/drawingml/2006/main">
          <a:off x="1635275" y="142688"/>
          <a:ext cx="1652655" cy="220853"/>
        </a:xfrm>
        <a:prstGeom xmlns:a="http://schemas.openxmlformats.org/drawingml/2006/main" prst="rect">
          <a:avLst/>
        </a:prstGeom>
        <a:noFill xmlns:a="http://schemas.openxmlformats.org/drawingml/2006/mai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900" b="1">
              <a:solidFill>
                <a:schemeClr val="tx1">
                  <a:lumMod val="65000"/>
                  <a:lumOff val="35000"/>
                </a:schemeClr>
              </a:solidFill>
              <a:latin typeface="Albany AMT" panose="020B0604020202020204" pitchFamily="34" charset="0"/>
              <a:cs typeface="Albany AMT" panose="020B0604020202020204" pitchFamily="34" charset="0"/>
            </a:rPr>
            <a:t>Taille de</a:t>
          </a:r>
          <a:r>
            <a:rPr lang="fr-FR" sz="900" b="1" baseline="0">
              <a:solidFill>
                <a:schemeClr val="tx1">
                  <a:lumMod val="65000"/>
                  <a:lumOff val="35000"/>
                </a:schemeClr>
              </a:solidFill>
              <a:latin typeface="Albany AMT" panose="020B0604020202020204" pitchFamily="34" charset="0"/>
              <a:cs typeface="Albany AMT" panose="020B0604020202020204" pitchFamily="34" charset="0"/>
            </a:rPr>
            <a:t> l'agglomération</a:t>
          </a:r>
          <a:endParaRPr lang="fr-FR" sz="900" b="1">
            <a:solidFill>
              <a:schemeClr val="tx1">
                <a:lumMod val="65000"/>
                <a:lumOff val="35000"/>
              </a:schemeClr>
            </a:solidFill>
            <a:latin typeface="Albany AMT" panose="020B0604020202020204" pitchFamily="34" charset="0"/>
            <a:cs typeface="Albany AMT" panose="020B0604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0.26636</cdr:x>
      <cdr:y>0.08984</cdr:y>
    </cdr:from>
    <cdr:to>
      <cdr:x>0.66778</cdr:x>
      <cdr:y>0.2359</cdr:y>
    </cdr:to>
    <cdr:sp macro="" textlink="">
      <cdr:nvSpPr>
        <cdr:cNvPr id="2" name="ZoneTexte 1"/>
        <cdr:cNvSpPr txBox="1"/>
      </cdr:nvSpPr>
      <cdr:spPr>
        <a:xfrm xmlns:a="http://schemas.openxmlformats.org/drawingml/2006/main">
          <a:off x="855001" y="166865"/>
          <a:ext cx="1288527" cy="271288"/>
        </a:xfrm>
        <a:prstGeom xmlns:a="http://schemas.openxmlformats.org/drawingml/2006/main" prst="rect">
          <a:avLst/>
        </a:prstGeom>
        <a:solidFill xmlns:a="http://schemas.openxmlformats.org/drawingml/2006/main">
          <a:sysClr val="window" lastClr="FFFFFF"/>
        </a:solidFill>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900" b="1">
              <a:solidFill>
                <a:schemeClr val="tx1">
                  <a:lumMod val="65000"/>
                  <a:lumOff val="35000"/>
                </a:schemeClr>
              </a:solidFill>
              <a:latin typeface="Albany AMT" panose="020B0604020202020204" pitchFamily="34" charset="0"/>
              <a:cs typeface="Albany AMT" panose="020B0604020202020204" pitchFamily="34" charset="0"/>
            </a:rPr>
            <a:t>Type de logement</a:t>
          </a:r>
        </a:p>
      </cdr:txBody>
    </cdr:sp>
  </cdr:relSizeAnchor>
</c:userShapes>
</file>

<file path=xl/drawings/drawing11.xml><?xml version="1.0" encoding="utf-8"?>
<c:userShapes xmlns:c="http://schemas.openxmlformats.org/drawingml/2006/chart">
  <cdr:relSizeAnchor xmlns:cdr="http://schemas.openxmlformats.org/drawingml/2006/chartDrawing">
    <cdr:from>
      <cdr:x>0.20552</cdr:x>
      <cdr:y>0.08579</cdr:y>
    </cdr:from>
    <cdr:to>
      <cdr:x>0.77914</cdr:x>
      <cdr:y>0.20001</cdr:y>
    </cdr:to>
    <cdr:sp macro="" textlink="">
      <cdr:nvSpPr>
        <cdr:cNvPr id="2" name="ZoneTexte 1"/>
        <cdr:cNvSpPr txBox="1"/>
      </cdr:nvSpPr>
      <cdr:spPr>
        <a:xfrm xmlns:a="http://schemas.openxmlformats.org/drawingml/2006/main">
          <a:off x="638178" y="196926"/>
          <a:ext cx="1781177" cy="262195"/>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none" rtlCol="0"/>
        <a:lstStyle xmlns:a="http://schemas.openxmlformats.org/drawingml/2006/main"/>
        <a:p xmlns:a="http://schemas.openxmlformats.org/drawingml/2006/main">
          <a:r>
            <a:rPr lang="fr-FR" sz="900" b="1">
              <a:solidFill>
                <a:schemeClr val="tx1">
                  <a:lumMod val="65000"/>
                  <a:lumOff val="35000"/>
                </a:schemeClr>
              </a:solidFill>
              <a:latin typeface="Albany AMT" panose="020B0604020202020204" pitchFamily="34" charset="0"/>
              <a:cs typeface="Albany AMT" panose="020B0604020202020204" pitchFamily="34" charset="0"/>
            </a:rPr>
            <a:t>Type d'habitat</a:t>
          </a:r>
          <a:r>
            <a:rPr lang="fr-FR" sz="900" b="1" baseline="0">
              <a:solidFill>
                <a:schemeClr val="tx1">
                  <a:lumMod val="65000"/>
                  <a:lumOff val="35000"/>
                </a:schemeClr>
              </a:solidFill>
              <a:latin typeface="Albany AMT" panose="020B0604020202020204" pitchFamily="34" charset="0"/>
              <a:cs typeface="Albany AMT" panose="020B0604020202020204" pitchFamily="34" charset="0"/>
            </a:rPr>
            <a:t> environnant</a:t>
          </a:r>
          <a:endParaRPr lang="fr-FR" sz="900" b="1">
            <a:solidFill>
              <a:schemeClr val="tx1">
                <a:lumMod val="65000"/>
                <a:lumOff val="35000"/>
              </a:schemeClr>
            </a:solidFill>
            <a:latin typeface="Albany AMT" panose="020B0604020202020204" pitchFamily="34" charset="0"/>
            <a:cs typeface="Albany AMT"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0.14013</cdr:x>
      <cdr:y>0</cdr:y>
    </cdr:from>
    <cdr:to>
      <cdr:x>0.94806</cdr:x>
      <cdr:y>0.15646</cdr:y>
    </cdr:to>
    <cdr:sp macro="" textlink="">
      <cdr:nvSpPr>
        <cdr:cNvPr id="2" name="ZoneTexte 1"/>
        <cdr:cNvSpPr txBox="1"/>
      </cdr:nvSpPr>
      <cdr:spPr>
        <a:xfrm xmlns:a="http://schemas.openxmlformats.org/drawingml/2006/main">
          <a:off x="419100" y="0"/>
          <a:ext cx="2416397" cy="262289"/>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baseline="0">
              <a:solidFill>
                <a:schemeClr val="tx1">
                  <a:lumMod val="65000"/>
                  <a:lumOff val="35000"/>
                </a:schemeClr>
              </a:solidFill>
              <a:latin typeface="Albany AMT" panose="020B0604020202020204" pitchFamily="34" charset="0"/>
              <a:cs typeface="Albany AMT" panose="020B0604020202020204" pitchFamily="34" charset="0"/>
            </a:rPr>
            <a:t>Âge de la personne de référence </a:t>
          </a:r>
          <a:endParaRPr lang="fr-FR" sz="900" b="1">
            <a:solidFill>
              <a:schemeClr val="tx1">
                <a:lumMod val="65000"/>
                <a:lumOff val="35000"/>
              </a:schemeClr>
            </a:solidFill>
            <a:latin typeface="Albany AMT" panose="020B0604020202020204" pitchFamily="34" charset="0"/>
            <a:cs typeface="Albany AMT"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cdr:x>
      <cdr:y>0.03498</cdr:y>
    </cdr:from>
    <cdr:to>
      <cdr:x>1</cdr:x>
      <cdr:y>0.11092</cdr:y>
    </cdr:to>
    <cdr:sp macro="" textlink="">
      <cdr:nvSpPr>
        <cdr:cNvPr id="2" name="ZoneTexte 1"/>
        <cdr:cNvSpPr txBox="1"/>
      </cdr:nvSpPr>
      <cdr:spPr>
        <a:xfrm xmlns:a="http://schemas.openxmlformats.org/drawingml/2006/main">
          <a:off x="0" y="94947"/>
          <a:ext cx="3181351" cy="206162"/>
        </a:xfrm>
        <a:prstGeom xmlns:a="http://schemas.openxmlformats.org/drawingml/2006/main" prst="rect">
          <a:avLst/>
        </a:prstGeom>
        <a:solidFill xmlns:a="http://schemas.openxmlformats.org/drawingml/2006/main">
          <a:sysClr val="window" lastClr="FFFFFF"/>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baseline="0">
              <a:solidFill>
                <a:schemeClr val="tx1">
                  <a:lumMod val="65000"/>
                  <a:lumOff val="35000"/>
                </a:schemeClr>
              </a:solidFill>
              <a:latin typeface="Albany AMT" panose="020B0604020202020204" pitchFamily="34" charset="0"/>
              <a:cs typeface="Albany AMT" panose="020B0604020202020204" pitchFamily="34" charset="0"/>
            </a:rPr>
            <a:t>Statut d'activité de la personne de référence </a:t>
          </a:r>
          <a:endParaRPr lang="fr-FR" sz="900" b="1">
            <a:solidFill>
              <a:schemeClr val="tx1">
                <a:lumMod val="65000"/>
                <a:lumOff val="35000"/>
              </a:schemeClr>
            </a:solidFill>
            <a:latin typeface="Albany AMT" panose="020B0604020202020204" pitchFamily="34" charset="0"/>
            <a:cs typeface="Albany AMT"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0.21379</cdr:x>
      <cdr:y>0.08179</cdr:y>
    </cdr:from>
    <cdr:to>
      <cdr:x>0.79995</cdr:x>
      <cdr:y>0.21918</cdr:y>
    </cdr:to>
    <cdr:sp macro="" textlink="">
      <cdr:nvSpPr>
        <cdr:cNvPr id="2" name="ZoneTexte 1"/>
        <cdr:cNvSpPr txBox="1"/>
      </cdr:nvSpPr>
      <cdr:spPr>
        <a:xfrm xmlns:a="http://schemas.openxmlformats.org/drawingml/2006/main">
          <a:off x="731044" y="129319"/>
          <a:ext cx="2004360" cy="217234"/>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900" b="1" baseline="0">
              <a:solidFill>
                <a:schemeClr val="tx1">
                  <a:lumMod val="65000"/>
                  <a:lumOff val="35000"/>
                </a:schemeClr>
              </a:solidFill>
              <a:latin typeface="Albany AMT" panose="020B0604020202020204" pitchFamily="34" charset="0"/>
              <a:cs typeface="Albany AMT" panose="020B0604020202020204" pitchFamily="34" charset="0"/>
            </a:rPr>
            <a:t>Niveau de vie </a:t>
          </a:r>
          <a:endParaRPr lang="fr-FR" sz="900" b="1" baseline="30000">
            <a:solidFill>
              <a:schemeClr val="tx1">
                <a:lumMod val="65000"/>
                <a:lumOff val="35000"/>
              </a:schemeClr>
            </a:solidFill>
            <a:latin typeface="Albany AMT" panose="020B0604020202020204" pitchFamily="34" charset="0"/>
            <a:cs typeface="Albany AMT"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0.19192</cdr:x>
      <cdr:y>0.07783</cdr:y>
    </cdr:from>
    <cdr:to>
      <cdr:x>0.9</cdr:x>
      <cdr:y>0.34</cdr:y>
    </cdr:to>
    <cdr:sp macro="" textlink="">
      <cdr:nvSpPr>
        <cdr:cNvPr id="2" name="ZoneTexte 1"/>
        <cdr:cNvSpPr txBox="1"/>
      </cdr:nvSpPr>
      <cdr:spPr>
        <a:xfrm xmlns:a="http://schemas.openxmlformats.org/drawingml/2006/main">
          <a:off x="621533" y="74132"/>
          <a:ext cx="2293117" cy="249717"/>
        </a:xfrm>
        <a:prstGeom xmlns:a="http://schemas.openxmlformats.org/drawingml/2006/main" prst="rect">
          <a:avLst/>
        </a:prstGeom>
        <a:solidFill xmlns:a="http://schemas.openxmlformats.org/drawingml/2006/main">
          <a:sysClr val="window" lastClr="FFFFFF"/>
        </a:solidFill>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900" b="1">
              <a:solidFill>
                <a:schemeClr val="tx1">
                  <a:lumMod val="65000"/>
                  <a:lumOff val="35000"/>
                </a:schemeClr>
              </a:solidFill>
              <a:latin typeface="Albany AMT" panose="020B0604020202020204" pitchFamily="34" charset="0"/>
              <a:cs typeface="Albany AMT" panose="020B0604020202020204" pitchFamily="34" charset="0"/>
            </a:rPr>
            <a:t>Quartiers prioritaires de la ville</a:t>
          </a:r>
          <a:r>
            <a:rPr lang="fr-FR" sz="900" b="1" baseline="0">
              <a:solidFill>
                <a:schemeClr val="tx1">
                  <a:lumMod val="65000"/>
                  <a:lumOff val="35000"/>
                </a:schemeClr>
              </a:solidFill>
              <a:latin typeface="Albany AMT" panose="020B0604020202020204" pitchFamily="34" charset="0"/>
              <a:cs typeface="Albany AMT" panose="020B0604020202020204" pitchFamily="34" charset="0"/>
            </a:rPr>
            <a:t> (QPV)</a:t>
          </a:r>
          <a:endParaRPr lang="fr-FR" sz="900" b="1">
            <a:solidFill>
              <a:schemeClr val="tx1">
                <a:lumMod val="65000"/>
                <a:lumOff val="35000"/>
              </a:schemeClr>
            </a:solidFill>
            <a:latin typeface="Albany AMT" panose="020B0604020202020204" pitchFamily="34" charset="0"/>
            <a:cs typeface="Albany AMT" panose="020B0604020202020204" pitchFamily="34" charset="0"/>
          </a:endParaRPr>
        </a:p>
      </cdr:txBody>
    </cdr:sp>
  </cdr:relSizeAnchor>
</c:userShape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5"/>
  <sheetViews>
    <sheetView tabSelected="1" workbookViewId="0">
      <selection activeCell="F45" sqref="F45"/>
    </sheetView>
  </sheetViews>
  <sheetFormatPr baseColWidth="10" defaultRowHeight="15"/>
  <cols>
    <col min="1" max="1" width="49.85546875" customWidth="1"/>
    <col min="2" max="2" width="8.7109375" customWidth="1"/>
    <col min="3" max="3" width="8.85546875" style="71" bestFit="1" customWidth="1"/>
    <col min="4" max="7" width="8.7109375" customWidth="1"/>
  </cols>
  <sheetData>
    <row r="1" spans="1:7" ht="11.1" customHeight="1">
      <c r="A1" s="2"/>
      <c r="B1" s="2"/>
      <c r="C1" s="67"/>
      <c r="D1" s="2"/>
      <c r="E1" s="2"/>
      <c r="F1" s="2"/>
      <c r="G1" s="2"/>
    </row>
    <row r="2" spans="1:7" ht="27.95" customHeight="1">
      <c r="A2" s="77" t="s">
        <v>95</v>
      </c>
      <c r="B2" s="77"/>
      <c r="C2" s="77"/>
      <c r="D2" s="77"/>
      <c r="E2" s="77"/>
      <c r="F2" s="77"/>
      <c r="G2" s="77"/>
    </row>
    <row r="3" spans="1:7" ht="15" customHeight="1">
      <c r="A3" s="38"/>
      <c r="B3" s="50">
        <v>2008</v>
      </c>
      <c r="C3" s="50" t="s">
        <v>141</v>
      </c>
      <c r="D3" s="50">
        <v>2014</v>
      </c>
      <c r="E3" s="50">
        <v>2015</v>
      </c>
      <c r="F3" s="50">
        <v>2016</v>
      </c>
      <c r="G3" s="50">
        <v>2017</v>
      </c>
    </row>
    <row r="4" spans="1:7" ht="14.25" customHeight="1">
      <c r="A4" s="43" t="s">
        <v>94</v>
      </c>
      <c r="B4" s="51">
        <v>692467.4</v>
      </c>
      <c r="C4" s="51" t="s">
        <v>141</v>
      </c>
      <c r="D4" s="51">
        <v>635599.5</v>
      </c>
      <c r="E4" s="51">
        <v>512209.7</v>
      </c>
      <c r="F4" s="51">
        <v>517175.1</v>
      </c>
      <c r="G4" s="51">
        <v>589954.6</v>
      </c>
    </row>
    <row r="5" spans="1:7" ht="15" customHeight="1">
      <c r="A5" s="39" t="s">
        <v>101</v>
      </c>
      <c r="B5" s="52">
        <v>2.5406848842165481</v>
      </c>
      <c r="C5" s="52"/>
      <c r="D5" s="52">
        <v>2.2480217940862057</v>
      </c>
      <c r="E5" s="52">
        <v>1.7968800620708221</v>
      </c>
      <c r="F5" s="52">
        <v>1.8097402516282934</v>
      </c>
      <c r="G5" s="52">
        <v>2.0354694388351637</v>
      </c>
    </row>
    <row r="6" spans="1:7" ht="15" customHeight="1">
      <c r="A6" s="44" t="s">
        <v>102</v>
      </c>
      <c r="B6" s="53">
        <v>3.0853220599640188</v>
      </c>
      <c r="C6" s="53"/>
      <c r="D6" s="54">
        <v>2.7375152774016942</v>
      </c>
      <c r="E6" s="54">
        <v>2.2127911334507679</v>
      </c>
      <c r="F6" s="54">
        <v>2.2331010298450704</v>
      </c>
      <c r="G6" s="55">
        <v>2.4856855627013981</v>
      </c>
    </row>
    <row r="7" spans="1:7" ht="15" customHeight="1">
      <c r="A7" s="40" t="s">
        <v>93</v>
      </c>
      <c r="B7" s="56">
        <v>785404.4</v>
      </c>
      <c r="C7" s="56" t="s">
        <v>141</v>
      </c>
      <c r="D7" s="57">
        <v>700686.2</v>
      </c>
      <c r="E7" s="57">
        <v>546853.4</v>
      </c>
      <c r="F7" s="57">
        <v>567316.9</v>
      </c>
      <c r="G7" s="57">
        <v>661202</v>
      </c>
    </row>
    <row r="8" spans="1:7" ht="15" customHeight="1">
      <c r="A8" s="44" t="s">
        <v>103</v>
      </c>
      <c r="B8" s="58">
        <v>28.816736890100064</v>
      </c>
      <c r="C8" s="58"/>
      <c r="D8" s="59">
        <v>24.78223863321865</v>
      </c>
      <c r="E8" s="59">
        <v>19.184134375737909</v>
      </c>
      <c r="F8" s="59">
        <v>19.852004270100849</v>
      </c>
      <c r="G8" s="59">
        <v>22.812881938655753</v>
      </c>
    </row>
    <row r="9" spans="1:7" ht="15" customHeight="1">
      <c r="A9" s="39" t="s">
        <v>104</v>
      </c>
      <c r="B9" s="60">
        <v>34.994073674988947</v>
      </c>
      <c r="C9" s="60"/>
      <c r="D9" s="61">
        <v>30.178424891217492</v>
      </c>
      <c r="E9" s="61">
        <v>23.624549765797216</v>
      </c>
      <c r="F9" s="61">
        <v>24.496074030604198</v>
      </c>
      <c r="G9" s="61">
        <v>27.858758376140976</v>
      </c>
    </row>
    <row r="10" spans="1:7" ht="25.5" customHeight="1">
      <c r="A10" s="45" t="s">
        <v>108</v>
      </c>
      <c r="B10" s="62">
        <v>829543.7</v>
      </c>
      <c r="C10" s="62" t="s">
        <v>141</v>
      </c>
      <c r="D10" s="62">
        <v>688906.7</v>
      </c>
      <c r="E10" s="62">
        <v>597816.5</v>
      </c>
      <c r="F10" s="62">
        <v>563181.80000000005</v>
      </c>
      <c r="G10" s="62">
        <v>667001.9</v>
      </c>
    </row>
    <row r="11" spans="1:7" ht="15" customHeight="1">
      <c r="A11" s="39" t="s">
        <v>101</v>
      </c>
      <c r="B11" s="63">
        <v>3.0436221826284773</v>
      </c>
      <c r="C11" s="63"/>
      <c r="D11" s="63">
        <v>2.4365615071944005</v>
      </c>
      <c r="E11" s="63">
        <v>2.0971968114367248</v>
      </c>
      <c r="F11" s="63">
        <v>1.9707305561394495</v>
      </c>
      <c r="G11" s="63">
        <v>2.3012990882603308</v>
      </c>
    </row>
    <row r="12" spans="1:7" ht="15" customHeight="1">
      <c r="A12" s="44" t="s">
        <v>102</v>
      </c>
      <c r="B12" s="64">
        <v>3.6960721577855846</v>
      </c>
      <c r="C12" s="64"/>
      <c r="D12" s="64">
        <v>2.9671084007372341</v>
      </c>
      <c r="E12" s="64">
        <v>2.5826200687542054</v>
      </c>
      <c r="F12" s="64">
        <v>2.4317525294044526</v>
      </c>
      <c r="G12" s="64">
        <v>2.8103128497080991</v>
      </c>
    </row>
    <row r="13" spans="1:7" ht="15" customHeight="1">
      <c r="A13" s="39" t="s">
        <v>109</v>
      </c>
      <c r="B13" s="60"/>
      <c r="C13" s="60"/>
      <c r="D13" s="60"/>
      <c r="E13" s="60"/>
      <c r="F13" s="60"/>
      <c r="G13" s="60" t="s">
        <v>149</v>
      </c>
    </row>
    <row r="14" spans="1:7" ht="15" customHeight="1">
      <c r="A14" s="44" t="s">
        <v>160</v>
      </c>
      <c r="B14" s="58">
        <f>100*B4/B10</f>
        <v>83.475698748601189</v>
      </c>
      <c r="C14" s="58"/>
      <c r="D14" s="58">
        <f t="shared" ref="D14:G14" si="0">100*D4/D10</f>
        <v>92.262058127755182</v>
      </c>
      <c r="E14" s="58">
        <f t="shared" si="0"/>
        <v>85.680087451584228</v>
      </c>
      <c r="F14" s="58">
        <f t="shared" si="0"/>
        <v>91.830932746761334</v>
      </c>
      <c r="G14" s="58">
        <f t="shared" si="0"/>
        <v>88.44871356438415</v>
      </c>
    </row>
    <row r="15" spans="1:7" ht="15" customHeight="1">
      <c r="A15" s="74" t="s">
        <v>100</v>
      </c>
      <c r="B15" s="65">
        <v>970691.4</v>
      </c>
      <c r="C15" s="65" t="s">
        <v>141</v>
      </c>
      <c r="D15" s="65">
        <v>812764.2</v>
      </c>
      <c r="E15" s="65">
        <v>662614.80000000005</v>
      </c>
      <c r="F15" s="65">
        <v>649928.5</v>
      </c>
      <c r="G15" s="65">
        <v>774905.3</v>
      </c>
    </row>
    <row r="16" spans="1:7" ht="15" customHeight="1">
      <c r="A16" s="44" t="s">
        <v>103</v>
      </c>
      <c r="B16" s="58">
        <v>35.614975769530801</v>
      </c>
      <c r="C16" s="58"/>
      <c r="D16" s="58">
        <v>28.746272378330055</v>
      </c>
      <c r="E16" s="58">
        <v>23.245153751540538</v>
      </c>
      <c r="F16" s="58">
        <v>22.742815095514061</v>
      </c>
      <c r="G16" s="58">
        <v>26.735888764006489</v>
      </c>
    </row>
    <row r="17" spans="1:10" ht="15" customHeight="1">
      <c r="A17" s="39" t="s">
        <v>104</v>
      </c>
      <c r="B17" s="60">
        <v>43.249625756206825</v>
      </c>
      <c r="C17" s="60"/>
      <c r="D17" s="60">
        <v>35.005603598259064</v>
      </c>
      <c r="E17" s="60">
        <v>28.62554446612889</v>
      </c>
      <c r="F17" s="60">
        <v>28.063145396513907</v>
      </c>
      <c r="G17" s="60">
        <v>32.649477038924616</v>
      </c>
    </row>
    <row r="18" spans="1:10" ht="22.5" customHeight="1">
      <c r="A18" s="72" t="s">
        <v>148</v>
      </c>
      <c r="B18" s="60"/>
      <c r="C18" s="60"/>
      <c r="D18" s="60"/>
      <c r="E18" s="60"/>
      <c r="F18" s="60"/>
      <c r="G18" s="60"/>
    </row>
    <row r="19" spans="1:10" ht="26.25" customHeight="1">
      <c r="A19" s="78" t="s">
        <v>110</v>
      </c>
      <c r="B19" s="78"/>
      <c r="C19" s="78"/>
      <c r="D19" s="78"/>
      <c r="E19" s="78"/>
      <c r="F19" s="78"/>
      <c r="G19" s="78"/>
    </row>
    <row r="20" spans="1:10" ht="13.5" customHeight="1">
      <c r="A20" s="79" t="s">
        <v>107</v>
      </c>
      <c r="B20" s="79"/>
      <c r="C20" s="79"/>
      <c r="D20" s="79"/>
      <c r="E20" s="79"/>
      <c r="F20" s="79"/>
      <c r="G20" s="79"/>
    </row>
    <row r="21" spans="1:10" ht="24.75" customHeight="1">
      <c r="A21" s="80" t="s">
        <v>111</v>
      </c>
      <c r="B21" s="80"/>
      <c r="C21" s="80"/>
      <c r="D21" s="80"/>
      <c r="E21" s="80"/>
      <c r="F21" s="80"/>
      <c r="G21" s="80"/>
    </row>
    <row r="22" spans="1:10" ht="44.25" customHeight="1">
      <c r="A22" s="76" t="s">
        <v>140</v>
      </c>
      <c r="B22" s="76"/>
      <c r="C22" s="76"/>
      <c r="D22" s="76"/>
      <c r="E22" s="76"/>
      <c r="F22" s="76"/>
      <c r="G22" s="76"/>
    </row>
    <row r="23" spans="1:10" ht="14.25" customHeight="1">
      <c r="A23" s="17"/>
      <c r="B23" s="18"/>
      <c r="C23" s="68"/>
      <c r="D23" s="18"/>
      <c r="E23" s="18"/>
      <c r="F23" s="18"/>
      <c r="G23" s="18"/>
    </row>
    <row r="24" spans="1:10" ht="15" customHeight="1">
      <c r="A24" s="2"/>
      <c r="B24" s="2"/>
      <c r="C24" s="67"/>
      <c r="D24" s="2"/>
      <c r="E24" s="2"/>
      <c r="F24" s="2"/>
      <c r="G24" s="2"/>
      <c r="J24" s="19"/>
    </row>
    <row r="25" spans="1:10" ht="15" customHeight="1">
      <c r="A25" s="2"/>
      <c r="B25" s="2"/>
      <c r="C25" s="67"/>
      <c r="D25" s="2"/>
      <c r="E25" s="2"/>
      <c r="F25" s="2"/>
      <c r="G25" s="2"/>
    </row>
    <row r="26" spans="1:10" ht="15" customHeight="1">
      <c r="A26" s="2"/>
      <c r="B26" s="2"/>
      <c r="C26" s="67"/>
      <c r="D26" s="2"/>
      <c r="E26" s="2"/>
      <c r="F26" s="2"/>
      <c r="G26" s="2"/>
    </row>
    <row r="27" spans="1:10" ht="15" customHeight="1">
      <c r="A27" s="2"/>
      <c r="B27" s="2"/>
      <c r="C27" s="67"/>
      <c r="D27" s="2"/>
      <c r="E27" s="2"/>
      <c r="F27" s="2"/>
      <c r="G27" s="2"/>
    </row>
    <row r="28" spans="1:10" ht="15" customHeight="1">
      <c r="A28" s="2"/>
      <c r="B28" s="2"/>
      <c r="C28" s="67"/>
      <c r="D28" s="2"/>
      <c r="E28" s="2"/>
      <c r="F28" s="2"/>
      <c r="G28" s="2"/>
    </row>
    <row r="29" spans="1:10" ht="15" customHeight="1">
      <c r="A29" s="2"/>
      <c r="B29" s="2"/>
      <c r="C29" s="67"/>
      <c r="D29" s="2"/>
      <c r="E29" s="2"/>
      <c r="F29" s="2"/>
      <c r="G29" s="2"/>
    </row>
    <row r="30" spans="1:10" ht="15" customHeight="1">
      <c r="A30" s="2"/>
      <c r="B30" s="2"/>
      <c r="C30" s="67"/>
      <c r="D30" s="2"/>
      <c r="E30" s="2"/>
      <c r="F30" s="2"/>
      <c r="G30" s="2"/>
    </row>
    <row r="31" spans="1:10" ht="15" customHeight="1">
      <c r="A31" s="2"/>
      <c r="B31" s="2"/>
      <c r="C31" s="67"/>
      <c r="D31" s="2"/>
      <c r="E31" s="2"/>
      <c r="F31" s="2"/>
      <c r="G31" s="2"/>
    </row>
    <row r="32" spans="1:10" ht="15" customHeight="1">
      <c r="A32" s="2"/>
      <c r="B32" s="2"/>
      <c r="C32" s="67"/>
      <c r="D32" s="2"/>
      <c r="E32" s="2"/>
      <c r="F32" s="2"/>
      <c r="G32" s="2"/>
    </row>
    <row r="33" spans="1:18" ht="15" customHeight="1">
      <c r="A33" s="2"/>
      <c r="B33" s="2"/>
      <c r="C33" s="67"/>
      <c r="D33" s="2"/>
      <c r="E33" s="2"/>
      <c r="F33" s="2"/>
      <c r="G33" s="2"/>
    </row>
    <row r="34" spans="1:18" ht="15" customHeight="1">
      <c r="A34" s="2"/>
      <c r="B34" s="2"/>
      <c r="C34" s="67"/>
      <c r="D34" s="2"/>
      <c r="E34" s="2"/>
      <c r="F34" s="2"/>
      <c r="G34" s="2"/>
    </row>
    <row r="35" spans="1:18" ht="15" customHeight="1">
      <c r="A35" s="6"/>
      <c r="B35" s="2"/>
      <c r="C35" s="67"/>
      <c r="D35" s="2"/>
      <c r="E35" s="2"/>
      <c r="F35" s="2"/>
      <c r="G35" s="2"/>
    </row>
    <row r="36" spans="1:18" ht="15" customHeight="1">
      <c r="A36" s="6"/>
      <c r="B36" s="2"/>
      <c r="C36" s="67"/>
      <c r="D36" s="2"/>
      <c r="E36" s="2"/>
      <c r="F36" s="2"/>
      <c r="G36" s="2"/>
    </row>
    <row r="37" spans="1:18" ht="15" customHeight="1">
      <c r="A37" s="6"/>
      <c r="B37" s="2"/>
      <c r="C37" s="67"/>
      <c r="D37" s="2"/>
      <c r="E37" s="2"/>
      <c r="F37" s="2"/>
      <c r="G37" s="2"/>
    </row>
    <row r="38" spans="1:18" ht="12" customHeight="1">
      <c r="A38" s="41" t="s">
        <v>105</v>
      </c>
      <c r="B38" s="21"/>
      <c r="C38" s="69"/>
      <c r="D38" s="21"/>
      <c r="E38" s="21"/>
      <c r="F38" s="21"/>
      <c r="G38" s="21"/>
    </row>
    <row r="39" spans="1:18" ht="12" customHeight="1">
      <c r="A39" s="42" t="s">
        <v>106</v>
      </c>
      <c r="B39" s="22"/>
      <c r="C39" s="70"/>
      <c r="D39" s="22"/>
      <c r="E39" s="22"/>
      <c r="F39" s="22"/>
      <c r="G39" s="22"/>
    </row>
    <row r="43" spans="1:18">
      <c r="A43" s="91" t="s">
        <v>163</v>
      </c>
      <c r="B43" s="92"/>
      <c r="C43" s="93"/>
      <c r="D43" s="92"/>
      <c r="E43" s="92"/>
      <c r="F43" s="92"/>
      <c r="G43" s="92"/>
      <c r="H43" s="92"/>
      <c r="I43" s="92"/>
      <c r="J43" s="92"/>
      <c r="K43" s="92"/>
      <c r="L43" s="92"/>
      <c r="M43" s="92"/>
      <c r="N43" s="1"/>
      <c r="P43" s="23"/>
      <c r="Q43" s="24"/>
      <c r="R43" s="24"/>
    </row>
    <row r="44" spans="1:18">
      <c r="A44" s="93"/>
      <c r="B44" s="94">
        <v>2006</v>
      </c>
      <c r="C44" s="94">
        <v>2007</v>
      </c>
      <c r="D44" s="94">
        <v>2008</v>
      </c>
      <c r="E44" s="94">
        <v>2009</v>
      </c>
      <c r="F44" s="94">
        <v>2010</v>
      </c>
      <c r="G44" s="94">
        <v>2011</v>
      </c>
      <c r="H44" s="94">
        <v>2012</v>
      </c>
      <c r="I44" s="94">
        <v>2013</v>
      </c>
      <c r="J44" s="94">
        <v>2014</v>
      </c>
      <c r="K44" s="94">
        <v>2015</v>
      </c>
      <c r="L44" s="94">
        <v>2016</v>
      </c>
      <c r="M44" s="94">
        <v>2017</v>
      </c>
      <c r="P44" s="23"/>
      <c r="Q44" s="24"/>
      <c r="R44" s="24"/>
    </row>
    <row r="45" spans="1:18" ht="15" customHeight="1">
      <c r="A45" s="95" t="s">
        <v>93</v>
      </c>
      <c r="B45" s="96">
        <v>1074000</v>
      </c>
      <c r="C45" s="97">
        <v>1022000</v>
      </c>
      <c r="D45" s="96">
        <v>785000</v>
      </c>
      <c r="E45" s="96">
        <v>763000</v>
      </c>
      <c r="F45" s="96">
        <v>756000</v>
      </c>
      <c r="G45" s="96">
        <v>694000</v>
      </c>
      <c r="H45" s="96">
        <v>699000</v>
      </c>
      <c r="I45" s="96">
        <v>713000</v>
      </c>
      <c r="J45" s="96">
        <v>701000</v>
      </c>
      <c r="K45" s="96">
        <v>547000</v>
      </c>
      <c r="L45" s="96">
        <v>567000</v>
      </c>
      <c r="M45" s="96">
        <v>661000</v>
      </c>
      <c r="P45" s="23"/>
      <c r="Q45" s="24"/>
      <c r="R45" s="24"/>
    </row>
    <row r="46" spans="1:18" ht="15" customHeight="1">
      <c r="A46" s="95" t="s">
        <v>1</v>
      </c>
      <c r="B46" s="96"/>
      <c r="C46" s="97"/>
      <c r="D46" s="96">
        <v>185000</v>
      </c>
      <c r="E46" s="96">
        <v>248000</v>
      </c>
      <c r="F46" s="96">
        <v>118000</v>
      </c>
      <c r="G46" s="96">
        <v>136000</v>
      </c>
      <c r="H46" s="96">
        <v>155000</v>
      </c>
      <c r="I46" s="96">
        <v>120000</v>
      </c>
      <c r="J46" s="96">
        <v>112000</v>
      </c>
      <c r="K46" s="96">
        <v>116000</v>
      </c>
      <c r="L46" s="96">
        <v>83000</v>
      </c>
      <c r="M46" s="96">
        <v>114000</v>
      </c>
      <c r="P46" s="23"/>
      <c r="Q46" s="24"/>
      <c r="R46" s="24"/>
    </row>
    <row r="47" spans="1:18">
      <c r="A47" s="98" t="s">
        <v>94</v>
      </c>
      <c r="B47" s="96">
        <v>966000</v>
      </c>
      <c r="C47" s="97">
        <v>877000</v>
      </c>
      <c r="D47" s="96">
        <v>692000</v>
      </c>
      <c r="E47" s="96">
        <v>672000</v>
      </c>
      <c r="F47" s="96">
        <v>703000</v>
      </c>
      <c r="G47" s="96">
        <v>635000</v>
      </c>
      <c r="H47" s="96">
        <v>659000</v>
      </c>
      <c r="I47" s="96">
        <v>635000</v>
      </c>
      <c r="J47" s="96">
        <v>636000</v>
      </c>
      <c r="K47" s="96">
        <v>512000</v>
      </c>
      <c r="L47" s="96">
        <v>517000</v>
      </c>
      <c r="M47" s="96">
        <v>590000</v>
      </c>
      <c r="P47" s="23"/>
      <c r="Q47" s="24"/>
      <c r="R47" s="24"/>
    </row>
    <row r="48" spans="1:18" ht="16.5">
      <c r="A48" s="99" t="s">
        <v>138</v>
      </c>
      <c r="B48" s="100"/>
      <c r="C48" s="101"/>
      <c r="D48" s="96">
        <v>971000</v>
      </c>
      <c r="E48" s="96">
        <v>1011000</v>
      </c>
      <c r="F48" s="96">
        <v>874000</v>
      </c>
      <c r="G48" s="96">
        <v>830000</v>
      </c>
      <c r="H48" s="96">
        <v>854000</v>
      </c>
      <c r="I48" s="96">
        <v>833000</v>
      </c>
      <c r="J48" s="96">
        <v>813000</v>
      </c>
      <c r="K48" s="96">
        <v>663000</v>
      </c>
      <c r="L48" s="96">
        <v>650000</v>
      </c>
      <c r="M48" s="96">
        <v>775000</v>
      </c>
      <c r="P48" s="23"/>
      <c r="Q48" s="24"/>
      <c r="R48" s="24"/>
    </row>
    <row r="49" spans="1:13">
      <c r="A49" s="99" t="s">
        <v>139</v>
      </c>
      <c r="B49" s="92"/>
      <c r="C49" s="93"/>
      <c r="D49" s="102">
        <v>3.6960721577855846</v>
      </c>
      <c r="E49" s="102">
        <v>3.490706899725462</v>
      </c>
      <c r="F49" s="102">
        <v>3.4580883316784501</v>
      </c>
      <c r="G49" s="102">
        <v>3.219118252972458</v>
      </c>
      <c r="H49" s="102">
        <v>3.3159362957119005</v>
      </c>
      <c r="I49" s="102">
        <v>3.1434919908857029</v>
      </c>
      <c r="J49" s="102">
        <v>2.9671084007372341</v>
      </c>
      <c r="K49" s="102">
        <v>2.5826200687542054</v>
      </c>
      <c r="L49" s="102">
        <v>2.4317525294044526</v>
      </c>
      <c r="M49" s="102">
        <v>2.8103128497080991</v>
      </c>
    </row>
    <row r="52" spans="1:13">
      <c r="B52" s="24"/>
      <c r="C52" s="75"/>
      <c r="D52" s="24"/>
      <c r="E52" s="24"/>
      <c r="F52" s="24"/>
      <c r="G52" s="24"/>
      <c r="H52" s="24"/>
      <c r="I52" s="24"/>
      <c r="J52" s="24"/>
      <c r="K52" s="24"/>
      <c r="L52" s="24"/>
      <c r="M52" s="24"/>
    </row>
    <row r="53" spans="1:13">
      <c r="B53" s="24"/>
      <c r="C53" s="75"/>
      <c r="D53" s="24"/>
      <c r="E53" s="24"/>
      <c r="F53" s="24"/>
      <c r="G53" s="24"/>
      <c r="H53" s="24"/>
      <c r="I53" s="24"/>
      <c r="J53" s="24"/>
      <c r="K53" s="24"/>
      <c r="L53" s="24"/>
      <c r="M53" s="24"/>
    </row>
    <row r="54" spans="1:13">
      <c r="B54" s="24"/>
      <c r="C54" s="75"/>
      <c r="D54" s="24"/>
      <c r="E54" s="24"/>
      <c r="F54" s="24"/>
      <c r="G54" s="24"/>
      <c r="H54" s="24"/>
      <c r="I54" s="24"/>
      <c r="J54" s="24"/>
      <c r="K54" s="24"/>
      <c r="L54" s="24"/>
      <c r="M54" s="24"/>
    </row>
    <row r="55" spans="1:13">
      <c r="D55" s="24"/>
      <c r="E55" s="24"/>
      <c r="F55" s="24"/>
      <c r="G55" s="24"/>
      <c r="H55" s="24"/>
      <c r="I55" s="24"/>
      <c r="J55" s="24"/>
      <c r="K55" s="24"/>
      <c r="L55" s="24"/>
      <c r="M55" s="24"/>
    </row>
  </sheetData>
  <mergeCells count="5">
    <mergeCell ref="A22:G22"/>
    <mergeCell ref="A2:G2"/>
    <mergeCell ref="A19:G19"/>
    <mergeCell ref="A20:G20"/>
    <mergeCell ref="A21:G2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9"/>
  <sheetViews>
    <sheetView zoomScaleNormal="100" workbookViewId="0">
      <selection activeCell="D55" sqref="D55"/>
    </sheetView>
  </sheetViews>
  <sheetFormatPr baseColWidth="10" defaultRowHeight="15"/>
  <cols>
    <col min="1" max="8" width="11.28515625" customWidth="1"/>
  </cols>
  <sheetData>
    <row r="1" spans="1:8" ht="11.1" customHeight="1">
      <c r="A1" s="2"/>
      <c r="B1" s="2"/>
      <c r="C1" s="2"/>
      <c r="D1" s="2"/>
      <c r="E1" s="2"/>
      <c r="F1" s="2"/>
      <c r="G1" s="2"/>
      <c r="H1" s="2"/>
    </row>
    <row r="2" spans="1:8" ht="27.95" customHeight="1">
      <c r="A2" s="81" t="s">
        <v>112</v>
      </c>
      <c r="B2" s="81"/>
      <c r="C2" s="81"/>
      <c r="D2" s="81"/>
      <c r="E2" s="81"/>
      <c r="F2" s="81"/>
      <c r="G2" s="81"/>
      <c r="H2" s="81"/>
    </row>
    <row r="3" spans="1:8" ht="22.5" customHeight="1">
      <c r="A3" s="25"/>
      <c r="B3" s="25"/>
      <c r="C3" s="25"/>
      <c r="D3" s="25"/>
      <c r="E3" s="25"/>
      <c r="F3" s="25"/>
      <c r="G3" s="25"/>
      <c r="H3" s="25"/>
    </row>
    <row r="4" spans="1:8" ht="22.5" customHeight="1">
      <c r="A4" s="25"/>
      <c r="B4" s="25"/>
      <c r="C4" s="25"/>
      <c r="D4" s="25"/>
      <c r="E4" s="25"/>
      <c r="F4" s="25"/>
      <c r="G4" s="25"/>
      <c r="H4" s="25"/>
    </row>
    <row r="5" spans="1:8" ht="22.5" customHeight="1">
      <c r="A5" s="25"/>
      <c r="B5" s="25"/>
      <c r="C5" s="25"/>
      <c r="D5" s="25"/>
      <c r="E5" s="25"/>
      <c r="F5" s="25"/>
      <c r="G5" s="25"/>
      <c r="H5" s="25"/>
    </row>
    <row r="6" spans="1:8" ht="18.75" customHeight="1">
      <c r="A6" s="8"/>
      <c r="B6" s="8"/>
      <c r="C6" s="8"/>
      <c r="D6" s="8"/>
      <c r="E6" s="8"/>
      <c r="F6" s="8"/>
      <c r="G6" s="8"/>
      <c r="H6" s="2"/>
    </row>
    <row r="7" spans="1:8">
      <c r="A7" s="2"/>
      <c r="B7" s="2"/>
      <c r="C7" s="2"/>
      <c r="D7" s="2"/>
      <c r="E7" s="2"/>
      <c r="F7" s="2"/>
      <c r="G7" s="2"/>
      <c r="H7" s="2"/>
    </row>
    <row r="8" spans="1:8" ht="38.25" customHeight="1">
      <c r="A8" s="80" t="s">
        <v>142</v>
      </c>
      <c r="B8" s="80"/>
      <c r="C8" s="80"/>
      <c r="D8" s="80"/>
      <c r="E8" s="80"/>
      <c r="F8" s="80"/>
      <c r="G8" s="80"/>
      <c r="H8" s="80"/>
    </row>
    <row r="9" spans="1:8" ht="27" customHeight="1">
      <c r="A9" s="82" t="s">
        <v>113</v>
      </c>
      <c r="B9" s="82"/>
      <c r="C9" s="82"/>
      <c r="D9" s="82"/>
      <c r="E9" s="82"/>
      <c r="F9" s="82"/>
      <c r="G9" s="82"/>
      <c r="H9" s="82"/>
    </row>
    <row r="10" spans="1:8">
      <c r="A10" s="2"/>
      <c r="B10" s="2"/>
      <c r="C10" s="2"/>
      <c r="D10" s="2"/>
      <c r="E10" s="2"/>
      <c r="F10" s="2"/>
      <c r="G10" s="2"/>
      <c r="H10" s="2"/>
    </row>
    <row r="11" spans="1:8">
      <c r="A11" s="2"/>
      <c r="B11" s="2"/>
      <c r="C11" s="2"/>
      <c r="D11" s="2"/>
      <c r="E11" s="2"/>
      <c r="F11" s="2"/>
      <c r="G11" s="2"/>
      <c r="H11" s="2"/>
    </row>
    <row r="12" spans="1:8">
      <c r="A12" s="2"/>
      <c r="B12" s="2"/>
      <c r="C12" s="2"/>
      <c r="D12" s="2"/>
      <c r="E12" s="2"/>
      <c r="F12" s="2"/>
      <c r="G12" s="2"/>
      <c r="H12" s="2"/>
    </row>
    <row r="13" spans="1:8">
      <c r="A13" s="2"/>
      <c r="B13" s="2"/>
      <c r="C13" s="2"/>
      <c r="D13" s="2"/>
      <c r="E13" s="2"/>
      <c r="F13" s="2"/>
      <c r="G13" s="2"/>
      <c r="H13" s="2"/>
    </row>
    <row r="14" spans="1:8">
      <c r="A14" s="2"/>
      <c r="B14" s="2"/>
      <c r="C14" s="2"/>
      <c r="D14" s="2"/>
      <c r="E14" s="2"/>
      <c r="F14" s="2"/>
      <c r="G14" s="2"/>
      <c r="H14" s="2"/>
    </row>
    <row r="15" spans="1:8" ht="12.75" customHeight="1">
      <c r="A15" s="2"/>
      <c r="B15" s="2"/>
      <c r="C15" s="2"/>
      <c r="D15" s="2"/>
      <c r="E15" s="2"/>
      <c r="F15" s="2"/>
      <c r="G15" s="2"/>
      <c r="H15" s="2"/>
    </row>
    <row r="16" spans="1:8">
      <c r="A16" s="2"/>
      <c r="B16" s="2"/>
      <c r="C16" s="2"/>
      <c r="D16" s="2"/>
      <c r="E16" s="2"/>
      <c r="F16" s="2"/>
      <c r="G16" s="2"/>
      <c r="H16" s="2"/>
    </row>
    <row r="17" spans="1:8" ht="25.5" customHeight="1">
      <c r="A17" s="80" t="s">
        <v>151</v>
      </c>
      <c r="B17" s="80"/>
      <c r="C17" s="80"/>
      <c r="D17" s="80"/>
      <c r="E17" s="85" t="s">
        <v>150</v>
      </c>
      <c r="F17" s="85"/>
      <c r="G17" s="85"/>
      <c r="H17" s="85"/>
    </row>
    <row r="18" spans="1:8" ht="25.5" customHeight="1">
      <c r="A18" s="80"/>
      <c r="B18" s="80"/>
      <c r="C18" s="80"/>
      <c r="D18" s="80"/>
      <c r="E18" s="85"/>
      <c r="F18" s="85"/>
      <c r="G18" s="85"/>
      <c r="H18" s="85"/>
    </row>
    <row r="19" spans="1:8" ht="34.5" customHeight="1">
      <c r="A19" s="82" t="s">
        <v>116</v>
      </c>
      <c r="B19" s="82"/>
      <c r="C19" s="82"/>
      <c r="D19" s="82"/>
      <c r="E19" s="82"/>
      <c r="F19" s="82"/>
      <c r="G19" s="82"/>
      <c r="H19" s="82"/>
    </row>
    <row r="20" spans="1:8">
      <c r="A20" s="2"/>
      <c r="B20" s="2"/>
      <c r="C20" s="2"/>
      <c r="D20" s="2"/>
      <c r="E20" s="2"/>
      <c r="F20" s="2"/>
      <c r="G20" s="2"/>
      <c r="H20" s="2"/>
    </row>
    <row r="21" spans="1:8">
      <c r="A21" s="2"/>
      <c r="B21" s="2"/>
      <c r="C21" s="2"/>
      <c r="D21" s="2"/>
      <c r="E21" s="2"/>
      <c r="F21" s="2"/>
      <c r="G21" s="2"/>
      <c r="H21" s="2"/>
    </row>
    <row r="22" spans="1:8">
      <c r="A22" s="2"/>
      <c r="B22" s="2"/>
      <c r="C22" s="2"/>
      <c r="D22" s="2"/>
      <c r="E22" s="2"/>
      <c r="F22" s="2"/>
      <c r="G22" s="2"/>
      <c r="H22" s="2"/>
    </row>
    <row r="23" spans="1:8">
      <c r="A23" s="2"/>
      <c r="B23" s="2"/>
      <c r="C23" s="2"/>
      <c r="D23" s="2"/>
      <c r="E23" s="2"/>
      <c r="F23" s="2"/>
      <c r="G23" s="2"/>
      <c r="H23" s="2"/>
    </row>
    <row r="24" spans="1:8">
      <c r="A24" s="2"/>
      <c r="B24" s="2"/>
      <c r="C24" s="2"/>
      <c r="D24" s="2"/>
      <c r="E24" s="2"/>
      <c r="F24" s="2"/>
      <c r="G24" s="2"/>
      <c r="H24" s="2"/>
    </row>
    <row r="25" spans="1:8" ht="22.5" customHeight="1">
      <c r="A25" s="83"/>
      <c r="B25" s="83"/>
      <c r="C25" s="83"/>
      <c r="D25" s="83"/>
      <c r="E25" s="83"/>
      <c r="F25" s="83"/>
      <c r="G25" s="83"/>
      <c r="H25" s="83"/>
    </row>
    <row r="26" spans="1:8" ht="11.25" customHeight="1">
      <c r="A26" s="20"/>
      <c r="B26" s="2"/>
      <c r="C26" s="2"/>
      <c r="D26" s="2"/>
      <c r="E26" s="2"/>
      <c r="F26" s="2"/>
      <c r="G26" s="2"/>
      <c r="H26" s="2"/>
    </row>
    <row r="27" spans="1:8" ht="24" customHeight="1">
      <c r="A27" s="84" t="s">
        <v>143</v>
      </c>
      <c r="B27" s="84"/>
      <c r="C27" s="84"/>
      <c r="D27" s="84"/>
      <c r="E27" s="84"/>
      <c r="F27" s="84"/>
      <c r="G27" s="84"/>
      <c r="H27" s="84"/>
    </row>
    <row r="28" spans="1:8" ht="12" customHeight="1">
      <c r="A28" s="2"/>
      <c r="B28" s="2"/>
      <c r="C28" s="2"/>
      <c r="D28" s="2"/>
      <c r="E28" s="2"/>
      <c r="F28" s="2"/>
      <c r="G28" s="2"/>
      <c r="H28" s="2"/>
    </row>
    <row r="29" spans="1:8" ht="12.75" customHeight="1">
      <c r="A29" s="41" t="s">
        <v>114</v>
      </c>
      <c r="B29" s="2"/>
      <c r="C29" s="2"/>
      <c r="D29" s="2"/>
      <c r="E29" s="2"/>
      <c r="F29" s="2"/>
      <c r="G29" s="2"/>
      <c r="H29" s="2"/>
    </row>
    <row r="30" spans="1:8" ht="11.25" customHeight="1">
      <c r="A30" s="42" t="s">
        <v>115</v>
      </c>
      <c r="B30" s="2"/>
      <c r="C30" s="2"/>
      <c r="D30" s="2"/>
      <c r="E30" s="2"/>
      <c r="F30" s="2"/>
      <c r="G30" s="2"/>
      <c r="H30" s="2"/>
    </row>
    <row r="31" spans="1:8">
      <c r="A31" s="1"/>
      <c r="B31" s="1"/>
    </row>
    <row r="32" spans="1:8">
      <c r="A32" s="1"/>
      <c r="B32" s="1"/>
    </row>
    <row r="33" spans="1:9">
      <c r="A33" s="91" t="s">
        <v>163</v>
      </c>
      <c r="B33" s="103"/>
      <c r="C33" s="103"/>
      <c r="D33" s="103"/>
      <c r="E33" s="103"/>
      <c r="F33" s="103"/>
      <c r="G33" s="1"/>
      <c r="H33" s="1"/>
    </row>
    <row r="34" spans="1:9">
      <c r="A34" s="103"/>
      <c r="B34" s="104"/>
      <c r="C34" s="103"/>
      <c r="D34" s="103"/>
      <c r="E34" s="103"/>
      <c r="F34" s="103"/>
      <c r="G34" s="1"/>
      <c r="H34" s="1"/>
    </row>
    <row r="35" spans="1:9">
      <c r="A35" s="105" t="s">
        <v>48</v>
      </c>
      <c r="B35" s="104"/>
      <c r="C35" s="103"/>
      <c r="D35" s="103"/>
      <c r="E35" s="103"/>
      <c r="F35" s="103"/>
      <c r="G35" s="1"/>
      <c r="H35" s="1"/>
    </row>
    <row r="36" spans="1:9">
      <c r="A36" s="105"/>
      <c r="B36" s="106" t="s">
        <v>0</v>
      </c>
      <c r="C36" s="105"/>
      <c r="D36" s="105"/>
      <c r="E36" s="105"/>
      <c r="F36" s="107"/>
      <c r="G36" s="1"/>
      <c r="H36" s="1"/>
    </row>
    <row r="37" spans="1:9" ht="45">
      <c r="A37" s="108" t="s">
        <v>49</v>
      </c>
      <c r="B37" s="109">
        <v>67.335120350109406</v>
      </c>
      <c r="C37" s="109"/>
      <c r="D37" s="109"/>
      <c r="E37" s="109"/>
      <c r="F37" s="110"/>
      <c r="G37" s="13"/>
      <c r="H37" s="13"/>
      <c r="I37" s="13"/>
    </row>
    <row r="38" spans="1:9" ht="45">
      <c r="A38" s="108" t="s">
        <v>50</v>
      </c>
      <c r="B38" s="109">
        <v>30.525355579868702</v>
      </c>
      <c r="C38" s="109"/>
      <c r="D38" s="109"/>
      <c r="E38" s="109"/>
      <c r="F38" s="110"/>
      <c r="G38" s="13"/>
      <c r="H38" s="13"/>
      <c r="I38" s="13"/>
    </row>
    <row r="39" spans="1:9">
      <c r="A39" s="92" t="s">
        <v>47</v>
      </c>
      <c r="B39" s="109">
        <f>100-B37-B38</f>
        <v>2.139524070021892</v>
      </c>
      <c r="C39" s="109"/>
      <c r="D39" s="109"/>
      <c r="E39" s="109"/>
      <c r="F39" s="109"/>
      <c r="G39" s="1"/>
      <c r="H39" s="1"/>
    </row>
    <row r="40" spans="1:9">
      <c r="A40" s="91"/>
      <c r="B40" s="111"/>
      <c r="C40" s="92"/>
      <c r="D40" s="92"/>
      <c r="E40" s="92"/>
      <c r="F40" s="92"/>
      <c r="G40" s="1"/>
      <c r="H40" s="1"/>
    </row>
    <row r="41" spans="1:9">
      <c r="A41" s="92"/>
      <c r="B41" s="111"/>
      <c r="C41" s="92"/>
      <c r="D41" s="92"/>
      <c r="E41" s="92"/>
      <c r="F41" s="92"/>
      <c r="G41" s="1"/>
      <c r="H41" s="1"/>
    </row>
    <row r="42" spans="1:9">
      <c r="A42" s="103"/>
      <c r="B42" s="106" t="s">
        <v>46</v>
      </c>
      <c r="C42" s="105"/>
      <c r="D42" s="105"/>
      <c r="E42" s="105"/>
      <c r="F42" s="107"/>
      <c r="G42" s="1"/>
      <c r="H42" s="1"/>
    </row>
    <row r="43" spans="1:9">
      <c r="A43" s="108" t="s">
        <v>85</v>
      </c>
      <c r="B43" s="112">
        <v>26.0365426695842</v>
      </c>
      <c r="C43" s="111"/>
      <c r="D43" s="111"/>
      <c r="E43" s="111"/>
      <c r="F43" s="111"/>
      <c r="G43" s="1"/>
      <c r="H43" s="1"/>
    </row>
    <row r="44" spans="1:9">
      <c r="A44" s="108" t="s">
        <v>155</v>
      </c>
      <c r="B44" s="112">
        <v>62.885339168490198</v>
      </c>
      <c r="C44" s="111"/>
      <c r="D44" s="111"/>
      <c r="E44" s="111"/>
      <c r="F44" s="111"/>
      <c r="G44" s="1"/>
      <c r="H44" s="1"/>
    </row>
    <row r="45" spans="1:9">
      <c r="A45" s="108" t="s">
        <v>75</v>
      </c>
      <c r="B45" s="113">
        <f>100-B43-B44</f>
        <v>11.078118161925595</v>
      </c>
      <c r="C45" s="114"/>
      <c r="D45" s="114"/>
      <c r="E45" s="114"/>
      <c r="F45" s="114"/>
      <c r="G45" s="1"/>
      <c r="H45" s="1"/>
    </row>
    <row r="46" spans="1:9">
      <c r="A46" s="108"/>
      <c r="B46" s="114"/>
      <c r="C46" s="114"/>
      <c r="D46" s="114"/>
      <c r="E46" s="114"/>
      <c r="F46" s="114"/>
      <c r="G46" s="1"/>
      <c r="H46" s="1"/>
    </row>
    <row r="47" spans="1:9">
      <c r="A47" s="103"/>
      <c r="B47" s="115" t="s">
        <v>46</v>
      </c>
      <c r="C47" s="107"/>
      <c r="D47" s="107"/>
      <c r="E47" s="107" t="s">
        <v>73</v>
      </c>
      <c r="F47" s="107" t="s">
        <v>74</v>
      </c>
      <c r="G47" s="1"/>
      <c r="H47" s="1"/>
    </row>
    <row r="48" spans="1:9" ht="45">
      <c r="A48" s="108" t="s">
        <v>51</v>
      </c>
      <c r="B48" s="109">
        <v>24.85</v>
      </c>
      <c r="C48" s="109"/>
      <c r="D48" s="109"/>
      <c r="E48" s="109">
        <v>25.77</v>
      </c>
      <c r="F48" s="109">
        <v>23.32</v>
      </c>
      <c r="G48" s="1"/>
      <c r="H48" s="1"/>
    </row>
    <row r="49" spans="1:8" ht="30">
      <c r="A49" s="108" t="s">
        <v>52</v>
      </c>
      <c r="B49" s="109">
        <v>21.82</v>
      </c>
      <c r="C49" s="109"/>
      <c r="D49" s="109"/>
      <c r="E49" s="109">
        <v>21.65</v>
      </c>
      <c r="F49" s="109">
        <v>20.61</v>
      </c>
      <c r="G49" s="1"/>
      <c r="H49" s="1"/>
    </row>
    <row r="50" spans="1:8" ht="30">
      <c r="A50" s="108" t="s">
        <v>53</v>
      </c>
      <c r="B50" s="109">
        <v>23.64</v>
      </c>
      <c r="C50" s="109"/>
      <c r="D50" s="109"/>
      <c r="E50" s="109">
        <v>26.2</v>
      </c>
      <c r="F50" s="109">
        <v>21.59</v>
      </c>
      <c r="G50" s="1"/>
      <c r="H50" s="1"/>
    </row>
    <row r="51" spans="1:8" ht="45">
      <c r="A51" s="108" t="s">
        <v>54</v>
      </c>
      <c r="B51" s="109">
        <v>29.7</v>
      </c>
      <c r="C51" s="109"/>
      <c r="D51" s="109"/>
      <c r="E51" s="109">
        <v>26.39</v>
      </c>
      <c r="F51" s="109">
        <v>34.479999999999997</v>
      </c>
      <c r="G51" s="1"/>
      <c r="H51" s="1"/>
    </row>
    <row r="52" spans="1:8">
      <c r="A52" s="92"/>
      <c r="B52" s="92"/>
      <c r="C52" s="92"/>
      <c r="D52" s="92"/>
      <c r="E52" s="92"/>
      <c r="F52" s="92"/>
      <c r="G52" s="1"/>
      <c r="H52" s="1"/>
    </row>
    <row r="53" spans="1:8">
      <c r="A53" s="92"/>
      <c r="B53" s="92"/>
      <c r="C53" s="92"/>
      <c r="D53" s="92"/>
      <c r="E53" s="92"/>
      <c r="F53" s="92"/>
      <c r="G53" s="1"/>
      <c r="H53" s="1"/>
    </row>
    <row r="54" spans="1:8">
      <c r="A54" s="92"/>
      <c r="B54" s="92"/>
      <c r="C54" s="92"/>
      <c r="D54" s="92"/>
      <c r="E54" s="92"/>
      <c r="F54" s="92"/>
      <c r="G54" s="1"/>
      <c r="H54" s="1"/>
    </row>
    <row r="55" spans="1:8">
      <c r="A55" s="92"/>
      <c r="B55" s="92"/>
      <c r="C55" s="92"/>
      <c r="D55" s="91" t="s">
        <v>55</v>
      </c>
      <c r="E55" s="105"/>
      <c r="F55" s="107"/>
      <c r="G55" s="1"/>
      <c r="H55" s="1"/>
    </row>
    <row r="56" spans="1:8">
      <c r="A56" s="92" t="s">
        <v>27</v>
      </c>
      <c r="B56" s="111"/>
      <c r="C56" s="111"/>
      <c r="D56" s="111">
        <v>0</v>
      </c>
      <c r="E56" s="111"/>
      <c r="F56" s="111"/>
      <c r="G56" s="1"/>
      <c r="H56" s="1"/>
    </row>
    <row r="57" spans="1:8">
      <c r="A57" s="92" t="s">
        <v>96</v>
      </c>
      <c r="B57" s="111"/>
      <c r="C57" s="111"/>
      <c r="D57" s="111">
        <v>0</v>
      </c>
      <c r="E57" s="111"/>
      <c r="F57" s="111"/>
      <c r="G57" s="1"/>
      <c r="H57" s="1"/>
    </row>
    <row r="58" spans="1:8">
      <c r="A58" s="92" t="s">
        <v>97</v>
      </c>
      <c r="B58" s="111"/>
      <c r="C58" s="111"/>
      <c r="D58" s="111">
        <v>9.3789879649890606E-2</v>
      </c>
      <c r="E58" s="111"/>
      <c r="F58" s="111"/>
      <c r="G58" s="1"/>
      <c r="H58" s="1"/>
    </row>
    <row r="59" spans="1:8">
      <c r="A59" s="92" t="s">
        <v>28</v>
      </c>
      <c r="B59" s="111"/>
      <c r="C59" s="111"/>
      <c r="D59" s="111">
        <v>0.32706280087527401</v>
      </c>
      <c r="E59" s="111"/>
      <c r="F59" s="111"/>
      <c r="G59" s="1"/>
      <c r="H59" s="1"/>
    </row>
    <row r="60" spans="1:8">
      <c r="A60" s="92" t="s">
        <v>29</v>
      </c>
      <c r="B60" s="111"/>
      <c r="C60" s="111"/>
      <c r="D60" s="111">
        <v>0.55363566739606096</v>
      </c>
      <c r="E60" s="111"/>
      <c r="F60" s="111"/>
      <c r="G60" s="1"/>
      <c r="H60" s="1"/>
    </row>
    <row r="61" spans="1:8">
      <c r="A61" s="92"/>
      <c r="B61" s="111"/>
      <c r="C61" s="111"/>
      <c r="D61" s="111"/>
      <c r="E61" s="111"/>
      <c r="F61" s="111"/>
      <c r="G61" s="1"/>
      <c r="H61" s="1"/>
    </row>
    <row r="62" spans="1:8">
      <c r="A62" s="92"/>
      <c r="B62" s="94" t="s">
        <v>98</v>
      </c>
      <c r="C62" s="92"/>
      <c r="D62" s="92"/>
      <c r="E62" s="92"/>
      <c r="F62" s="92"/>
      <c r="G62" s="1"/>
      <c r="H62" s="1"/>
    </row>
    <row r="63" spans="1:8">
      <c r="A63" s="92" t="s">
        <v>42</v>
      </c>
      <c r="B63" s="109">
        <v>45.424496717724303</v>
      </c>
      <c r="C63" s="92"/>
      <c r="D63" s="92"/>
      <c r="E63" s="92"/>
      <c r="F63" s="92"/>
      <c r="G63" s="1"/>
      <c r="H63" s="1"/>
    </row>
    <row r="64" spans="1:8">
      <c r="A64" s="92" t="s">
        <v>41</v>
      </c>
      <c r="B64" s="109">
        <v>39.912981400437602</v>
      </c>
      <c r="C64" s="92"/>
      <c r="D64" s="92"/>
      <c r="E64" s="92"/>
      <c r="F64" s="92"/>
      <c r="G64" s="1"/>
      <c r="H64" s="1"/>
    </row>
    <row r="65" spans="1:8">
      <c r="A65" s="92" t="s">
        <v>43</v>
      </c>
      <c r="B65" s="109">
        <f>100-B63-B64-B66</f>
        <v>3.9797045951859946</v>
      </c>
      <c r="C65" s="92"/>
      <c r="D65" s="92"/>
      <c r="E65" s="92"/>
      <c r="F65" s="92"/>
      <c r="G65" s="1"/>
      <c r="H65" s="1"/>
    </row>
    <row r="66" spans="1:8">
      <c r="A66" s="116" t="s">
        <v>1</v>
      </c>
      <c r="B66" s="109">
        <v>10.682817286652101</v>
      </c>
      <c r="C66" s="92"/>
      <c r="D66" s="92"/>
      <c r="E66" s="92"/>
      <c r="F66" s="92"/>
      <c r="G66" s="1"/>
      <c r="H66" s="1"/>
    </row>
    <row r="67" spans="1:8">
      <c r="A67" s="116" t="s">
        <v>99</v>
      </c>
      <c r="B67" s="112"/>
      <c r="C67" s="92"/>
      <c r="D67" s="92"/>
      <c r="E67" s="92"/>
      <c r="F67" s="92"/>
      <c r="G67" s="1"/>
      <c r="H67" s="1"/>
    </row>
    <row r="68" spans="1:8">
      <c r="A68" s="14"/>
      <c r="B68" s="14"/>
    </row>
    <row r="69" spans="1:8">
      <c r="A69" s="14"/>
      <c r="B69" s="14"/>
    </row>
  </sheetData>
  <mergeCells count="8">
    <mergeCell ref="A2:H2"/>
    <mergeCell ref="A19:H19"/>
    <mergeCell ref="A25:H25"/>
    <mergeCell ref="A27:H27"/>
    <mergeCell ref="A8:H8"/>
    <mergeCell ref="A9:H9"/>
    <mergeCell ref="E17:H18"/>
    <mergeCell ref="A17:D18"/>
  </mergeCells>
  <pageMargins left="0.70866141732283472" right="0.70866141732283472" top="0.74803149606299213" bottom="0.74803149606299213" header="0.31496062992125984" footer="0.31496062992125984"/>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3"/>
  <sheetViews>
    <sheetView workbookViewId="0">
      <selection activeCell="A45" sqref="A45:XFD45"/>
    </sheetView>
  </sheetViews>
  <sheetFormatPr baseColWidth="10" defaultRowHeight="15"/>
  <cols>
    <col min="1" max="8" width="11.28515625" customWidth="1"/>
    <col min="9" max="9" width="9.85546875" customWidth="1"/>
  </cols>
  <sheetData>
    <row r="1" spans="1:8" ht="11.1" customHeight="1">
      <c r="A1" s="2"/>
      <c r="B1" s="2"/>
      <c r="C1" s="2"/>
      <c r="D1" s="2"/>
      <c r="E1" s="2"/>
      <c r="F1" s="2"/>
      <c r="G1" s="2"/>
      <c r="H1" s="2"/>
    </row>
    <row r="2" spans="1:8" s="37" customFormat="1" ht="27.95" customHeight="1">
      <c r="A2" s="86" t="s">
        <v>26</v>
      </c>
      <c r="B2" s="86"/>
      <c r="C2" s="86"/>
      <c r="D2" s="86"/>
      <c r="E2" s="86"/>
      <c r="F2" s="86"/>
      <c r="G2" s="86"/>
      <c r="H2" s="86"/>
    </row>
    <row r="3" spans="1:8">
      <c r="A3" s="2"/>
      <c r="B3" s="2"/>
      <c r="C3" s="2"/>
      <c r="D3" s="2"/>
      <c r="E3" s="2"/>
      <c r="F3" s="2"/>
      <c r="G3" s="2"/>
      <c r="H3" s="2"/>
    </row>
    <row r="4" spans="1:8">
      <c r="A4" s="2"/>
      <c r="B4" s="2"/>
      <c r="C4" s="2"/>
      <c r="D4" s="2"/>
      <c r="E4" s="2"/>
      <c r="F4" s="2"/>
      <c r="G4" s="2"/>
      <c r="H4" s="2"/>
    </row>
    <row r="5" spans="1:8">
      <c r="A5" s="2"/>
      <c r="B5" s="2"/>
      <c r="C5" s="2"/>
      <c r="D5" s="2"/>
      <c r="E5" s="2"/>
      <c r="F5" s="2"/>
      <c r="G5" s="2"/>
      <c r="H5" s="2"/>
    </row>
    <row r="6" spans="1:8">
      <c r="A6" s="2"/>
      <c r="B6" s="2"/>
      <c r="C6" s="2"/>
      <c r="D6" s="2"/>
      <c r="E6" s="2"/>
      <c r="F6" s="2"/>
      <c r="G6" s="2"/>
      <c r="H6" s="2"/>
    </row>
    <row r="7" spans="1:8">
      <c r="A7" s="2"/>
      <c r="B7" s="2"/>
      <c r="C7" s="2"/>
      <c r="D7" s="2"/>
      <c r="E7" s="2"/>
      <c r="F7" s="2"/>
      <c r="G7" s="2"/>
      <c r="H7" s="2"/>
    </row>
    <row r="8" spans="1:8" ht="14.25" customHeight="1">
      <c r="A8" s="2"/>
      <c r="B8" s="2"/>
      <c r="C8" s="2"/>
      <c r="D8" s="2"/>
      <c r="E8" s="2"/>
      <c r="F8" s="2"/>
      <c r="G8" s="2"/>
      <c r="H8" s="2"/>
    </row>
    <row r="9" spans="1:8">
      <c r="A9" s="2"/>
      <c r="B9" s="2"/>
      <c r="C9" s="2"/>
      <c r="D9" s="2"/>
      <c r="E9" s="2"/>
      <c r="F9" s="2"/>
      <c r="G9" s="2"/>
      <c r="H9" s="2"/>
    </row>
    <row r="10" spans="1:8">
      <c r="A10" s="2"/>
      <c r="B10" s="2"/>
      <c r="C10" s="2"/>
      <c r="D10" s="2"/>
      <c r="E10" s="2"/>
      <c r="F10" s="2"/>
      <c r="G10" s="2"/>
      <c r="H10" s="2"/>
    </row>
    <row r="11" spans="1:8" ht="23.25" customHeight="1">
      <c r="A11" s="80" t="s">
        <v>119</v>
      </c>
      <c r="B11" s="80"/>
      <c r="C11" s="80"/>
      <c r="D11" s="80"/>
      <c r="E11" s="80"/>
      <c r="F11" s="80"/>
      <c r="G11" s="80"/>
      <c r="H11" s="80"/>
    </row>
    <row r="12" spans="1:8" ht="28.5" customHeight="1">
      <c r="A12" s="82" t="s">
        <v>120</v>
      </c>
      <c r="B12" s="82"/>
      <c r="C12" s="82"/>
      <c r="D12" s="82"/>
      <c r="E12" s="82"/>
      <c r="F12" s="82"/>
      <c r="G12" s="82"/>
      <c r="H12" s="82"/>
    </row>
    <row r="13" spans="1:8" ht="29.25" customHeight="1">
      <c r="A13" s="85"/>
      <c r="B13" s="85"/>
      <c r="C13" s="85"/>
      <c r="D13" s="85"/>
      <c r="E13" s="85"/>
      <c r="F13" s="85"/>
      <c r="G13" s="85"/>
      <c r="H13" s="85"/>
    </row>
    <row r="14" spans="1:8" ht="15" customHeight="1">
      <c r="A14" s="26"/>
      <c r="B14" s="26"/>
      <c r="C14" s="26"/>
      <c r="D14" s="26"/>
      <c r="E14" s="26"/>
      <c r="F14" s="26"/>
      <c r="G14" s="26"/>
      <c r="H14" s="26"/>
    </row>
    <row r="15" spans="1:8" ht="15" customHeight="1">
      <c r="A15" s="26"/>
      <c r="B15" s="26"/>
      <c r="C15" s="26"/>
      <c r="D15" s="26"/>
      <c r="E15" s="26"/>
      <c r="F15" s="26"/>
      <c r="G15" s="26"/>
      <c r="H15" s="26"/>
    </row>
    <row r="16" spans="1:8" ht="15" customHeight="1">
      <c r="A16" s="2"/>
      <c r="B16" s="2"/>
      <c r="C16" s="2"/>
      <c r="D16" s="2"/>
      <c r="E16" s="2"/>
      <c r="F16" s="2"/>
      <c r="G16" s="2"/>
      <c r="H16" s="2"/>
    </row>
    <row r="17" spans="1:8" ht="15" customHeight="1">
      <c r="A17" s="2"/>
      <c r="B17" s="2"/>
      <c r="C17" s="2"/>
      <c r="D17" s="2"/>
      <c r="E17" s="2"/>
      <c r="F17" s="2"/>
      <c r="G17" s="2"/>
      <c r="H17" s="2"/>
    </row>
    <row r="18" spans="1:8" ht="15" customHeight="1">
      <c r="A18" s="26"/>
      <c r="B18" s="26"/>
      <c r="C18" s="26"/>
      <c r="D18" s="26"/>
      <c r="E18" s="26"/>
      <c r="F18" s="26"/>
      <c r="G18" s="26"/>
      <c r="H18" s="26"/>
    </row>
    <row r="19" spans="1:8" ht="15" customHeight="1">
      <c r="A19" s="2"/>
      <c r="B19" s="2"/>
      <c r="C19" s="2"/>
      <c r="D19" s="2"/>
      <c r="E19" s="2"/>
      <c r="F19" s="2"/>
      <c r="G19" s="2"/>
      <c r="H19" s="2"/>
    </row>
    <row r="20" spans="1:8">
      <c r="A20" s="2"/>
      <c r="B20" s="2"/>
      <c r="C20" s="2"/>
      <c r="D20" s="2"/>
      <c r="E20" s="2"/>
      <c r="F20" s="2"/>
      <c r="G20" s="2"/>
      <c r="H20" s="2"/>
    </row>
    <row r="21" spans="1:8">
      <c r="A21" s="2"/>
      <c r="B21" s="2"/>
      <c r="C21" s="2"/>
      <c r="D21" s="2"/>
      <c r="E21" s="2"/>
      <c r="F21" s="2"/>
      <c r="G21" s="2"/>
      <c r="H21" s="2"/>
    </row>
    <row r="22" spans="1:8">
      <c r="A22" s="2"/>
      <c r="B22" s="2"/>
      <c r="C22" s="2"/>
      <c r="D22" s="2"/>
      <c r="E22" s="2"/>
      <c r="F22" s="2"/>
      <c r="G22" s="2"/>
      <c r="H22" s="2"/>
    </row>
    <row r="23" spans="1:8">
      <c r="A23" s="2"/>
      <c r="B23" s="2"/>
      <c r="C23" s="2"/>
      <c r="D23" s="2"/>
      <c r="E23" s="2"/>
      <c r="F23" s="2"/>
      <c r="G23" s="2"/>
      <c r="H23" s="2"/>
    </row>
    <row r="24" spans="1:8">
      <c r="A24" s="2"/>
      <c r="B24" s="2"/>
      <c r="C24" s="2"/>
      <c r="D24" s="2"/>
      <c r="E24" s="2"/>
      <c r="F24" s="2"/>
      <c r="G24" s="2"/>
      <c r="H24" s="2"/>
    </row>
    <row r="25" spans="1:8">
      <c r="A25" s="2"/>
      <c r="B25" s="2"/>
      <c r="C25" s="2"/>
      <c r="D25" s="2"/>
      <c r="E25" s="2"/>
      <c r="F25" s="2"/>
      <c r="G25" s="2"/>
      <c r="H25" s="2"/>
    </row>
    <row r="26" spans="1:8" ht="15.75" customHeight="1">
      <c r="A26" s="2"/>
      <c r="B26" s="2"/>
      <c r="C26" s="2"/>
      <c r="D26" s="2"/>
      <c r="E26" s="2"/>
      <c r="F26" s="2"/>
      <c r="G26" s="2"/>
      <c r="H26" s="2"/>
    </row>
    <row r="27" spans="1:8">
      <c r="A27" s="2"/>
      <c r="B27" s="2"/>
      <c r="C27" s="2"/>
      <c r="D27" s="2"/>
      <c r="E27" s="2"/>
      <c r="F27" s="2"/>
      <c r="G27" s="2"/>
      <c r="H27" s="2"/>
    </row>
    <row r="28" spans="1:8" ht="14.25" customHeight="1">
      <c r="A28" s="2"/>
      <c r="B28" s="2"/>
      <c r="C28" s="2"/>
      <c r="D28" s="2"/>
      <c r="E28" s="2"/>
      <c r="F28" s="2"/>
      <c r="G28" s="2"/>
      <c r="H28" s="2"/>
    </row>
    <row r="29" spans="1:8">
      <c r="A29" s="2"/>
      <c r="B29" s="2"/>
      <c r="C29" s="2"/>
      <c r="D29" s="2"/>
      <c r="E29" s="2"/>
      <c r="F29" s="2"/>
      <c r="G29" s="2"/>
      <c r="H29" s="2"/>
    </row>
    <row r="30" spans="1:8">
      <c r="A30" s="2"/>
      <c r="B30" s="2"/>
      <c r="C30" s="2"/>
      <c r="D30" s="2"/>
      <c r="E30" s="2"/>
      <c r="F30" s="2"/>
      <c r="G30" s="2"/>
      <c r="H30" s="2"/>
    </row>
    <row r="31" spans="1:8">
      <c r="A31" s="2"/>
      <c r="B31" s="2"/>
      <c r="C31" s="2"/>
      <c r="D31" s="2"/>
      <c r="E31" s="2"/>
      <c r="F31" s="2"/>
      <c r="G31" s="2"/>
      <c r="H31" s="2"/>
    </row>
    <row r="32" spans="1:8" ht="15.75" thickBot="1">
      <c r="A32" s="2"/>
      <c r="B32" s="2"/>
      <c r="C32" s="2"/>
      <c r="D32" s="2"/>
      <c r="E32" s="2"/>
      <c r="F32" s="2"/>
      <c r="G32" s="2"/>
      <c r="H32" s="2"/>
    </row>
    <row r="33" spans="1:12" ht="14.25" customHeight="1">
      <c r="A33" s="2"/>
      <c r="B33" s="27"/>
      <c r="C33" s="27"/>
      <c r="D33" s="27"/>
      <c r="E33" s="27"/>
      <c r="F33" s="2"/>
      <c r="G33" s="2"/>
      <c r="H33" s="2"/>
    </row>
    <row r="34" spans="1:12" ht="15.75" thickBot="1">
      <c r="A34" s="85"/>
      <c r="B34" s="85"/>
      <c r="C34" s="85"/>
      <c r="D34" s="85"/>
      <c r="E34" s="85"/>
      <c r="F34" s="85"/>
      <c r="G34" s="85"/>
      <c r="H34" s="85"/>
    </row>
    <row r="35" spans="1:12" ht="13.5" customHeight="1">
      <c r="A35" s="2"/>
      <c r="B35" s="27"/>
      <c r="C35" s="27"/>
      <c r="D35" s="27"/>
      <c r="E35" s="27"/>
      <c r="F35" s="2"/>
      <c r="G35" s="2"/>
      <c r="H35" s="2"/>
    </row>
    <row r="36" spans="1:12" ht="36.75" customHeight="1">
      <c r="A36" s="87" t="s">
        <v>129</v>
      </c>
      <c r="B36" s="87"/>
      <c r="C36" s="87"/>
      <c r="D36" s="87"/>
      <c r="E36" s="87"/>
      <c r="F36" s="87"/>
      <c r="G36" s="87"/>
      <c r="H36" s="87"/>
    </row>
    <row r="37" spans="1:12" ht="37.5" customHeight="1">
      <c r="A37" s="87" t="s">
        <v>145</v>
      </c>
      <c r="B37" s="87"/>
      <c r="C37" s="87"/>
      <c r="D37" s="87"/>
      <c r="E37" s="87"/>
      <c r="F37" s="87"/>
      <c r="G37" s="87"/>
      <c r="H37" s="87"/>
    </row>
    <row r="38" spans="1:12">
      <c r="A38" s="46" t="s">
        <v>158</v>
      </c>
      <c r="B38" s="28"/>
      <c r="C38" s="28"/>
      <c r="D38" s="28"/>
      <c r="E38" s="28"/>
      <c r="F38" s="2"/>
      <c r="G38" s="2"/>
      <c r="H38" s="2"/>
    </row>
    <row r="39" spans="1:12" ht="12" customHeight="1">
      <c r="A39" s="41" t="s">
        <v>114</v>
      </c>
      <c r="B39" s="2"/>
      <c r="C39" s="2"/>
      <c r="D39" s="2"/>
      <c r="E39" s="2"/>
      <c r="F39" s="28"/>
      <c r="G39" s="28"/>
      <c r="H39" s="28"/>
      <c r="I39" s="13"/>
      <c r="J39" s="13"/>
      <c r="K39" s="13"/>
      <c r="L39" s="13"/>
    </row>
    <row r="40" spans="1:12" ht="12" customHeight="1">
      <c r="A40" s="42" t="s">
        <v>115</v>
      </c>
      <c r="B40" s="2"/>
      <c r="C40" s="2"/>
      <c r="D40" s="2"/>
      <c r="E40" s="2"/>
      <c r="F40" s="28"/>
      <c r="G40" s="28"/>
      <c r="H40" s="28"/>
      <c r="I40" s="13"/>
      <c r="J40" s="13"/>
      <c r="K40" s="13"/>
      <c r="L40" s="13"/>
    </row>
    <row r="41" spans="1:12">
      <c r="A41" s="29"/>
      <c r="B41" s="2"/>
      <c r="C41" s="2"/>
      <c r="D41" s="2"/>
      <c r="E41" s="2"/>
      <c r="F41" s="28"/>
      <c r="G41" s="28"/>
      <c r="H41" s="28"/>
      <c r="I41" s="13"/>
      <c r="J41" s="13"/>
      <c r="K41" s="13"/>
      <c r="L41" s="13"/>
    </row>
    <row r="44" spans="1:12">
      <c r="A44" s="91" t="s">
        <v>163</v>
      </c>
      <c r="B44" s="92"/>
      <c r="C44" s="92"/>
      <c r="D44" s="92"/>
      <c r="E44" s="92"/>
      <c r="F44" s="92"/>
    </row>
    <row r="45" spans="1:12">
      <c r="A45" s="92"/>
      <c r="B45" s="92"/>
      <c r="C45" s="92"/>
      <c r="D45" s="92"/>
      <c r="E45" s="92"/>
      <c r="F45" s="92"/>
    </row>
    <row r="46" spans="1:12">
      <c r="A46" s="103"/>
      <c r="B46" s="115" t="s">
        <v>0</v>
      </c>
      <c r="C46" s="107"/>
      <c r="D46" s="107"/>
      <c r="E46" s="94" t="s">
        <v>121</v>
      </c>
      <c r="F46" s="107" t="s">
        <v>122</v>
      </c>
      <c r="G46" s="13"/>
    </row>
    <row r="47" spans="1:12">
      <c r="A47" s="116" t="s">
        <v>38</v>
      </c>
      <c r="B47" s="117">
        <v>3.06115665399034E-3</v>
      </c>
      <c r="C47" s="117"/>
      <c r="D47" s="117"/>
      <c r="E47" s="111">
        <v>0</v>
      </c>
      <c r="F47" s="111">
        <v>5.5000000000000005E-3</v>
      </c>
    </row>
    <row r="48" spans="1:12">
      <c r="A48" s="116" t="s">
        <v>37</v>
      </c>
      <c r="B48" s="117">
        <v>2.97513926390815E-3</v>
      </c>
      <c r="C48" s="117"/>
      <c r="D48" s="117"/>
      <c r="E48" s="111">
        <v>3.7000000000000002E-3</v>
      </c>
      <c r="F48" s="111">
        <v>2.8000000000000004E-3</v>
      </c>
    </row>
    <row r="49" spans="1:7">
      <c r="A49" s="116" t="s">
        <v>39</v>
      </c>
      <c r="B49" s="117">
        <v>0.217583767815104</v>
      </c>
      <c r="C49" s="117"/>
      <c r="D49" s="117"/>
      <c r="E49" s="111">
        <v>0.401619811283216</v>
      </c>
      <c r="F49" s="111">
        <v>4.9433750364749993E-2</v>
      </c>
    </row>
    <row r="50" spans="1:7">
      <c r="A50" s="118" t="s">
        <v>76</v>
      </c>
      <c r="B50" s="117">
        <v>1.7063184325681598E-2</v>
      </c>
      <c r="C50" s="117"/>
      <c r="D50" s="117"/>
      <c r="E50" s="111">
        <v>6.9535534947639102E-2</v>
      </c>
      <c r="F50" s="111">
        <v>0.92132583836308002</v>
      </c>
    </row>
    <row r="51" spans="1:7">
      <c r="A51" s="118" t="s">
        <v>146</v>
      </c>
      <c r="B51" s="117">
        <v>3.7496444412010298E-2</v>
      </c>
      <c r="C51" s="117"/>
      <c r="D51" s="117"/>
      <c r="E51" s="111">
        <v>7.0287876790574202E-2</v>
      </c>
      <c r="F51" s="111">
        <v>8.3374773320460706E-3</v>
      </c>
    </row>
    <row r="52" spans="1:7">
      <c r="A52" s="118" t="s">
        <v>34</v>
      </c>
      <c r="B52" s="117">
        <v>4.6243390876828799E-2</v>
      </c>
      <c r="C52" s="117"/>
      <c r="D52" s="117"/>
      <c r="E52" s="111">
        <v>0.100162977018718</v>
      </c>
      <c r="F52" s="111">
        <v>3.5618953870242601E-3</v>
      </c>
    </row>
    <row r="53" spans="1:7">
      <c r="A53" s="118" t="s">
        <v>35</v>
      </c>
      <c r="B53" s="117">
        <v>5.3216300296501699E-2</v>
      </c>
      <c r="C53" s="117"/>
      <c r="D53" s="117"/>
      <c r="E53" s="111">
        <v>0.113945310945658</v>
      </c>
      <c r="F53" s="111">
        <v>2.5834881764802099E-3</v>
      </c>
    </row>
    <row r="54" spans="1:7">
      <c r="A54" s="118" t="s">
        <v>31</v>
      </c>
      <c r="B54" s="117">
        <v>5.7773993799681601E-2</v>
      </c>
      <c r="C54" s="117"/>
      <c r="D54" s="117"/>
      <c r="E54" s="111">
        <v>0.12616475272686101</v>
      </c>
      <c r="F54" s="111">
        <v>8.0415751279486105E-3</v>
      </c>
    </row>
    <row r="55" spans="1:7">
      <c r="A55" s="118" t="s">
        <v>36</v>
      </c>
      <c r="B55" s="117">
        <v>7.2440206388976705E-2</v>
      </c>
      <c r="C55" s="117"/>
      <c r="D55" s="117"/>
      <c r="E55" s="111">
        <v>0.13106173253362699</v>
      </c>
      <c r="F55" s="111">
        <v>3.9921119426520497E-3</v>
      </c>
    </row>
    <row r="56" spans="1:7">
      <c r="A56" s="118" t="s">
        <v>32</v>
      </c>
      <c r="B56" s="117">
        <v>0.100964319789395</v>
      </c>
      <c r="C56" s="117"/>
      <c r="D56" s="117"/>
      <c r="E56" s="111">
        <v>0.169969703146858</v>
      </c>
      <c r="F56" s="111">
        <v>5.92798090704162E-3</v>
      </c>
    </row>
    <row r="57" spans="1:7">
      <c r="A57" s="118" t="s">
        <v>33</v>
      </c>
      <c r="B57" s="117">
        <v>9.7657014819679894E-2</v>
      </c>
      <c r="C57" s="117"/>
      <c r="D57" s="117"/>
      <c r="E57" s="111">
        <v>0.183969521307942</v>
      </c>
      <c r="F57" s="111">
        <v>6.0684149722323999E-3</v>
      </c>
    </row>
    <row r="58" spans="1:7">
      <c r="A58" s="118" t="s">
        <v>30</v>
      </c>
      <c r="B58" s="117">
        <v>0.122215302947989</v>
      </c>
      <c r="C58" s="117"/>
      <c r="D58" s="117"/>
      <c r="E58" s="111">
        <v>0.19151972652138399</v>
      </c>
      <c r="F58" s="111">
        <v>3.9793146825293996E-3</v>
      </c>
    </row>
    <row r="59" spans="1:7">
      <c r="A59" s="92"/>
      <c r="B59" s="92"/>
      <c r="C59" s="92"/>
      <c r="D59" s="92"/>
      <c r="E59" s="92"/>
      <c r="F59" s="103"/>
      <c r="G59" s="13"/>
    </row>
    <row r="60" spans="1:7">
      <c r="A60" s="92"/>
      <c r="B60" s="92"/>
      <c r="C60" s="92"/>
      <c r="D60" s="92"/>
      <c r="E60" s="92"/>
      <c r="F60" s="92"/>
    </row>
    <row r="61" spans="1:7">
      <c r="A61" s="91" t="s">
        <v>26</v>
      </c>
      <c r="B61" s="94" t="s">
        <v>0</v>
      </c>
      <c r="C61" s="94" t="s">
        <v>117</v>
      </c>
      <c r="D61" s="94" t="s">
        <v>74</v>
      </c>
      <c r="E61" s="94"/>
      <c r="F61" s="94"/>
    </row>
    <row r="62" spans="1:7">
      <c r="A62" s="111" t="s">
        <v>56</v>
      </c>
      <c r="B62" s="109">
        <v>13.096487964989102</v>
      </c>
      <c r="C62" s="110">
        <v>21.274597436871602</v>
      </c>
      <c r="D62" s="110">
        <v>3.9352212204531902</v>
      </c>
      <c r="E62" s="104"/>
      <c r="F62" s="104"/>
    </row>
    <row r="63" spans="1:7">
      <c r="A63" s="111" t="s">
        <v>57</v>
      </c>
      <c r="B63" s="109">
        <v>12.034715536105001</v>
      </c>
      <c r="C63" s="110">
        <v>17.249766421465701</v>
      </c>
      <c r="D63" s="110">
        <v>5.1713293676492302</v>
      </c>
      <c r="E63" s="104"/>
      <c r="F63" s="104"/>
    </row>
    <row r="64" spans="1:7">
      <c r="A64" s="111" t="s">
        <v>58</v>
      </c>
      <c r="B64" s="109">
        <v>14.1053336980306</v>
      </c>
      <c r="C64" s="110">
        <v>20.631870226589498</v>
      </c>
      <c r="D64" s="110">
        <v>2.8463343326352901</v>
      </c>
      <c r="E64" s="104"/>
      <c r="F64" s="104"/>
    </row>
    <row r="65" spans="1:6">
      <c r="A65" s="111" t="s">
        <v>118</v>
      </c>
      <c r="B65" s="109">
        <v>60.391849015317298</v>
      </c>
      <c r="C65" s="110">
        <v>40.769318662030102</v>
      </c>
      <c r="D65" s="110">
        <v>87.207797378679203</v>
      </c>
      <c r="E65" s="104"/>
      <c r="F65" s="104"/>
    </row>
    <row r="66" spans="1:6">
      <c r="A66" s="92"/>
      <c r="B66" s="92"/>
      <c r="C66" s="92"/>
      <c r="D66" s="92"/>
      <c r="E66" s="92"/>
      <c r="F66" s="92"/>
    </row>
    <row r="67" spans="1:6">
      <c r="A67" s="92"/>
      <c r="B67" s="94" t="s">
        <v>78</v>
      </c>
      <c r="C67" s="94" t="s">
        <v>79</v>
      </c>
      <c r="D67" s="92"/>
      <c r="E67" s="92"/>
      <c r="F67" s="92"/>
    </row>
    <row r="68" spans="1:6" ht="25.5">
      <c r="A68" s="119" t="s">
        <v>77</v>
      </c>
      <c r="B68" s="111">
        <v>0.1143</v>
      </c>
      <c r="C68" s="111">
        <v>0.16209999999999999</v>
      </c>
      <c r="D68" s="92"/>
      <c r="E68" s="92"/>
      <c r="F68" s="92"/>
    </row>
    <row r="69" spans="1:6">
      <c r="A69" s="120" t="s">
        <v>126</v>
      </c>
      <c r="B69" s="111">
        <v>0.15770000000000001</v>
      </c>
      <c r="C69" s="111">
        <v>0.32929999999999998</v>
      </c>
      <c r="D69" s="92"/>
      <c r="E69" s="92"/>
      <c r="F69" s="92"/>
    </row>
    <row r="70" spans="1:6">
      <c r="A70" s="121" t="s">
        <v>127</v>
      </c>
      <c r="B70" s="111">
        <v>0.1169</v>
      </c>
      <c r="C70" s="111">
        <v>0.15479999999999999</v>
      </c>
      <c r="D70" s="92"/>
      <c r="E70" s="92"/>
      <c r="F70" s="92"/>
    </row>
    <row r="71" spans="1:6">
      <c r="A71" s="121" t="s">
        <v>156</v>
      </c>
      <c r="B71" s="111">
        <v>0.41260000000000002</v>
      </c>
      <c r="C71" s="111">
        <v>0.22939999999999999</v>
      </c>
      <c r="D71" s="111"/>
      <c r="E71" s="111"/>
      <c r="F71" s="92"/>
    </row>
    <row r="72" spans="1:6">
      <c r="A72" s="122" t="s">
        <v>157</v>
      </c>
      <c r="B72" s="111">
        <v>0.19850000000000001</v>
      </c>
      <c r="C72" s="111">
        <v>0.12459999999999999</v>
      </c>
      <c r="D72" s="92"/>
      <c r="E72" s="92"/>
      <c r="F72" s="92"/>
    </row>
    <row r="73" spans="1:6">
      <c r="A73" s="122" t="s">
        <v>128</v>
      </c>
      <c r="B73" s="111">
        <f>B68+B69+B70+B71+B72</f>
        <v>1</v>
      </c>
      <c r="C73" s="111">
        <f>C68+C69+C70+C71+C72</f>
        <v>1.0002</v>
      </c>
      <c r="D73" s="92"/>
      <c r="E73" s="92"/>
      <c r="F73" s="92"/>
    </row>
  </sheetData>
  <sortState ref="A47:F60">
    <sortCondition ref="E47:E60"/>
  </sortState>
  <mergeCells count="7">
    <mergeCell ref="A2:H2"/>
    <mergeCell ref="A37:H37"/>
    <mergeCell ref="A11:H11"/>
    <mergeCell ref="A36:H36"/>
    <mergeCell ref="A34:H34"/>
    <mergeCell ref="A13:H13"/>
    <mergeCell ref="A12:H12"/>
  </mergeCells>
  <pageMargins left="0.70866141732283472" right="0.70866141732283472" top="0.74803149606299213" bottom="0.74803149606299213"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2"/>
  <sheetViews>
    <sheetView workbookViewId="0">
      <selection activeCell="J37" sqref="J37"/>
    </sheetView>
  </sheetViews>
  <sheetFormatPr baseColWidth="10" defaultRowHeight="15"/>
  <cols>
    <col min="1" max="7" width="12.7109375" customWidth="1"/>
  </cols>
  <sheetData>
    <row r="1" spans="1:7" ht="11.1" customHeight="1">
      <c r="A1" s="2"/>
      <c r="B1" s="2"/>
      <c r="C1" s="2"/>
      <c r="D1" s="2"/>
      <c r="E1" s="2"/>
      <c r="F1" s="2"/>
      <c r="G1" s="2"/>
    </row>
    <row r="2" spans="1:7" ht="36" customHeight="1">
      <c r="A2" s="81" t="s">
        <v>25</v>
      </c>
      <c r="B2" s="81"/>
      <c r="C2" s="81"/>
      <c r="D2" s="81"/>
      <c r="E2" s="81"/>
      <c r="F2" s="81"/>
      <c r="G2" s="81"/>
    </row>
    <row r="3" spans="1:7" ht="21">
      <c r="A3" s="8"/>
      <c r="B3" s="8"/>
      <c r="C3" s="8"/>
      <c r="D3" s="8"/>
      <c r="E3" s="8"/>
      <c r="F3" s="8"/>
      <c r="G3" s="8"/>
    </row>
    <row r="4" spans="1:7">
      <c r="A4" s="2"/>
      <c r="B4" s="2"/>
      <c r="C4" s="2"/>
      <c r="D4" s="2"/>
      <c r="E4" s="2"/>
      <c r="F4" s="2"/>
      <c r="G4" s="2"/>
    </row>
    <row r="5" spans="1:7">
      <c r="A5" s="2"/>
      <c r="B5" s="2"/>
      <c r="C5" s="2"/>
      <c r="D5" s="2"/>
      <c r="E5" s="2"/>
      <c r="F5" s="2"/>
      <c r="G5" s="2"/>
    </row>
    <row r="6" spans="1:7">
      <c r="A6" s="2"/>
      <c r="B6" s="2"/>
      <c r="C6" s="2"/>
      <c r="D6" s="2"/>
      <c r="E6" s="2"/>
      <c r="F6" s="2"/>
      <c r="G6" s="2"/>
    </row>
    <row r="7" spans="1:7">
      <c r="A7" s="2"/>
      <c r="B7" s="2"/>
      <c r="C7" s="2"/>
      <c r="D7" s="2"/>
      <c r="E7" s="2"/>
      <c r="F7" s="2"/>
      <c r="G7" s="2"/>
    </row>
    <row r="8" spans="1:7">
      <c r="A8" s="2"/>
      <c r="B8" s="2"/>
      <c r="C8" s="2"/>
      <c r="D8" s="2"/>
      <c r="E8" s="2"/>
      <c r="F8" s="2"/>
      <c r="G8" s="2"/>
    </row>
    <row r="9" spans="1:7">
      <c r="A9" s="2"/>
      <c r="B9" s="2"/>
      <c r="C9" s="2"/>
      <c r="D9" s="2"/>
      <c r="E9" s="2"/>
      <c r="F9" s="2"/>
      <c r="G9" s="2"/>
    </row>
    <row r="10" spans="1:7">
      <c r="A10" s="2"/>
      <c r="B10" s="2"/>
      <c r="C10" s="2"/>
      <c r="D10" s="2"/>
      <c r="E10" s="2"/>
      <c r="F10" s="2"/>
      <c r="G10" s="2"/>
    </row>
    <row r="11" spans="1:7">
      <c r="A11" s="2"/>
      <c r="B11" s="2"/>
      <c r="C11" s="2"/>
      <c r="D11" s="2"/>
      <c r="E11" s="2"/>
      <c r="F11" s="2"/>
      <c r="G11" s="2"/>
    </row>
    <row r="12" spans="1:7">
      <c r="A12" s="2"/>
      <c r="B12" s="2"/>
      <c r="C12" s="2"/>
      <c r="D12" s="2"/>
      <c r="E12" s="2"/>
      <c r="F12" s="66"/>
      <c r="G12" s="2"/>
    </row>
    <row r="13" spans="1:7">
      <c r="A13" s="2"/>
      <c r="B13" s="2"/>
      <c r="C13" s="2"/>
      <c r="D13" s="2"/>
      <c r="E13" s="2"/>
      <c r="F13" s="2"/>
      <c r="G13" s="2"/>
    </row>
    <row r="14" spans="1:7" ht="48.75" customHeight="1">
      <c r="A14" s="80" t="s">
        <v>159</v>
      </c>
      <c r="B14" s="80"/>
      <c r="C14" s="80"/>
      <c r="D14" s="80"/>
      <c r="E14" s="80"/>
      <c r="F14" s="80"/>
      <c r="G14" s="80"/>
    </row>
    <row r="15" spans="1:7" ht="16.5">
      <c r="A15" s="3"/>
      <c r="B15" s="2"/>
      <c r="C15" s="2"/>
      <c r="D15" s="2"/>
      <c r="E15" s="2"/>
      <c r="F15" s="2"/>
      <c r="G15" s="2"/>
    </row>
    <row r="16" spans="1:7" ht="27" customHeight="1">
      <c r="A16" s="81" t="s">
        <v>3</v>
      </c>
      <c r="B16" s="88"/>
      <c r="C16" s="88"/>
      <c r="D16" s="88"/>
      <c r="E16" s="88"/>
      <c r="F16" s="88"/>
      <c r="G16" s="88"/>
    </row>
    <row r="17" spans="1:7" ht="21">
      <c r="A17" s="8"/>
      <c r="B17" s="8"/>
      <c r="C17" s="8"/>
      <c r="D17" s="8"/>
      <c r="E17" s="8"/>
      <c r="F17" s="8"/>
      <c r="G17" s="8"/>
    </row>
    <row r="18" spans="1:7">
      <c r="A18" s="2"/>
      <c r="B18" s="2"/>
      <c r="C18" s="2"/>
      <c r="D18" s="2"/>
      <c r="E18" s="2"/>
      <c r="F18" s="2"/>
      <c r="G18" s="2"/>
    </row>
    <row r="19" spans="1:7">
      <c r="A19" s="2"/>
      <c r="B19" s="2"/>
      <c r="C19" s="2"/>
      <c r="D19" s="2"/>
      <c r="E19" s="2"/>
      <c r="F19" s="2"/>
      <c r="G19" s="2"/>
    </row>
    <row r="20" spans="1:7">
      <c r="A20" s="2"/>
      <c r="B20" s="2"/>
      <c r="C20" s="2"/>
      <c r="D20" s="2"/>
      <c r="E20" s="2"/>
      <c r="F20" s="2"/>
      <c r="G20" s="2"/>
    </row>
    <row r="21" spans="1:7">
      <c r="A21" s="2"/>
      <c r="B21" s="2"/>
      <c r="C21" s="2"/>
      <c r="D21" s="2"/>
      <c r="E21" s="2"/>
      <c r="F21" s="2"/>
      <c r="G21" s="2"/>
    </row>
    <row r="22" spans="1:7">
      <c r="A22" s="2"/>
      <c r="B22" s="2"/>
      <c r="C22" s="2"/>
      <c r="D22" s="2"/>
      <c r="E22" s="2"/>
      <c r="F22" s="2"/>
      <c r="G22" s="2"/>
    </row>
    <row r="23" spans="1:7">
      <c r="A23" s="2"/>
      <c r="B23" s="2"/>
      <c r="C23" s="2"/>
      <c r="D23" s="2"/>
      <c r="E23" s="2"/>
      <c r="F23" s="2"/>
      <c r="G23" s="2"/>
    </row>
    <row r="24" spans="1:7">
      <c r="A24" s="2"/>
      <c r="B24" s="2"/>
      <c r="C24" s="2"/>
      <c r="D24" s="2"/>
      <c r="E24" s="2"/>
      <c r="F24" s="2"/>
      <c r="G24" s="2"/>
    </row>
    <row r="25" spans="1:7">
      <c r="A25" s="2"/>
      <c r="B25" s="2"/>
      <c r="C25" s="2"/>
      <c r="D25" s="2"/>
      <c r="E25" s="2"/>
      <c r="F25" s="2"/>
      <c r="G25" s="2"/>
    </row>
    <row r="26" spans="1:7">
      <c r="A26" s="2"/>
      <c r="B26" s="2"/>
      <c r="C26" s="2"/>
      <c r="D26" s="2"/>
      <c r="E26" s="2"/>
      <c r="F26" s="2"/>
      <c r="G26" s="2"/>
    </row>
    <row r="27" spans="1:7">
      <c r="A27" s="2"/>
      <c r="B27" s="2"/>
      <c r="C27" s="2"/>
      <c r="D27" s="2"/>
      <c r="E27" s="2"/>
      <c r="F27" s="2"/>
      <c r="G27" s="2"/>
    </row>
    <row r="28" spans="1:7" ht="27" customHeight="1">
      <c r="A28" s="89" t="s">
        <v>125</v>
      </c>
      <c r="B28" s="89"/>
      <c r="C28" s="89"/>
      <c r="D28" s="89"/>
      <c r="E28" s="89"/>
      <c r="F28" s="89"/>
      <c r="G28" s="89"/>
    </row>
    <row r="29" spans="1:7" ht="36.75" customHeight="1">
      <c r="A29" s="87" t="s">
        <v>145</v>
      </c>
      <c r="B29" s="87"/>
      <c r="C29" s="87"/>
      <c r="D29" s="87"/>
      <c r="E29" s="87"/>
      <c r="F29" s="87"/>
      <c r="G29" s="87"/>
    </row>
    <row r="30" spans="1:7" ht="13.5" customHeight="1">
      <c r="A30" s="46" t="s">
        <v>144</v>
      </c>
      <c r="B30" s="28"/>
      <c r="C30" s="28"/>
      <c r="D30" s="28"/>
      <c r="E30" s="28"/>
      <c r="F30" s="2"/>
      <c r="G30" s="2"/>
    </row>
    <row r="31" spans="1:7" ht="12" customHeight="1">
      <c r="A31" s="41" t="s">
        <v>114</v>
      </c>
      <c r="B31" s="30"/>
      <c r="C31" s="30"/>
      <c r="D31" s="30"/>
      <c r="E31" s="30"/>
      <c r="F31" s="30"/>
      <c r="G31" s="30"/>
    </row>
    <row r="32" spans="1:7" ht="12" customHeight="1">
      <c r="A32" s="42" t="s">
        <v>115</v>
      </c>
      <c r="B32" s="30"/>
      <c r="C32" s="30"/>
      <c r="D32" s="30"/>
      <c r="E32" s="30"/>
      <c r="F32" s="30"/>
      <c r="G32" s="30"/>
    </row>
    <row r="33" spans="1:7" ht="16.5">
      <c r="A33" s="31"/>
      <c r="B33" s="1"/>
      <c r="C33" s="1"/>
      <c r="D33" s="1"/>
      <c r="E33" s="1"/>
      <c r="F33" s="1"/>
      <c r="G33" s="1"/>
    </row>
    <row r="34" spans="1:7">
      <c r="A34" s="1"/>
      <c r="B34" s="1"/>
      <c r="C34" s="1"/>
      <c r="D34" s="1"/>
    </row>
    <row r="35" spans="1:7">
      <c r="A35" s="123" t="s">
        <v>163</v>
      </c>
      <c r="B35" s="124"/>
      <c r="C35" s="124"/>
      <c r="D35" s="124"/>
    </row>
    <row r="36" spans="1:7">
      <c r="A36" s="123"/>
      <c r="B36" s="124"/>
      <c r="C36" s="124"/>
      <c r="D36" s="124"/>
    </row>
    <row r="37" spans="1:7" ht="90">
      <c r="A37" s="125"/>
      <c r="B37" s="95" t="s">
        <v>147</v>
      </c>
      <c r="C37" s="95" t="s">
        <v>80</v>
      </c>
      <c r="D37" s="95" t="s">
        <v>81</v>
      </c>
      <c r="F37" s="1"/>
      <c r="G37" s="1"/>
    </row>
    <row r="38" spans="1:7">
      <c r="A38" s="124" t="s">
        <v>59</v>
      </c>
      <c r="B38" s="126">
        <v>0</v>
      </c>
      <c r="C38" s="126">
        <v>0</v>
      </c>
      <c r="D38" s="126">
        <v>0</v>
      </c>
      <c r="E38" s="4"/>
      <c r="F38" s="1"/>
      <c r="G38" s="1"/>
    </row>
    <row r="39" spans="1:7">
      <c r="A39" s="124" t="s">
        <v>3</v>
      </c>
      <c r="B39" s="126">
        <v>0.35468490153172899</v>
      </c>
      <c r="C39" s="126">
        <v>0.19999333890069701</v>
      </c>
      <c r="D39" s="126">
        <v>0.47173116205515297</v>
      </c>
      <c r="E39" s="4"/>
      <c r="F39" s="32"/>
      <c r="G39" s="32"/>
    </row>
    <row r="40" spans="1:7">
      <c r="A40" s="124" t="s">
        <v>60</v>
      </c>
      <c r="B40" s="126">
        <v>0.63999835886214396</v>
      </c>
      <c r="C40" s="126">
        <v>0.79573231865328498</v>
      </c>
      <c r="D40" s="126">
        <v>0.52093181551930701</v>
      </c>
      <c r="E40" s="4"/>
      <c r="F40" s="1"/>
      <c r="G40" s="1"/>
    </row>
    <row r="41" spans="1:7">
      <c r="A41" s="124" t="s">
        <v>47</v>
      </c>
      <c r="B41" s="126">
        <f>1-B39-B40</f>
        <v>5.3167396061269967E-3</v>
      </c>
      <c r="C41" s="126">
        <f t="shared" ref="C41:D41" si="0">1-C39-C40</f>
        <v>4.2743424460179869E-3</v>
      </c>
      <c r="D41" s="126">
        <f t="shared" si="0"/>
        <v>7.3370224255400185E-3</v>
      </c>
      <c r="E41" s="5"/>
      <c r="F41" s="33"/>
      <c r="G41" s="1"/>
    </row>
    <row r="42" spans="1:7" ht="90">
      <c r="A42" s="127"/>
      <c r="B42" s="128" t="s">
        <v>147</v>
      </c>
      <c r="C42" s="128" t="s">
        <v>80</v>
      </c>
      <c r="D42" s="128" t="s">
        <v>81</v>
      </c>
      <c r="F42" s="1"/>
      <c r="G42" s="1"/>
    </row>
    <row r="43" spans="1:7">
      <c r="A43" s="92" t="s">
        <v>62</v>
      </c>
      <c r="B43" s="129">
        <v>0.32157248358862101</v>
      </c>
      <c r="C43" s="129">
        <v>0.186861516156661</v>
      </c>
      <c r="D43" s="129">
        <v>0.45340277742272</v>
      </c>
      <c r="F43" s="1"/>
      <c r="G43" s="1"/>
    </row>
    <row r="44" spans="1:7">
      <c r="A44" s="92" t="s">
        <v>123</v>
      </c>
      <c r="B44" s="129">
        <v>4.9221570021881801E-2</v>
      </c>
      <c r="C44" s="129">
        <v>3.3559618826130601E-2</v>
      </c>
      <c r="D44" s="129">
        <v>5.17404518452537E-2</v>
      </c>
      <c r="F44" s="1"/>
      <c r="G44" s="1"/>
    </row>
    <row r="45" spans="1:7">
      <c r="A45" s="92" t="s">
        <v>124</v>
      </c>
      <c r="B45" s="129">
        <v>2.2938605032822801E-2</v>
      </c>
      <c r="C45" s="129">
        <v>1.7706092836261799E-2</v>
      </c>
      <c r="D45" s="129">
        <v>2.21202817747389E-2</v>
      </c>
    </row>
    <row r="46" spans="1:7">
      <c r="A46" s="92" t="s">
        <v>61</v>
      </c>
      <c r="B46" s="129">
        <v>0.60431400437636795</v>
      </c>
      <c r="C46" s="129">
        <v>0.761872689945153</v>
      </c>
      <c r="D46" s="129">
        <v>0.46876783238453301</v>
      </c>
    </row>
    <row r="47" spans="1:7">
      <c r="A47" s="92" t="s">
        <v>47</v>
      </c>
      <c r="B47" s="129">
        <f>1-B43-B45-B46-B44</f>
        <v>1.9533369803064957E-3</v>
      </c>
      <c r="C47" s="129">
        <f t="shared" ref="C47:D47" si="1">1-C43-C45-C46-C44</f>
        <v>8.2235793584517491E-8</v>
      </c>
      <c r="D47" s="129">
        <f t="shared" si="1"/>
        <v>3.9686565727543241E-3</v>
      </c>
    </row>
    <row r="48" spans="1:7">
      <c r="A48" s="1"/>
      <c r="B48" s="1"/>
      <c r="C48" s="1"/>
      <c r="D48" s="4"/>
    </row>
    <row r="49" spans="1:4">
      <c r="A49" s="1"/>
      <c r="B49" s="1"/>
      <c r="C49" s="1"/>
      <c r="D49" s="4"/>
    </row>
    <row r="50" spans="1:4">
      <c r="A50" s="1"/>
      <c r="B50" s="1"/>
      <c r="C50" s="1"/>
      <c r="D50" s="7"/>
    </row>
    <row r="51" spans="1:4">
      <c r="A51" s="1"/>
      <c r="B51" s="1"/>
      <c r="C51" s="1"/>
      <c r="D51" s="1"/>
    </row>
    <row r="52" spans="1:4">
      <c r="A52" s="1"/>
      <c r="B52" s="1"/>
      <c r="C52" s="1"/>
      <c r="D52" s="1"/>
    </row>
  </sheetData>
  <mergeCells count="5">
    <mergeCell ref="A2:G2"/>
    <mergeCell ref="A14:G14"/>
    <mergeCell ref="A16:G16"/>
    <mergeCell ref="A28:G28"/>
    <mergeCell ref="A29:G29"/>
  </mergeCells>
  <pageMargins left="0.70866141732283472" right="0.70866141732283472" top="0.74803149606299213" bottom="0.74803149606299213"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6"/>
  <sheetViews>
    <sheetView workbookViewId="0">
      <selection activeCell="L67" sqref="L67"/>
    </sheetView>
  </sheetViews>
  <sheetFormatPr baseColWidth="10" defaultRowHeight="15"/>
  <cols>
    <col min="1" max="1" width="11.42578125" customWidth="1"/>
    <col min="2" max="2" width="12.28515625" style="9" customWidth="1"/>
    <col min="4" max="4" width="11.5703125" customWidth="1"/>
    <col min="8" max="8" width="11.42578125" customWidth="1"/>
  </cols>
  <sheetData>
    <row r="1" spans="1:8" ht="11.1" customHeight="1">
      <c r="A1" s="2"/>
      <c r="B1" s="12"/>
      <c r="C1" s="2"/>
      <c r="D1" s="2"/>
      <c r="E1" s="2"/>
      <c r="F1" s="2"/>
      <c r="G1" s="2"/>
      <c r="H1" s="2"/>
    </row>
    <row r="2" spans="1:8" s="10" customFormat="1" ht="43.5" customHeight="1">
      <c r="A2" s="90" t="s">
        <v>136</v>
      </c>
      <c r="B2" s="90"/>
      <c r="C2" s="90"/>
      <c r="D2" s="90"/>
      <c r="E2" s="90"/>
      <c r="F2" s="90"/>
      <c r="G2" s="90"/>
      <c r="H2" s="90"/>
    </row>
    <row r="3" spans="1:8">
      <c r="A3" s="2"/>
      <c r="B3" s="11"/>
      <c r="C3" s="2"/>
      <c r="D3" s="2"/>
      <c r="E3" s="2"/>
      <c r="F3" s="2"/>
      <c r="G3" s="2"/>
      <c r="H3" s="2"/>
    </row>
    <row r="4" spans="1:8">
      <c r="A4" s="2"/>
      <c r="B4" s="12"/>
      <c r="C4" s="2"/>
      <c r="D4" s="2"/>
      <c r="E4" s="2"/>
      <c r="F4" s="2"/>
      <c r="G4" s="2"/>
      <c r="H4" s="2"/>
    </row>
    <row r="5" spans="1:8">
      <c r="A5" s="2"/>
      <c r="B5" s="12"/>
      <c r="C5" s="2"/>
      <c r="D5" s="2"/>
      <c r="E5" s="2"/>
      <c r="F5" s="2"/>
      <c r="G5" s="2"/>
      <c r="H5" s="2"/>
    </row>
    <row r="6" spans="1:8">
      <c r="A6" s="2"/>
      <c r="B6" s="12"/>
      <c r="C6" s="2"/>
      <c r="D6" s="2"/>
      <c r="E6" s="2"/>
      <c r="F6" s="2"/>
      <c r="G6" s="2"/>
      <c r="H6" s="2"/>
    </row>
    <row r="7" spans="1:8">
      <c r="A7" s="2"/>
      <c r="B7" s="12"/>
      <c r="C7" s="2"/>
      <c r="D7" s="2"/>
      <c r="E7" s="2"/>
      <c r="F7" s="2"/>
      <c r="G7" s="2"/>
      <c r="H7" s="2"/>
    </row>
    <row r="8" spans="1:8">
      <c r="A8" s="2"/>
      <c r="B8" s="12"/>
      <c r="C8" s="2"/>
      <c r="D8" s="2"/>
      <c r="E8" s="2"/>
      <c r="F8" s="2"/>
      <c r="G8" s="2"/>
      <c r="H8" s="2"/>
    </row>
    <row r="9" spans="1:8">
      <c r="A9" s="2"/>
      <c r="B9" s="12"/>
      <c r="C9" s="2"/>
      <c r="D9" s="2"/>
      <c r="E9" s="2"/>
      <c r="F9" s="2"/>
      <c r="G9" s="2"/>
      <c r="H9" s="2"/>
    </row>
    <row r="10" spans="1:8">
      <c r="A10" s="2"/>
      <c r="B10" s="12"/>
      <c r="C10" s="2"/>
      <c r="D10" s="2"/>
      <c r="E10" s="2"/>
      <c r="F10" s="2"/>
      <c r="G10" s="2"/>
      <c r="H10" s="2"/>
    </row>
    <row r="11" spans="1:8">
      <c r="A11" s="2"/>
      <c r="B11" s="12"/>
      <c r="C11" s="2"/>
      <c r="D11" s="2"/>
      <c r="E11" s="2"/>
      <c r="F11" s="2"/>
      <c r="G11" s="2"/>
      <c r="H11" s="2"/>
    </row>
    <row r="12" spans="1:8">
      <c r="A12" s="2"/>
      <c r="B12" s="12"/>
      <c r="C12" s="2"/>
      <c r="D12" s="2"/>
      <c r="E12" s="2"/>
      <c r="F12" s="2"/>
      <c r="G12" s="2"/>
      <c r="H12" s="2"/>
    </row>
    <row r="13" spans="1:8">
      <c r="A13" s="2"/>
      <c r="B13" s="12"/>
      <c r="C13" s="2"/>
      <c r="D13" s="2"/>
      <c r="E13" s="2"/>
      <c r="F13" s="2"/>
      <c r="G13" s="2"/>
      <c r="H13" s="2"/>
    </row>
    <row r="14" spans="1:8">
      <c r="A14" s="2"/>
      <c r="B14" s="12"/>
      <c r="C14" s="2"/>
      <c r="D14" s="2"/>
      <c r="E14" s="2"/>
      <c r="F14" s="2"/>
      <c r="G14" s="2"/>
      <c r="H14" s="2"/>
    </row>
    <row r="15" spans="1:8">
      <c r="A15" s="16"/>
      <c r="B15" s="15"/>
      <c r="C15" s="15"/>
      <c r="D15" s="15"/>
      <c r="E15" s="15"/>
      <c r="F15" s="15"/>
      <c r="G15" s="15"/>
      <c r="H15" s="2"/>
    </row>
    <row r="16" spans="1:8">
      <c r="A16" s="2"/>
      <c r="B16" s="11"/>
      <c r="C16" s="2"/>
      <c r="D16" s="2"/>
      <c r="E16" s="2"/>
      <c r="F16" s="2"/>
      <c r="G16" s="2"/>
      <c r="H16" s="2"/>
    </row>
    <row r="17" spans="1:8">
      <c r="A17" s="2"/>
      <c r="B17" s="12"/>
      <c r="C17" s="2"/>
      <c r="D17" s="2"/>
      <c r="E17" s="2"/>
      <c r="F17" s="2"/>
      <c r="G17" s="2"/>
      <c r="H17" s="2"/>
    </row>
    <row r="18" spans="1:8">
      <c r="A18" s="2"/>
      <c r="B18" s="12"/>
      <c r="C18" s="2"/>
      <c r="D18" s="2"/>
      <c r="E18" s="2"/>
      <c r="F18" s="2"/>
      <c r="G18" s="2"/>
      <c r="H18" s="2"/>
    </row>
    <row r="19" spans="1:8">
      <c r="A19" s="2"/>
      <c r="B19" s="12"/>
      <c r="C19" s="2"/>
      <c r="D19" s="2"/>
      <c r="E19" s="2"/>
      <c r="F19" s="2"/>
      <c r="G19" s="2"/>
      <c r="H19" s="2"/>
    </row>
    <row r="20" spans="1:8">
      <c r="A20" s="2"/>
      <c r="B20" s="12"/>
      <c r="C20" s="2"/>
      <c r="D20" s="2"/>
      <c r="E20" s="2"/>
      <c r="F20" s="2"/>
      <c r="G20" s="2"/>
      <c r="H20" s="2"/>
    </row>
    <row r="21" spans="1:8">
      <c r="A21" s="2"/>
      <c r="B21" s="12"/>
      <c r="C21" s="2"/>
      <c r="D21" s="2"/>
      <c r="E21" s="2"/>
      <c r="F21" s="2"/>
      <c r="G21" s="2"/>
      <c r="H21" s="2"/>
    </row>
    <row r="22" spans="1:8">
      <c r="A22" s="2"/>
      <c r="B22" s="12"/>
      <c r="C22" s="2"/>
      <c r="D22" s="2"/>
      <c r="E22" s="2"/>
      <c r="F22" s="2"/>
      <c r="G22" s="2"/>
      <c r="H22" s="2"/>
    </row>
    <row r="23" spans="1:8">
      <c r="A23" s="2"/>
      <c r="B23" s="12"/>
      <c r="C23" s="2"/>
      <c r="D23" s="2"/>
      <c r="E23" s="2"/>
      <c r="F23" s="2"/>
      <c r="G23" s="2"/>
      <c r="H23" s="2"/>
    </row>
    <row r="24" spans="1:8">
      <c r="A24" s="82" t="s">
        <v>137</v>
      </c>
      <c r="B24" s="82"/>
      <c r="C24" s="82"/>
      <c r="D24" s="82"/>
      <c r="E24" s="82"/>
      <c r="F24" s="82"/>
      <c r="G24" s="82"/>
      <c r="H24" s="82"/>
    </row>
    <row r="25" spans="1:8" ht="40.5" customHeight="1">
      <c r="A25" s="82"/>
      <c r="B25" s="82"/>
      <c r="C25" s="82"/>
      <c r="D25" s="82"/>
      <c r="E25" s="82"/>
      <c r="F25" s="82"/>
      <c r="G25" s="82"/>
      <c r="H25" s="82"/>
    </row>
    <row r="26" spans="1:8">
      <c r="A26" s="2"/>
      <c r="B26" s="12"/>
      <c r="C26" s="2"/>
      <c r="D26" s="2"/>
      <c r="E26" s="2"/>
      <c r="F26" s="2"/>
      <c r="G26" s="2"/>
      <c r="H26" s="2"/>
    </row>
    <row r="27" spans="1:8">
      <c r="A27" s="2"/>
      <c r="B27" s="12"/>
      <c r="C27" s="2"/>
      <c r="D27" s="2"/>
      <c r="E27" s="2"/>
      <c r="F27" s="2"/>
      <c r="G27" s="2"/>
      <c r="H27" s="2"/>
    </row>
    <row r="28" spans="1:8">
      <c r="A28" s="2"/>
      <c r="B28" s="12"/>
      <c r="C28" s="2"/>
      <c r="D28" s="2"/>
      <c r="E28" s="2"/>
      <c r="F28" s="2"/>
      <c r="G28" s="2"/>
      <c r="H28" s="2"/>
    </row>
    <row r="29" spans="1:8">
      <c r="A29" s="2"/>
      <c r="B29" s="12"/>
      <c r="C29" s="2"/>
      <c r="D29" s="2"/>
      <c r="E29" s="2"/>
      <c r="F29" s="2"/>
      <c r="G29" s="2"/>
      <c r="H29" s="2"/>
    </row>
    <row r="30" spans="1:8">
      <c r="A30" s="2"/>
      <c r="B30" s="12"/>
      <c r="C30" s="2"/>
      <c r="D30" s="2"/>
      <c r="E30" s="2"/>
      <c r="F30" s="2"/>
      <c r="G30" s="2"/>
      <c r="H30" s="2"/>
    </row>
    <row r="31" spans="1:8">
      <c r="A31" s="2"/>
      <c r="B31" s="12"/>
      <c r="C31" s="2"/>
      <c r="D31" s="2"/>
      <c r="E31" s="2"/>
      <c r="F31" s="2"/>
      <c r="G31" s="2"/>
      <c r="H31" s="2"/>
    </row>
    <row r="32" spans="1:8">
      <c r="A32" s="2"/>
      <c r="B32" s="12"/>
      <c r="C32" s="2"/>
      <c r="D32" s="2"/>
      <c r="E32" s="2"/>
      <c r="F32" s="2"/>
      <c r="G32" s="2"/>
      <c r="H32" s="2"/>
    </row>
    <row r="33" spans="1:9">
      <c r="A33" s="2"/>
      <c r="B33" s="12"/>
      <c r="C33" s="2"/>
      <c r="D33" s="2"/>
      <c r="E33" s="2"/>
      <c r="F33" s="2"/>
      <c r="G33" s="2"/>
      <c r="H33" s="2"/>
    </row>
    <row r="34" spans="1:9">
      <c r="A34" s="2"/>
      <c r="B34" s="12"/>
      <c r="C34" s="2"/>
      <c r="D34" s="2"/>
      <c r="E34" s="2"/>
      <c r="F34" s="2"/>
      <c r="G34" s="2"/>
      <c r="H34" s="2"/>
    </row>
    <row r="35" spans="1:9">
      <c r="A35" s="2"/>
      <c r="B35" s="12"/>
      <c r="C35" s="2"/>
      <c r="D35" s="2" t="s">
        <v>14</v>
      </c>
      <c r="E35" s="2"/>
      <c r="F35" s="2"/>
      <c r="G35" s="2"/>
      <c r="H35" s="2"/>
    </row>
    <row r="36" spans="1:9">
      <c r="A36" s="2"/>
      <c r="B36" s="12"/>
      <c r="C36" s="2"/>
      <c r="D36" s="2"/>
      <c r="E36" s="2"/>
      <c r="F36" s="2"/>
      <c r="G36" s="2"/>
      <c r="H36" s="2"/>
    </row>
    <row r="37" spans="1:9">
      <c r="A37" s="48" t="s">
        <v>154</v>
      </c>
      <c r="B37" s="12"/>
      <c r="C37" s="2"/>
      <c r="D37" s="2"/>
      <c r="E37" s="2"/>
      <c r="F37" s="2"/>
      <c r="G37" s="2"/>
      <c r="H37" s="2"/>
    </row>
    <row r="38" spans="1:9" ht="15" customHeight="1">
      <c r="A38" s="80" t="s">
        <v>135</v>
      </c>
      <c r="B38" s="80"/>
      <c r="C38" s="80"/>
      <c r="D38" s="80"/>
      <c r="E38" s="2"/>
      <c r="F38" s="2"/>
      <c r="G38" s="2"/>
      <c r="H38" s="2"/>
    </row>
    <row r="39" spans="1:9" ht="12" customHeight="1">
      <c r="A39" s="80"/>
      <c r="B39" s="80"/>
      <c r="C39" s="80"/>
      <c r="D39" s="80"/>
      <c r="E39" s="2"/>
      <c r="F39" s="2"/>
      <c r="G39" s="2"/>
      <c r="H39" s="2"/>
    </row>
    <row r="40" spans="1:9" ht="10.5" customHeight="1">
      <c r="A40" s="80"/>
      <c r="B40" s="80"/>
      <c r="C40" s="80"/>
      <c r="D40" s="80"/>
      <c r="E40" s="34"/>
      <c r="F40" s="34"/>
      <c r="G40" s="34"/>
      <c r="H40" s="2"/>
    </row>
    <row r="41" spans="1:9" ht="26.25" customHeight="1">
      <c r="A41" s="80"/>
      <c r="B41" s="80"/>
      <c r="C41" s="80"/>
      <c r="D41" s="80"/>
      <c r="E41" s="73"/>
      <c r="F41" s="73"/>
      <c r="G41" s="73"/>
      <c r="H41" s="73"/>
    </row>
    <row r="42" spans="1:9" ht="12" customHeight="1">
      <c r="A42" s="41" t="s">
        <v>131</v>
      </c>
      <c r="B42" s="47"/>
      <c r="C42" s="34"/>
      <c r="D42" s="34"/>
      <c r="E42" s="34"/>
      <c r="F42" s="34"/>
      <c r="G42" s="34"/>
      <c r="H42" s="2"/>
    </row>
    <row r="43" spans="1:9" ht="12" customHeight="1">
      <c r="A43" s="42" t="s">
        <v>115</v>
      </c>
      <c r="B43" s="35"/>
      <c r="C43" s="34"/>
      <c r="D43" s="34"/>
      <c r="E43" s="34"/>
      <c r="F43" s="34"/>
      <c r="G43" s="34"/>
      <c r="H43" s="2"/>
    </row>
    <row r="47" spans="1:9">
      <c r="A47" s="98" t="s">
        <v>2</v>
      </c>
      <c r="B47" s="127"/>
      <c r="C47" s="130"/>
      <c r="D47" s="92"/>
      <c r="E47" s="93"/>
      <c r="F47" s="93"/>
      <c r="G47" s="93"/>
      <c r="H47" s="1"/>
      <c r="I47" s="1"/>
    </row>
    <row r="48" spans="1:9">
      <c r="A48" s="98"/>
      <c r="B48" s="98" t="s">
        <v>45</v>
      </c>
      <c r="C48" s="107" t="s">
        <v>63</v>
      </c>
      <c r="D48" s="94" t="s">
        <v>64</v>
      </c>
      <c r="E48" s="93"/>
      <c r="F48" s="94" t="s">
        <v>83</v>
      </c>
      <c r="G48" s="94" t="s">
        <v>82</v>
      </c>
      <c r="H48" s="36"/>
      <c r="I48" s="1"/>
    </row>
    <row r="49" spans="1:11">
      <c r="A49" s="98"/>
      <c r="B49" s="131" t="s">
        <v>84</v>
      </c>
      <c r="C49" s="131"/>
      <c r="D49" s="132"/>
      <c r="E49" s="133"/>
      <c r="F49" s="134">
        <v>1.28452490102334E-2</v>
      </c>
      <c r="G49" s="134">
        <v>1.04168503084282E-2</v>
      </c>
      <c r="H49" s="49"/>
      <c r="I49" s="1"/>
    </row>
    <row r="50" spans="1:11" ht="24">
      <c r="A50" s="131" t="s">
        <v>87</v>
      </c>
      <c r="B50" s="142" t="s">
        <v>7</v>
      </c>
      <c r="C50" s="135">
        <v>2.41800869520719E-2</v>
      </c>
      <c r="D50" s="135">
        <v>3.7664489106992202E-2</v>
      </c>
      <c r="E50" s="136"/>
      <c r="F50" s="137">
        <v>1.9774218409629899E-2</v>
      </c>
      <c r="G50" s="133">
        <v>1.38218746677697E-2</v>
      </c>
      <c r="H50" s="49"/>
      <c r="I50" s="1"/>
    </row>
    <row r="51" spans="1:11" ht="24">
      <c r="A51" s="138">
        <v>2</v>
      </c>
      <c r="B51" s="142" t="s">
        <v>8</v>
      </c>
      <c r="C51" s="135">
        <v>2.0314869103387E-2</v>
      </c>
      <c r="D51" s="135">
        <v>2.4031278389773199E-2</v>
      </c>
      <c r="E51" s="136"/>
      <c r="F51" s="137">
        <v>1.04866565557819E-2</v>
      </c>
      <c r="G51" s="133">
        <v>9.9047360724118204E-3</v>
      </c>
      <c r="H51" s="49"/>
      <c r="I51" s="1"/>
    </row>
    <row r="52" spans="1:11">
      <c r="A52" s="138">
        <v>3</v>
      </c>
      <c r="B52" s="142" t="s">
        <v>9</v>
      </c>
      <c r="C52" s="135">
        <v>2.7211581779695002E-2</v>
      </c>
      <c r="D52" s="135">
        <v>3.4314135817526001E-2</v>
      </c>
      <c r="E52" s="136"/>
      <c r="F52" s="137">
        <v>1.30617686448817E-2</v>
      </c>
      <c r="G52" s="133">
        <v>1.7923894441913901E-2</v>
      </c>
      <c r="H52" s="49"/>
      <c r="I52" s="1"/>
    </row>
    <row r="53" spans="1:11">
      <c r="A53" s="138">
        <v>4</v>
      </c>
      <c r="B53" s="142" t="s">
        <v>10</v>
      </c>
      <c r="C53" s="135">
        <v>1.93654459231998E-2</v>
      </c>
      <c r="D53" s="135">
        <v>2.27514737512379E-2</v>
      </c>
      <c r="E53" s="136"/>
      <c r="F53" s="137">
        <v>1.09202449048916E-2</v>
      </c>
      <c r="G53" s="133">
        <v>1.00012312172287E-2</v>
      </c>
      <c r="H53" s="49"/>
      <c r="I53" s="1"/>
    </row>
    <row r="54" spans="1:11">
      <c r="A54" s="138">
        <v>5</v>
      </c>
      <c r="B54" s="142" t="s">
        <v>11</v>
      </c>
      <c r="C54" s="135">
        <v>1.8229724041208002E-2</v>
      </c>
      <c r="D54" s="135">
        <v>2.05539033660368E-2</v>
      </c>
      <c r="E54" s="136"/>
      <c r="F54" s="137">
        <v>1.0922605203179199E-2</v>
      </c>
      <c r="G54" s="133">
        <v>8.2786091923887899E-3</v>
      </c>
      <c r="H54" s="49"/>
      <c r="I54" s="1"/>
    </row>
    <row r="55" spans="1:11">
      <c r="A55" s="138">
        <v>6</v>
      </c>
      <c r="B55" s="142" t="s">
        <v>12</v>
      </c>
      <c r="C55" s="135">
        <v>1.7071459412780699E-2</v>
      </c>
      <c r="D55" s="135">
        <v>1.9447475723940399E-2</v>
      </c>
      <c r="E55" s="136"/>
      <c r="F55" s="137">
        <v>1.05181464980444E-2</v>
      </c>
      <c r="G55" s="133">
        <v>6.2825278514667196E-3</v>
      </c>
      <c r="H55" s="49"/>
      <c r="I55" s="1"/>
    </row>
    <row r="56" spans="1:11">
      <c r="A56" s="138">
        <v>7</v>
      </c>
      <c r="B56" s="142" t="s">
        <v>65</v>
      </c>
      <c r="C56" s="135">
        <v>1.9124674045947102E-2</v>
      </c>
      <c r="D56" s="135">
        <v>2.2720176266776599E-2</v>
      </c>
      <c r="E56" s="136"/>
      <c r="F56" s="137">
        <v>9.4774393716709707E-3</v>
      </c>
      <c r="G56" s="133">
        <v>1.07390333049277E-2</v>
      </c>
      <c r="H56" s="49"/>
      <c r="I56" s="1"/>
    </row>
    <row r="57" spans="1:11">
      <c r="A57" s="138">
        <v>8</v>
      </c>
      <c r="B57" s="142" t="s">
        <v>13</v>
      </c>
      <c r="C57" s="135">
        <v>2.6008315786137701E-2</v>
      </c>
      <c r="D57" s="135">
        <v>3.1274788953927997E-2</v>
      </c>
      <c r="E57" s="136"/>
      <c r="F57" s="137">
        <v>1.7578834440308298E-2</v>
      </c>
      <c r="G57" s="133">
        <v>1.05236175958839E-2</v>
      </c>
      <c r="H57" s="49"/>
      <c r="I57" s="1"/>
    </row>
    <row r="58" spans="1:11" ht="24">
      <c r="A58" s="131" t="s">
        <v>86</v>
      </c>
      <c r="B58" s="142" t="s">
        <v>22</v>
      </c>
      <c r="C58" s="139">
        <v>1.16627943865179E-2</v>
      </c>
      <c r="D58" s="135">
        <v>1.2450632416820699E-2</v>
      </c>
      <c r="E58" s="136"/>
      <c r="F58" s="137">
        <v>6.43949505890012E-3</v>
      </c>
      <c r="G58" s="133">
        <v>4.8703765768735802E-3</v>
      </c>
      <c r="H58" s="49"/>
      <c r="I58" s="13"/>
      <c r="J58" s="13"/>
      <c r="K58" s="13"/>
    </row>
    <row r="59" spans="1:11" ht="24">
      <c r="A59" s="138">
        <v>1</v>
      </c>
      <c r="B59" s="142" t="s">
        <v>130</v>
      </c>
      <c r="C59" s="139">
        <v>1.5395234234459E-2</v>
      </c>
      <c r="D59" s="135">
        <v>1.7366173151331699E-2</v>
      </c>
      <c r="E59" s="136"/>
      <c r="F59" s="137">
        <v>8.19256229742228E-3</v>
      </c>
      <c r="G59" s="133">
        <v>7.6473128931657704E-3</v>
      </c>
      <c r="H59" s="49"/>
      <c r="I59" s="13"/>
      <c r="J59" s="13"/>
      <c r="K59" s="13"/>
    </row>
    <row r="60" spans="1:11" ht="24">
      <c r="A60" s="138">
        <v>2</v>
      </c>
      <c r="B60" s="142" t="s">
        <v>66</v>
      </c>
      <c r="C60" s="139">
        <v>2.11571424959692E-2</v>
      </c>
      <c r="D60" s="135">
        <v>2.5496072670823301E-2</v>
      </c>
      <c r="E60" s="136"/>
      <c r="F60" s="137">
        <v>1.2382733495863199E-2</v>
      </c>
      <c r="G60" s="133">
        <v>9.1702732320010309E-3</v>
      </c>
      <c r="H60" s="49"/>
      <c r="I60" s="13"/>
      <c r="J60" s="13"/>
      <c r="K60" s="13"/>
    </row>
    <row r="61" spans="1:11" ht="24">
      <c r="A61" s="138">
        <v>3</v>
      </c>
      <c r="B61" s="142" t="s">
        <v>67</v>
      </c>
      <c r="C61" s="139">
        <v>2.8861481197708101E-2</v>
      </c>
      <c r="D61" s="135">
        <v>3.6792037242142403E-2</v>
      </c>
      <c r="E61" s="136"/>
      <c r="F61" s="137">
        <v>1.7472379598255001E-2</v>
      </c>
      <c r="G61" s="133">
        <v>1.55704017259262E-2</v>
      </c>
      <c r="H61" s="49"/>
      <c r="I61" s="13"/>
      <c r="J61" s="13"/>
      <c r="K61" s="13"/>
    </row>
    <row r="62" spans="1:11" ht="24">
      <c r="A62" s="138">
        <v>4</v>
      </c>
      <c r="B62" s="142" t="s">
        <v>15</v>
      </c>
      <c r="C62" s="139">
        <v>2.5338992128793501E-2</v>
      </c>
      <c r="D62" s="135">
        <v>4.1109817129566399E-2</v>
      </c>
      <c r="E62" s="136"/>
      <c r="F62" s="137">
        <v>2.1586164688344699E-2</v>
      </c>
      <c r="G62" s="133">
        <v>1.48072128415401E-2</v>
      </c>
      <c r="H62" s="49"/>
      <c r="I62" s="13"/>
      <c r="J62" s="13"/>
      <c r="K62" s="13"/>
    </row>
    <row r="63" spans="1:11" ht="48">
      <c r="A63" s="131" t="s">
        <v>88</v>
      </c>
      <c r="B63" s="143" t="s">
        <v>68</v>
      </c>
      <c r="C63" s="135">
        <v>1.50233229644496E-2</v>
      </c>
      <c r="D63" s="135">
        <v>1.5869252612094799E-2</v>
      </c>
      <c r="E63" s="133"/>
      <c r="F63" s="133">
        <v>7.9681690557192493E-3</v>
      </c>
      <c r="G63" s="133">
        <v>6.1110682790146203E-3</v>
      </c>
      <c r="H63" s="49"/>
    </row>
    <row r="64" spans="1:11" ht="24">
      <c r="A64" s="140">
        <v>2</v>
      </c>
      <c r="B64" s="143" t="s">
        <v>16</v>
      </c>
      <c r="C64" s="135">
        <v>2.6174510329595699E-2</v>
      </c>
      <c r="D64" s="135">
        <v>2.9254840043865402E-2</v>
      </c>
      <c r="E64" s="133"/>
      <c r="F64" s="133">
        <v>1.4719513429931099E-2</v>
      </c>
      <c r="G64" s="133">
        <v>1.12294440792804E-2</v>
      </c>
      <c r="H64" s="49"/>
    </row>
    <row r="65" spans="1:8" ht="36">
      <c r="A65" s="140">
        <v>3</v>
      </c>
      <c r="B65" s="143" t="s">
        <v>69</v>
      </c>
      <c r="C65" s="135">
        <v>2.5191482511819401E-2</v>
      </c>
      <c r="D65" s="135">
        <v>3.5438072244206101E-2</v>
      </c>
      <c r="E65" s="133"/>
      <c r="F65" s="133">
        <v>1.6151187065762799E-2</v>
      </c>
      <c r="G65" s="133">
        <v>1.61985215577687E-2</v>
      </c>
      <c r="H65" s="49"/>
    </row>
    <row r="66" spans="1:8" ht="60">
      <c r="A66" s="140">
        <v>4</v>
      </c>
      <c r="B66" s="143" t="s">
        <v>70</v>
      </c>
      <c r="C66" s="135">
        <v>2.41441984657427E-2</v>
      </c>
      <c r="D66" s="135">
        <v>3.7548216190771901E-2</v>
      </c>
      <c r="E66" s="133"/>
      <c r="F66" s="133">
        <v>1.8509620968713499E-2</v>
      </c>
      <c r="G66" s="133">
        <v>1.47838354592046E-2</v>
      </c>
      <c r="H66" s="49"/>
    </row>
    <row r="67" spans="1:8" ht="60">
      <c r="A67" s="131" t="s">
        <v>89</v>
      </c>
      <c r="B67" s="142" t="s">
        <v>17</v>
      </c>
      <c r="C67" s="137">
        <v>1.07513233500602E-2</v>
      </c>
      <c r="D67" s="135">
        <v>1.1425928579542E-2</v>
      </c>
      <c r="E67" s="133"/>
      <c r="F67" s="133">
        <v>5.7669551061012899E-3</v>
      </c>
      <c r="G67" s="133">
        <v>4.9798177545351298E-3</v>
      </c>
      <c r="H67" s="49"/>
    </row>
    <row r="68" spans="1:8" ht="48">
      <c r="A68" s="140">
        <v>2</v>
      </c>
      <c r="B68" s="142" t="s">
        <v>18</v>
      </c>
      <c r="C68" s="137">
        <v>2.2278043511931401E-2</v>
      </c>
      <c r="D68" s="135">
        <v>2.4192971354075301E-2</v>
      </c>
      <c r="E68" s="133"/>
      <c r="F68" s="133">
        <v>1.20343732361802E-2</v>
      </c>
      <c r="G68" s="133">
        <v>9.1284676411875505E-3</v>
      </c>
      <c r="H68" s="49"/>
    </row>
    <row r="69" spans="1:8" ht="24">
      <c r="A69" s="140">
        <v>3</v>
      </c>
      <c r="B69" s="142" t="s">
        <v>19</v>
      </c>
      <c r="C69" s="137">
        <v>2.2892670892572398E-2</v>
      </c>
      <c r="D69" s="135">
        <v>3.5325663002740502E-2</v>
      </c>
      <c r="E69" s="133"/>
      <c r="F69" s="133">
        <v>1.7141014369578898E-2</v>
      </c>
      <c r="G69" s="133">
        <v>1.4006632883529E-2</v>
      </c>
      <c r="H69" s="49"/>
    </row>
    <row r="70" spans="1:8" ht="48">
      <c r="A70" s="140">
        <v>4</v>
      </c>
      <c r="B70" s="142" t="s">
        <v>20</v>
      </c>
      <c r="C70" s="137">
        <v>2.5540573051890701E-2</v>
      </c>
      <c r="D70" s="135">
        <v>3.83208514186223E-2</v>
      </c>
      <c r="E70" s="133"/>
      <c r="F70" s="133">
        <v>1.9999885562013101E-2</v>
      </c>
      <c r="G70" s="133">
        <v>1.55260943132495E-2</v>
      </c>
      <c r="H70" s="49"/>
    </row>
    <row r="71" spans="1:8" ht="36">
      <c r="A71" s="140">
        <v>5</v>
      </c>
      <c r="B71" s="142" t="s">
        <v>21</v>
      </c>
      <c r="C71" s="137">
        <v>3.10255125364211E-2</v>
      </c>
      <c r="D71" s="135">
        <v>4.0122778825056403E-2</v>
      </c>
      <c r="E71" s="133"/>
      <c r="F71" s="133">
        <v>1.6932844031026899E-2</v>
      </c>
      <c r="G71" s="133">
        <v>1.93014617262585E-2</v>
      </c>
      <c r="H71" s="49"/>
    </row>
    <row r="72" spans="1:8" ht="24">
      <c r="A72" s="131" t="s">
        <v>92</v>
      </c>
      <c r="B72" s="142" t="s">
        <v>40</v>
      </c>
      <c r="C72" s="137">
        <v>3.3707197674132001E-2</v>
      </c>
      <c r="D72" s="139">
        <v>4.9929146776639399E-2</v>
      </c>
      <c r="E72" s="133"/>
      <c r="F72" s="133">
        <v>2.4160892709212699E-2</v>
      </c>
      <c r="G72" s="133">
        <v>2.2039906643115399E-2</v>
      </c>
      <c r="H72" s="49"/>
    </row>
    <row r="73" spans="1:8">
      <c r="A73" s="138">
        <v>2</v>
      </c>
      <c r="B73" s="142" t="s">
        <v>4</v>
      </c>
      <c r="C73" s="137">
        <v>2.98967794903124E-2</v>
      </c>
      <c r="D73" s="139">
        <v>3.57078648177242E-2</v>
      </c>
      <c r="E73" s="133"/>
      <c r="F73" s="133">
        <v>1.90990781306399E-2</v>
      </c>
      <c r="G73" s="133">
        <v>1.22272130990885E-2</v>
      </c>
      <c r="H73" s="49"/>
    </row>
    <row r="74" spans="1:8">
      <c r="A74" s="138">
        <v>3</v>
      </c>
      <c r="B74" s="142" t="s">
        <v>5</v>
      </c>
      <c r="C74" s="137">
        <v>2.8074625345120601E-2</v>
      </c>
      <c r="D74" s="139">
        <v>3.2235257137148303E-2</v>
      </c>
      <c r="E74" s="133"/>
      <c r="F74" s="133">
        <v>1.43958887040707E-2</v>
      </c>
      <c r="G74" s="133">
        <v>1.3309757305011801E-2</v>
      </c>
      <c r="H74" s="49"/>
    </row>
    <row r="75" spans="1:8">
      <c r="A75" s="138">
        <v>4</v>
      </c>
      <c r="B75" s="142" t="s">
        <v>6</v>
      </c>
      <c r="C75" s="137">
        <v>2.4479394209409699E-2</v>
      </c>
      <c r="D75" s="139">
        <v>2.8015324158604998E-2</v>
      </c>
      <c r="E75" s="133"/>
      <c r="F75" s="133">
        <v>1.25829448319573E-2</v>
      </c>
      <c r="G75" s="133">
        <v>1.2576665790532E-2</v>
      </c>
      <c r="H75" s="49"/>
    </row>
    <row r="76" spans="1:8" ht="24">
      <c r="A76" s="138">
        <v>5</v>
      </c>
      <c r="B76" s="142" t="s">
        <v>23</v>
      </c>
      <c r="C76" s="137">
        <v>1.00068806901908E-2</v>
      </c>
      <c r="D76" s="139">
        <v>1.28291594955957E-2</v>
      </c>
      <c r="E76" s="133"/>
      <c r="F76" s="133">
        <v>7.2486001028753697E-3</v>
      </c>
      <c r="G76" s="133">
        <v>4.4873034376775598E-3</v>
      </c>
      <c r="H76" s="49"/>
    </row>
    <row r="77" spans="1:8">
      <c r="A77" s="131" t="s">
        <v>91</v>
      </c>
      <c r="B77" s="144" t="s">
        <v>153</v>
      </c>
      <c r="C77" s="137">
        <v>2.9279945835630899E-2</v>
      </c>
      <c r="D77" s="139">
        <v>3.3181100348143401E-2</v>
      </c>
      <c r="E77" s="133"/>
      <c r="F77" s="133">
        <v>2.6689136694098999E-2</v>
      </c>
      <c r="G77" s="133">
        <v>1.1807271419266E-2</v>
      </c>
      <c r="H77" s="49"/>
    </row>
    <row r="78" spans="1:8">
      <c r="A78" s="138">
        <v>2</v>
      </c>
      <c r="B78" s="144" t="s">
        <v>152</v>
      </c>
      <c r="C78" s="137">
        <v>2.3829893665072401E-2</v>
      </c>
      <c r="D78" s="135">
        <v>3.8753947921122703E-2</v>
      </c>
      <c r="E78" s="133"/>
      <c r="F78" s="133">
        <v>1.93803900583445E-2</v>
      </c>
      <c r="G78" s="133">
        <v>1.77912310435757E-2</v>
      </c>
      <c r="H78" s="49"/>
    </row>
    <row r="79" spans="1:8">
      <c r="A79" s="138">
        <v>3</v>
      </c>
      <c r="B79" s="144" t="s">
        <v>24</v>
      </c>
      <c r="C79" s="137">
        <v>8.4266753284938795E-3</v>
      </c>
      <c r="D79" s="135">
        <v>1.07852705931334E-2</v>
      </c>
      <c r="E79" s="133"/>
      <c r="F79" s="133">
        <v>1.56952489805758E-2</v>
      </c>
      <c r="G79" s="133">
        <v>1.2703434158980899E-2</v>
      </c>
      <c r="H79" s="49"/>
    </row>
    <row r="80" spans="1:8">
      <c r="A80" s="138">
        <v>4</v>
      </c>
      <c r="B80" s="144" t="s">
        <v>44</v>
      </c>
      <c r="C80" s="137">
        <v>1.08775584183006E-2</v>
      </c>
      <c r="D80" s="135">
        <v>2.06363999899568E-2</v>
      </c>
      <c r="E80" s="133"/>
      <c r="F80" s="133">
        <v>1.2667509533665701E-2</v>
      </c>
      <c r="G80" s="133">
        <v>1.18811884403039E-2</v>
      </c>
      <c r="H80" s="49"/>
    </row>
    <row r="81" spans="1:8">
      <c r="A81" s="131" t="s">
        <v>90</v>
      </c>
      <c r="B81" s="145" t="s">
        <v>71</v>
      </c>
      <c r="C81" s="139">
        <v>1.92532288558982E-2</v>
      </c>
      <c r="D81" s="139">
        <v>2.7946957565850399E-2</v>
      </c>
      <c r="E81" s="135"/>
      <c r="F81" s="133">
        <v>1.4748695165156599E-2</v>
      </c>
      <c r="G81" s="133">
        <v>1.01960919189089E-2</v>
      </c>
      <c r="H81" s="49"/>
    </row>
    <row r="82" spans="1:8">
      <c r="A82" s="138">
        <v>2</v>
      </c>
      <c r="B82" s="145" t="s">
        <v>161</v>
      </c>
      <c r="C82" s="139">
        <v>2.0628254418827801E-2</v>
      </c>
      <c r="D82" s="139">
        <v>2.53804671532563E-2</v>
      </c>
      <c r="E82" s="135"/>
      <c r="F82" s="133">
        <v>1.38011267338692E-2</v>
      </c>
      <c r="G82" s="133">
        <v>9.2162251186081508E-3</v>
      </c>
      <c r="H82" s="49"/>
    </row>
    <row r="83" spans="1:8">
      <c r="A83" s="138">
        <v>3</v>
      </c>
      <c r="B83" s="145" t="s">
        <v>162</v>
      </c>
      <c r="C83" s="139">
        <v>2.0179481369988799E-2</v>
      </c>
      <c r="D83" s="139">
        <v>2.29871068613209E-2</v>
      </c>
      <c r="E83" s="135"/>
      <c r="F83" s="133">
        <v>9.9357208165915898E-3</v>
      </c>
      <c r="G83" s="133">
        <v>1.02146274272261E-2</v>
      </c>
      <c r="H83" s="49"/>
    </row>
    <row r="84" spans="1:8">
      <c r="A84" s="138">
        <v>4</v>
      </c>
      <c r="B84" s="145" t="s">
        <v>72</v>
      </c>
      <c r="C84" s="139">
        <v>2.4896681582963199E-2</v>
      </c>
      <c r="D84" s="139">
        <v>2.84283319549779E-2</v>
      </c>
      <c r="E84" s="135"/>
      <c r="F84" s="133">
        <v>1.33739201702934E-2</v>
      </c>
      <c r="G84" s="133">
        <v>1.1907866135929099E-2</v>
      </c>
      <c r="H84" s="49"/>
    </row>
    <row r="85" spans="1:8">
      <c r="A85" s="91" t="s">
        <v>132</v>
      </c>
      <c r="B85" s="146" t="s">
        <v>133</v>
      </c>
      <c r="C85" s="139">
        <v>2.75101992444119E-2</v>
      </c>
      <c r="D85" s="139">
        <v>4.5650251881884103E-2</v>
      </c>
      <c r="E85" s="93"/>
      <c r="F85" s="141">
        <v>2.4004905430678101E-2</v>
      </c>
      <c r="G85" s="141">
        <v>1.7017955363610601E-2</v>
      </c>
      <c r="H85" s="49"/>
    </row>
    <row r="86" spans="1:8">
      <c r="A86" s="92"/>
      <c r="B86" s="146" t="s">
        <v>134</v>
      </c>
      <c r="C86" s="139">
        <v>2.07673826486818E-2</v>
      </c>
      <c r="D86" s="139">
        <v>2.50300302269576E-2</v>
      </c>
      <c r="E86" s="93"/>
      <c r="F86" s="141">
        <v>1.22351500973783E-2</v>
      </c>
      <c r="G86" s="141">
        <v>1.00559674318193E-2</v>
      </c>
      <c r="H86" s="49"/>
    </row>
  </sheetData>
  <mergeCells count="3">
    <mergeCell ref="A2:H2"/>
    <mergeCell ref="A24:H25"/>
    <mergeCell ref="A38:D41"/>
  </mergeCells>
  <pageMargins left="0.70866141732283472" right="0.70866141732283472" top="0.74803149606299213" bottom="0.74803149606299213" header="0.31496062992125984" footer="0.31496062992125984"/>
  <pageSetup paperSize="9" scale="8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2</vt:i4>
      </vt:variant>
    </vt:vector>
  </HeadingPairs>
  <TitlesOfParts>
    <vt:vector size="7" baseType="lpstr">
      <vt:lpstr>Repères</vt:lpstr>
      <vt:lpstr>Contexte</vt:lpstr>
      <vt:lpstr>Prejudice</vt:lpstr>
      <vt:lpstr>Recours</vt:lpstr>
      <vt:lpstr>Profil</vt:lpstr>
      <vt:lpstr>Profil!Zone_d_impression</vt:lpstr>
      <vt:lpstr>Recours!Zone_d_impression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GRENON MUR Marc</dc:creator>
  <cp:lastModifiedBy>TUGORES François</cp:lastModifiedBy>
  <cp:lastPrinted>2016-11-14T12:35:10Z</cp:lastPrinted>
  <dcterms:created xsi:type="dcterms:W3CDTF">2016-01-06T15:49:01Z</dcterms:created>
  <dcterms:modified xsi:type="dcterms:W3CDTF">2019-03-06T17:37:22Z</dcterms:modified>
</cp:coreProperties>
</file>
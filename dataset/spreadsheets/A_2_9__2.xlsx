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FORMALITY TOOL\"/>
    </mc:Choice>
  </mc:AlternateContent>
  <xr:revisionPtr revIDLastSave="0" documentId="8_{9BBC8E74-1F17-42B3-A775-AC86AE57BEB6}" xr6:coauthVersionLast="47" xr6:coauthVersionMax="47" xr10:uidLastSave="{00000000-0000-0000-0000-000000000000}"/>
  <bookViews>
    <workbookView xWindow="-120" yWindow="-120" windowWidth="29040" windowHeight="17640" xr2:uid="{02CBB43C-CE13-4799-851C-0A42C072CED8}"/>
  </bookViews>
  <sheets>
    <sheet name="A.2.9" sheetId="6" r:id="rId1"/>
  </sheets>
  <definedNames>
    <definedName name="_Hlk96438137" localSheetId="0">'A.2.9'!#REF!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C30" i="6"/>
  <c r="D32" i="6"/>
  <c r="E32" i="6"/>
  <c r="G32" i="6"/>
  <c r="F33" i="6"/>
  <c r="C25" i="6"/>
  <c r="D25" i="6"/>
  <c r="E25" i="6"/>
  <c r="G25" i="6"/>
  <c r="E26" i="6"/>
  <c r="C27" i="6"/>
  <c r="E27" i="6"/>
  <c r="F27" i="6"/>
  <c r="G27" i="6"/>
  <c r="D31" i="6" l="1"/>
  <c r="H27" i="6"/>
  <c r="G26" i="6"/>
  <c r="F25" i="6"/>
  <c r="C33" i="6"/>
  <c r="F30" i="6"/>
  <c r="E29" i="6"/>
  <c r="D28" i="6"/>
  <c r="F26" i="6"/>
  <c r="H31" i="6"/>
  <c r="E30" i="6"/>
  <c r="D29" i="6"/>
  <c r="C28" i="6"/>
  <c r="H32" i="6"/>
  <c r="G31" i="6"/>
  <c r="D30" i="6"/>
  <c r="C29" i="6"/>
  <c r="H33" i="6"/>
  <c r="F31" i="6"/>
  <c r="D26" i="6"/>
  <c r="D27" i="6"/>
  <c r="C26" i="6"/>
  <c r="G33" i="6"/>
  <c r="F32" i="6"/>
  <c r="E31" i="6"/>
  <c r="H28" i="6"/>
  <c r="G28" i="6"/>
  <c r="H25" i="6"/>
  <c r="E33" i="6"/>
  <c r="C31" i="6"/>
  <c r="H30" i="6"/>
  <c r="G29" i="6"/>
  <c r="F28" i="6"/>
  <c r="H29" i="6"/>
  <c r="H26" i="6"/>
  <c r="D33" i="6"/>
  <c r="C32" i="6"/>
  <c r="G30" i="6"/>
  <c r="F29" i="6"/>
</calcChain>
</file>

<file path=xl/sharedStrings.xml><?xml version="1.0" encoding="utf-8"?>
<sst xmlns="http://schemas.openxmlformats.org/spreadsheetml/2006/main" count="54" uniqueCount="28">
  <si>
    <t>Total</t>
  </si>
  <si>
    <t>Informal employment</t>
  </si>
  <si>
    <t>Formal employment</t>
  </si>
  <si>
    <t>Men</t>
  </si>
  <si>
    <t>Women</t>
  </si>
  <si>
    <t>Distribution</t>
  </si>
  <si>
    <t>Place of work</t>
  </si>
  <si>
    <t>Country</t>
  </si>
  <si>
    <t>Source</t>
  </si>
  <si>
    <t>Year</t>
  </si>
  <si>
    <t>Headcounts</t>
  </si>
  <si>
    <t>Namibia</t>
  </si>
  <si>
    <t>* Some of the modalities are not specifically asked in the questionnaire and merged with other categories.</t>
  </si>
  <si>
    <t>NLFS</t>
  </si>
  <si>
    <t>Dimension</t>
  </si>
  <si>
    <t>Indicator</t>
  </si>
  <si>
    <r>
      <t xml:space="preserve">HEADLINE INDICATORS </t>
    </r>
    <r>
      <rPr>
        <i/>
        <sz val="11"/>
        <color theme="0"/>
        <rFont val="Calibri"/>
        <family val="2"/>
        <scheme val="minor"/>
      </rPr>
      <t>(para 128c)</t>
    </r>
  </si>
  <si>
    <t>II - Composition of informal and formal employment by employment related characteristics</t>
  </si>
  <si>
    <t>Para 128 c)</t>
  </si>
  <si>
    <t>A_2_9 - Number and distribution of persons with an informal or formal main job by place of work and sex</t>
  </si>
  <si>
    <r>
      <rPr>
        <b/>
        <sz val="12"/>
        <rFont val="Calibri"/>
        <family val="2"/>
        <scheme val="minor"/>
      </rPr>
      <t>Table A_2_9a.</t>
    </r>
    <r>
      <rPr>
        <sz val="12"/>
        <rFont val="Calibri"/>
        <family val="2"/>
        <scheme val="minor"/>
      </rPr>
      <t xml:space="preserve"> Number of persons with an informal or formal main job by place of work</t>
    </r>
    <r>
      <rPr>
        <b/>
        <sz val="12"/>
        <rFont val="Calibri"/>
        <family val="2"/>
        <scheme val="minor"/>
      </rPr>
      <t xml:space="preserve"> and sex</t>
    </r>
    <r>
      <rPr>
        <sz val="12"/>
        <rFont val="Calibri"/>
        <family val="2"/>
        <scheme val="minor"/>
      </rPr>
      <t xml:space="preserve"> (128c)</t>
    </r>
  </si>
  <si>
    <r>
      <rPr>
        <b/>
        <sz val="12"/>
        <rFont val="Calibri"/>
        <family val="2"/>
        <scheme val="minor"/>
      </rPr>
      <t>Table A_2_9a.</t>
    </r>
    <r>
      <rPr>
        <sz val="12"/>
        <rFont val="Calibri"/>
        <family val="2"/>
        <scheme val="minor"/>
      </rPr>
      <t xml:space="preserve"> Distribution of persons with an informal or formal main job by place of work</t>
    </r>
    <r>
      <rPr>
        <b/>
        <sz val="12"/>
        <rFont val="Calibri"/>
        <family val="2"/>
        <scheme val="minor"/>
      </rPr>
      <t xml:space="preserve"> and sex</t>
    </r>
    <r>
      <rPr>
        <sz val="12"/>
        <rFont val="Calibri"/>
        <family val="2"/>
        <scheme val="minor"/>
      </rPr>
      <t xml:space="preserve"> (128c)</t>
    </r>
  </si>
  <si>
    <t>Figure A_2_9a. Number and distribution of persons with an informal or formal main job by place of work and sex (Harmonized definition)</t>
  </si>
  <si>
    <t>Own home</t>
  </si>
  <si>
    <t>Home of client</t>
  </si>
  <si>
    <t>At/ from an office, shop, factory or other fixed location with permanent premise</t>
  </si>
  <si>
    <t>At/ from a fixed location without permanent premises</t>
  </si>
  <si>
    <t>Without a fixed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</si>
</sst>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64" fontId="2" fillId="2" borderId="0" xfId="0" applyNumberFormat="1" applyFont="1" applyFill="1"/>
    <xf numFmtId="164" fontId="2" fillId="2" borderId="6" xfId="0" applyNumberFormat="1" applyFont="1" applyFill="1" applyBorder="1"/>
    <xf numFmtId="0" fontId="3" fillId="2" borderId="2" xfId="0" applyFont="1" applyFill="1" applyBorder="1"/>
    <xf numFmtId="164" fontId="3" fillId="2" borderId="2" xfId="0" applyNumberFormat="1" applyFont="1" applyFill="1" applyBorder="1"/>
    <xf numFmtId="0" fontId="3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right" wrapText="1"/>
    </xf>
    <xf numFmtId="0" fontId="3" fillId="2" borderId="1" xfId="0" applyFont="1" applyFill="1" applyBorder="1"/>
    <xf numFmtId="0" fontId="3" fillId="2" borderId="0" xfId="0" applyFont="1" applyFill="1" applyAlignment="1">
      <alignment horizontal="left"/>
    </xf>
    <xf numFmtId="0" fontId="2" fillId="2" borderId="4" xfId="0" applyFont="1" applyFill="1" applyBorder="1" applyAlignment="1">
      <alignment horizontal="right"/>
    </xf>
    <xf numFmtId="0" fontId="2" fillId="2" borderId="0" xfId="0" applyFont="1" applyFill="1" applyBorder="1"/>
    <xf numFmtId="164" fontId="2" fillId="2" borderId="0" xfId="0" applyNumberFormat="1" applyFont="1" applyFill="1" applyBorder="1"/>
    <xf numFmtId="0" fontId="1" fillId="2" borderId="0" xfId="0" applyFont="1" applyFill="1" applyAlignment="1"/>
    <xf numFmtId="0" fontId="0" fillId="2" borderId="0" xfId="0" applyFont="1" applyFill="1" applyAlignment="1"/>
    <xf numFmtId="0" fontId="12" fillId="2" borderId="4" xfId="0" applyFont="1" applyFill="1" applyBorder="1"/>
    <xf numFmtId="0" fontId="1" fillId="2" borderId="4" xfId="0" applyFont="1" applyFill="1" applyBorder="1" applyAlignment="1"/>
    <xf numFmtId="0" fontId="7" fillId="2" borderId="7" xfId="0" applyFont="1" applyFill="1" applyBorder="1"/>
    <xf numFmtId="0" fontId="0" fillId="2" borderId="0" xfId="0" applyFill="1" applyAlignment="1"/>
    <xf numFmtId="0" fontId="2" fillId="2" borderId="0" xfId="0" applyFont="1" applyFill="1" applyBorder="1" applyAlignment="1">
      <alignment horizontal="right" wrapText="1"/>
    </xf>
    <xf numFmtId="0" fontId="10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8" fillId="3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12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D0CB"/>
      <color rgb="FF03615F"/>
      <color rgb="FF05ABA7"/>
      <color rgb="FF3D6BBD"/>
      <color rgb="FF05A39F"/>
      <color rgb="FF80C000"/>
      <color rgb="FF037774"/>
      <color rgb="FFC59EE2"/>
      <color rgb="FFB17ED8"/>
      <color rgb="FF06C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017968357227322E-2"/>
          <c:y val="3.4334101094506041E-2"/>
          <c:w val="0.61845726229971887"/>
          <c:h val="0.889117034626363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'A.2.9'!$C$24</c:f>
              <c:strCache>
                <c:ptCount val="1"/>
                <c:pt idx="0">
                  <c:v>Own home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('A.2.9'!$A$25:$B$26,'A.2.9'!$A$28:$B$29,'A.2.9'!$A$31:$B$32)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('A.2.9'!$C$25:$C$26,'A.2.9'!$C$28:$C$29,'A.2.9'!$C$31:$C$32)</c:f>
              <c:numCache>
                <c:formatCode>0.0</c:formatCode>
                <c:ptCount val="6"/>
                <c:pt idx="0">
                  <c:v>43.488594263345526</c:v>
                </c:pt>
                <c:pt idx="1">
                  <c:v>30.746799431009958</c:v>
                </c:pt>
                <c:pt idx="2">
                  <c:v>36.021885470138017</c:v>
                </c:pt>
                <c:pt idx="3">
                  <c:v>26.61134386077989</c:v>
                </c:pt>
                <c:pt idx="4">
                  <c:v>48.044126751843301</c:v>
                </c:pt>
                <c:pt idx="5">
                  <c:v>36.667434892832453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293-4BAB-8F50-3ADA85C9C729}"/>
            </c:ext>
          </c:extLst>
        </c:ser>
        <c:ser>
          <c:idx val="1"/>
          <c:order val="1"/>
          <c:tx>
            <c:strRef>
              <c:f>'A.2.9'!$D$24</c:f>
              <c:strCache>
                <c:ptCount val="1"/>
                <c:pt idx="0">
                  <c:v>Home of client</c:v>
                </c:pt>
              </c:strCache>
            </c:strRef>
          </c:tx>
          <c:spPr>
            <a:solidFill>
              <a:srgbClr val="0369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('A.2.9'!$A$25:$B$26,'A.2.9'!$A$28:$B$29,'A.2.9'!$A$31:$B$32)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('A.2.9'!$D$25:$D$26,'A.2.9'!$D$28:$D$29,'A.2.9'!$D$31:$D$32)</c:f>
              <c:numCache>
                <c:formatCode>0.0</c:formatCode>
                <c:ptCount val="6"/>
                <c:pt idx="0">
                  <c:v>6.3296595754596074</c:v>
                </c:pt>
                <c:pt idx="1">
                  <c:v>4.9502133712660026</c:v>
                </c:pt>
                <c:pt idx="2">
                  <c:v>13.890511173270218</c:v>
                </c:pt>
                <c:pt idx="3">
                  <c:v>7.2993876893329031</c:v>
                </c:pt>
                <c:pt idx="4">
                  <c:v>1.7147895911896587</c:v>
                </c:pt>
                <c:pt idx="5">
                  <c:v>1.5902281631712378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293-4BAB-8F50-3ADA85C9C729}"/>
            </c:ext>
          </c:extLst>
        </c:ser>
        <c:ser>
          <c:idx val="2"/>
          <c:order val="2"/>
          <c:tx>
            <c:strRef>
              <c:f>'A.2.9'!$E$24</c:f>
              <c:strCache>
                <c:ptCount val="1"/>
                <c:pt idx="0">
                  <c:v>At/ from an office, shop, factory or other fixed location with permanent premise</c:v>
                </c:pt>
              </c:strCache>
            </c:strRef>
          </c:tx>
          <c:spPr>
            <a:solidFill>
              <a:srgbClr val="04898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('A.2.9'!$A$25:$B$26,'A.2.9'!$A$28:$B$29,'A.2.9'!$A$31:$B$32)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('A.2.9'!$E$25:$E$26,'A.2.9'!$E$28:$E$29,'A.2.9'!$E$31:$E$32)</c:f>
              <c:numCache>
                <c:formatCode>0.0</c:formatCode>
                <c:ptCount val="6"/>
                <c:pt idx="0">
                  <c:v>13.620476734161288</c:v>
                </c:pt>
                <c:pt idx="1">
                  <c:v>34.108582266477008</c:v>
                </c:pt>
                <c:pt idx="2">
                  <c:v>10.297236652014877</c:v>
                </c:pt>
                <c:pt idx="3">
                  <c:v>32.186593619078316</c:v>
                </c:pt>
                <c:pt idx="4">
                  <c:v>15.648862122661864</c:v>
                </c:pt>
                <c:pt idx="5">
                  <c:v>36.857570868863796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293-4BAB-8F50-3ADA85C9C729}"/>
            </c:ext>
          </c:extLst>
        </c:ser>
        <c:ser>
          <c:idx val="3"/>
          <c:order val="3"/>
          <c:tx>
            <c:strRef>
              <c:f>'A.2.9'!$F$24</c:f>
              <c:strCache>
                <c:ptCount val="1"/>
                <c:pt idx="0">
                  <c:v>At/ from a fixed location without permanent premises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('A.2.9'!$A$25:$B$26,'A.2.9'!$A$28:$B$29,'A.2.9'!$A$31:$B$32)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('A.2.9'!$F$25:$F$26,'A.2.9'!$F$28:$F$29,'A.2.9'!$F$31:$F$32)</c:f>
              <c:numCache>
                <c:formatCode>0.0</c:formatCode>
                <c:ptCount val="6"/>
                <c:pt idx="0">
                  <c:v>13.406109467110936</c:v>
                </c:pt>
                <c:pt idx="1">
                  <c:v>12.674253200568991</c:v>
                </c:pt>
                <c:pt idx="2">
                  <c:v>10.540067008883288</c:v>
                </c:pt>
                <c:pt idx="3">
                  <c:v>9.8936513051885271</c:v>
                </c:pt>
                <c:pt idx="4">
                  <c:v>15.15543798427797</c:v>
                </c:pt>
                <c:pt idx="5">
                  <c:v>16.651302143351003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293-4BAB-8F50-3ADA85C9C729}"/>
            </c:ext>
          </c:extLst>
        </c:ser>
        <c:ser>
          <c:idx val="4"/>
          <c:order val="4"/>
          <c:tx>
            <c:strRef>
              <c:f>'A.2.9'!$G$24</c:f>
              <c:strCache>
                <c:ptCount val="1"/>
                <c:pt idx="0">
                  <c:v>Without a fixed location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293-4BAB-8F50-3ADA85C9C72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8293-4BAB-8F50-3ADA85C9C7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('A.2.9'!$A$25:$B$26,'A.2.9'!$A$28:$B$29,'A.2.9'!$A$31:$B$32)</c:f>
              <c:multiLvlStrCache>
                <c:ptCount val="6"/>
                <c:lvl>
                  <c:pt idx="0">
                    <c:v>Informal employment</c:v>
                  </c:pt>
                  <c:pt idx="1">
                    <c:v>Formal employment</c:v>
                  </c:pt>
                  <c:pt idx="2">
                    <c:v>Informal employment</c:v>
                  </c:pt>
                  <c:pt idx="3">
                    <c:v>Formal employment</c:v>
                  </c:pt>
                  <c:pt idx="4">
                    <c:v>Informal employment</c:v>
                  </c:pt>
                  <c:pt idx="5">
                    <c:v>Formal employment</c:v>
                  </c:pt>
                </c:lvl>
                <c:lvl>
                  <c:pt idx="0">
                    <c:v>Total</c:v>
                  </c:pt>
                  <c:pt idx="2">
                    <c:v>Men</c:v>
                  </c:pt>
                  <c:pt idx="4">
                    <c:v>Women</c:v>
                  </c:pt>
                </c:lvl>
              </c:multiLvlStrCache>
            </c:multiLvlStrRef>
          </c:cat>
          <c:val>
            <c:numRef>
              <c:f>('A.2.9'!$G$25:$G$26,'A.2.9'!$G$28:$G$29,'A.2.9'!$G$31:$G$32)</c:f>
              <c:numCache>
                <c:formatCode>0.0</c:formatCode>
                <c:ptCount val="6"/>
                <c:pt idx="0">
                  <c:v>23.156324999417478</c:v>
                </c:pt>
                <c:pt idx="1">
                  <c:v>17.520151730678045</c:v>
                </c:pt>
                <c:pt idx="2">
                  <c:v>29.250299695693606</c:v>
                </c:pt>
                <c:pt idx="3">
                  <c:v>24.009023525620368</c:v>
                </c:pt>
                <c:pt idx="4">
                  <c:v>19.436783550027204</c:v>
                </c:pt>
                <c:pt idx="5">
                  <c:v>8.2449873242682639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293-4BAB-8F50-3ADA85C9C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2131483008"/>
        <c:axId val="2122537840"/>
      </c:barChart>
      <c:catAx>
        <c:axId val="213148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37840"/>
        <c:crosses val="autoZero"/>
        <c:auto val="1"/>
        <c:lblAlgn val="ctr"/>
        <c:lblOffset val="100"/>
        <c:noMultiLvlLbl val="0"/>
      </c:catAx>
      <c:valAx>
        <c:axId val="2122537840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2">
                        <a:lumMod val="25000"/>
                      </a:schemeClr>
                    </a:solidFill>
                  </a:rPr>
                  <a:t>Distribution of informal and formal</a:t>
                </a:r>
                <a:r>
                  <a:rPr lang="en-US" baseline="0">
                    <a:solidFill>
                      <a:schemeClr val="bg2">
                        <a:lumMod val="25000"/>
                      </a:schemeClr>
                    </a:solidFill>
                  </a:rPr>
                  <a:t> </a:t>
                </a:r>
                <a:r>
                  <a:rPr lang="en-US">
                    <a:solidFill>
                      <a:schemeClr val="bg2">
                        <a:lumMod val="25000"/>
                      </a:schemeClr>
                    </a:solidFill>
                  </a:rPr>
                  <a:t>employment</a:t>
                </a:r>
              </a:p>
            </c:rich>
          </c:tx>
          <c:layout>
            <c:manualLayout>
              <c:xMode val="edge"/>
              <c:yMode val="edge"/>
              <c:x val="0.18859310005021934"/>
              <c:y val="0.9197733428268275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crossAx val="2131483008"/>
        <c:crosses val="autoZero"/>
        <c:crossBetween val="between"/>
      </c:valAx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4085170310781989"/>
          <c:y val="7.2819145638291314E-3"/>
          <c:w val="0.25050276277006089"/>
          <c:h val="0.98543617087234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10</xdr:col>
      <xdr:colOff>338667</xdr:colOff>
      <xdr:row>55</xdr:row>
      <xdr:rowOff>25400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225BACF-892E-4EC7-81EA-7A9104234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D65D-870D-4550-8763-6C2B581B677D}">
  <sheetPr>
    <tabColor rgb="FFC00000"/>
  </sheetPr>
  <dimension ref="A1:Y62"/>
  <sheetViews>
    <sheetView tabSelected="1" zoomScale="90" zoomScaleNormal="90" workbookViewId="0">
      <selection activeCell="C11" sqref="C11:H11"/>
    </sheetView>
  </sheetViews>
  <sheetFormatPr defaultColWidth="11.5703125" defaultRowHeight="12.75" x14ac:dyDescent="0.2"/>
  <cols>
    <col min="1" max="1" width="14.28515625" style="1" customWidth="1"/>
    <col min="2" max="2" width="22.7109375" style="1" customWidth="1"/>
    <col min="3" max="4" width="22.5703125" style="1" customWidth="1"/>
    <col min="5" max="5" width="25.28515625" style="1" customWidth="1"/>
    <col min="6" max="8" width="22.5703125" style="1" customWidth="1"/>
    <col min="9" max="10" width="12.28515625" style="1" customWidth="1"/>
    <col min="11" max="16384" width="11.5703125" style="1"/>
  </cols>
  <sheetData>
    <row r="1" spans="1:25" ht="15.75" x14ac:dyDescent="0.3">
      <c r="A1" s="28" t="s">
        <v>16</v>
      </c>
      <c r="B1" s="29"/>
    </row>
    <row r="2" spans="1:25" x14ac:dyDescent="0.2">
      <c r="A2" s="16" t="s">
        <v>7</v>
      </c>
      <c r="B2" s="15" t="s">
        <v>11</v>
      </c>
    </row>
    <row r="3" spans="1:25" x14ac:dyDescent="0.2">
      <c r="A3" s="16" t="s">
        <v>8</v>
      </c>
      <c r="B3" s="15" t="s">
        <v>13</v>
      </c>
    </row>
    <row r="4" spans="1:25" x14ac:dyDescent="0.2">
      <c r="A4" s="16" t="s">
        <v>9</v>
      </c>
      <c r="B4" s="15">
        <v>2018</v>
      </c>
    </row>
    <row r="6" spans="1:25" ht="15.75" x14ac:dyDescent="0.25">
      <c r="A6" s="21" t="s">
        <v>14</v>
      </c>
      <c r="B6" s="30" t="s">
        <v>17</v>
      </c>
      <c r="C6" s="31"/>
      <c r="D6" s="31"/>
      <c r="E6" s="31"/>
      <c r="F6" s="31"/>
      <c r="G6" s="31"/>
      <c r="H6" s="32"/>
      <c r="I6" s="23" t="s">
        <v>18</v>
      </c>
    </row>
    <row r="7" spans="1:25" ht="15" x14ac:dyDescent="0.25">
      <c r="A7" s="22" t="s">
        <v>15</v>
      </c>
      <c r="B7" s="20" t="s">
        <v>19</v>
      </c>
      <c r="C7" s="19"/>
      <c r="D7" s="19"/>
      <c r="E7" s="19"/>
      <c r="F7" s="24"/>
      <c r="G7" s="24"/>
      <c r="H7" s="24"/>
    </row>
    <row r="9" spans="1:25" ht="15.75" customHeight="1" x14ac:dyDescent="0.25">
      <c r="A9" s="26" t="s">
        <v>20</v>
      </c>
      <c r="B9" s="26"/>
      <c r="C9" s="26"/>
      <c r="D9" s="26"/>
      <c r="E9" s="26"/>
      <c r="F9" s="26"/>
      <c r="G9" s="27"/>
      <c r="H9" s="27"/>
      <c r="I9" s="27"/>
    </row>
    <row r="10" spans="1:25" x14ac:dyDescent="0.2">
      <c r="A10" s="11" t="s">
        <v>10</v>
      </c>
    </row>
    <row r="11" spans="1:25" s="12" customFormat="1" ht="43.5" customHeight="1" x14ac:dyDescent="0.2">
      <c r="A11" s="13"/>
      <c r="B11" s="13"/>
      <c r="C11" s="13" t="s">
        <v>23</v>
      </c>
      <c r="D11" s="13" t="s">
        <v>24</v>
      </c>
      <c r="E11" s="13" t="s">
        <v>25</v>
      </c>
      <c r="F11" s="13" t="s">
        <v>26</v>
      </c>
      <c r="G11" s="13" t="s">
        <v>27</v>
      </c>
      <c r="H11" s="13" t="s">
        <v>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 x14ac:dyDescent="0.2">
      <c r="A12" s="2" t="s">
        <v>0</v>
      </c>
      <c r="B12" s="3" t="s">
        <v>1</v>
      </c>
      <c r="C12" s="3">
        <v>37328</v>
      </c>
      <c r="D12" s="3">
        <v>5433</v>
      </c>
      <c r="E12" s="3">
        <v>11691</v>
      </c>
      <c r="F12" s="3">
        <v>11507</v>
      </c>
      <c r="G12" s="3">
        <v>19876</v>
      </c>
      <c r="H12" s="3">
        <v>85834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x14ac:dyDescent="0.2">
      <c r="A13" s="4"/>
      <c r="B13" s="1" t="s">
        <v>2</v>
      </c>
      <c r="C13" s="1">
        <v>12969</v>
      </c>
      <c r="D13" s="1">
        <v>2088</v>
      </c>
      <c r="E13" s="1">
        <v>14387</v>
      </c>
      <c r="F13" s="1">
        <v>5346</v>
      </c>
      <c r="G13" s="1">
        <v>7390</v>
      </c>
      <c r="H13" s="1">
        <v>42180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x14ac:dyDescent="0.2">
      <c r="A14" s="4"/>
      <c r="B14" s="1" t="s">
        <v>0</v>
      </c>
      <c r="C14" s="1">
        <v>50297</v>
      </c>
      <c r="D14" s="1">
        <v>7521</v>
      </c>
      <c r="E14" s="1">
        <v>26078</v>
      </c>
      <c r="F14" s="1">
        <v>16853</v>
      </c>
      <c r="G14" s="1">
        <v>27266</v>
      </c>
      <c r="H14" s="1">
        <v>128014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x14ac:dyDescent="0.2">
      <c r="A15" s="2" t="s">
        <v>3</v>
      </c>
      <c r="B15" s="3" t="s">
        <v>1</v>
      </c>
      <c r="C15" s="3">
        <v>11719</v>
      </c>
      <c r="D15" s="3">
        <v>4519</v>
      </c>
      <c r="E15" s="3">
        <v>3350</v>
      </c>
      <c r="F15" s="3">
        <v>3429</v>
      </c>
      <c r="G15" s="3">
        <v>9516</v>
      </c>
      <c r="H15" s="3">
        <v>32533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x14ac:dyDescent="0.2">
      <c r="A16" s="4"/>
      <c r="B16" s="1" t="s">
        <v>2</v>
      </c>
      <c r="C16" s="1">
        <v>6606</v>
      </c>
      <c r="D16" s="1">
        <v>1812</v>
      </c>
      <c r="E16" s="1">
        <v>7990</v>
      </c>
      <c r="F16" s="1">
        <v>2456</v>
      </c>
      <c r="G16" s="1">
        <v>5960</v>
      </c>
      <c r="H16" s="1">
        <v>24824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x14ac:dyDescent="0.2">
      <c r="A17" s="5"/>
      <c r="B17" s="6" t="s">
        <v>0</v>
      </c>
      <c r="C17" s="6">
        <v>18325</v>
      </c>
      <c r="D17" s="6">
        <v>6331</v>
      </c>
      <c r="E17" s="6">
        <v>11340</v>
      </c>
      <c r="F17" s="6">
        <v>5886</v>
      </c>
      <c r="G17" s="6">
        <v>15476</v>
      </c>
      <c r="H17" s="6">
        <v>57358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x14ac:dyDescent="0.2">
      <c r="A18" s="4" t="s">
        <v>4</v>
      </c>
      <c r="B18" s="1" t="s">
        <v>1</v>
      </c>
      <c r="C18" s="1">
        <v>25608</v>
      </c>
      <c r="D18" s="1">
        <v>914</v>
      </c>
      <c r="E18" s="1">
        <v>8341</v>
      </c>
      <c r="F18" s="1">
        <v>8078</v>
      </c>
      <c r="G18" s="1">
        <v>10360</v>
      </c>
      <c r="H18" s="1">
        <v>53301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x14ac:dyDescent="0.2">
      <c r="A19" s="4"/>
      <c r="B19" s="1" t="s">
        <v>2</v>
      </c>
      <c r="C19" s="1">
        <v>6364</v>
      </c>
      <c r="D19" s="1">
        <v>276</v>
      </c>
      <c r="E19" s="1">
        <v>6397</v>
      </c>
      <c r="F19" s="1">
        <v>2890</v>
      </c>
      <c r="G19" s="1">
        <v>1431</v>
      </c>
      <c r="H19" s="1">
        <v>17356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x14ac:dyDescent="0.2">
      <c r="A20" s="5"/>
      <c r="B20" s="6" t="s">
        <v>0</v>
      </c>
      <c r="C20" s="6">
        <v>31972</v>
      </c>
      <c r="D20" s="6">
        <v>1189</v>
      </c>
      <c r="E20" s="6">
        <v>14737</v>
      </c>
      <c r="F20" s="6">
        <v>10968</v>
      </c>
      <c r="G20" s="6">
        <v>11790</v>
      </c>
      <c r="H20" s="6">
        <v>70657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x14ac:dyDescent="0.2"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5.75" x14ac:dyDescent="0.25">
      <c r="A22" s="26" t="s">
        <v>21</v>
      </c>
      <c r="B22" s="26"/>
      <c r="C22" s="26"/>
      <c r="D22" s="26"/>
      <c r="E22" s="26"/>
      <c r="F22" s="26"/>
      <c r="G22" s="27"/>
      <c r="H22" s="27"/>
      <c r="I22" s="2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x14ac:dyDescent="0.2">
      <c r="A23" s="11" t="s">
        <v>5</v>
      </c>
      <c r="C23" s="11" t="s">
        <v>6</v>
      </c>
    </row>
    <row r="24" spans="1:25" s="12" customFormat="1" ht="57" customHeight="1" x14ac:dyDescent="0.2">
      <c r="A24" s="13"/>
      <c r="B24" s="13"/>
      <c r="C24" s="13" t="s">
        <v>23</v>
      </c>
      <c r="D24" s="13" t="s">
        <v>24</v>
      </c>
      <c r="E24" s="13" t="s">
        <v>25</v>
      </c>
      <c r="F24" s="13" t="s">
        <v>26</v>
      </c>
      <c r="G24" s="13" t="s">
        <v>27</v>
      </c>
      <c r="H24" s="13" t="s">
        <v>0</v>
      </c>
      <c r="I24" s="25"/>
      <c r="J24" s="25"/>
      <c r="K24" s="25"/>
      <c r="L24" s="25"/>
      <c r="M24" s="25"/>
      <c r="N24" s="25"/>
      <c r="O24" s="25"/>
      <c r="P24" s="25"/>
      <c r="Q24" s="13"/>
      <c r="R24" s="13"/>
      <c r="S24" s="13"/>
      <c r="T24" s="13"/>
      <c r="U24" s="13"/>
      <c r="V24" s="13"/>
      <c r="W24" s="13"/>
      <c r="X24" s="13"/>
      <c r="Y24" s="13"/>
    </row>
    <row r="25" spans="1:25" x14ac:dyDescent="0.2">
      <c r="A25" s="14" t="s">
        <v>0</v>
      </c>
      <c r="B25" s="9" t="s">
        <v>1</v>
      </c>
      <c r="C25" s="10">
        <f>C12/$H12*100</f>
        <v>43.488594263345526</v>
      </c>
      <c r="D25" s="10">
        <f t="shared" ref="D25:H25" si="0">D12/$H12*100</f>
        <v>6.3296595754596074</v>
      </c>
      <c r="E25" s="10">
        <f t="shared" si="0"/>
        <v>13.620476734161288</v>
      </c>
      <c r="F25" s="10">
        <f t="shared" si="0"/>
        <v>13.406109467110936</v>
      </c>
      <c r="G25" s="10">
        <f t="shared" si="0"/>
        <v>23.156324999417478</v>
      </c>
      <c r="H25" s="10">
        <f t="shared" si="0"/>
        <v>100</v>
      </c>
      <c r="I25" s="18"/>
      <c r="J25" s="18"/>
      <c r="K25" s="18"/>
      <c r="L25" s="18"/>
      <c r="M25" s="18"/>
      <c r="N25" s="18"/>
      <c r="O25" s="18"/>
      <c r="P25" s="17"/>
    </row>
    <row r="26" spans="1:25" x14ac:dyDescent="0.2">
      <c r="A26" s="4"/>
      <c r="B26" s="1" t="s">
        <v>2</v>
      </c>
      <c r="C26" s="7">
        <f t="shared" ref="C26:H33" si="1">C13/$H13*100</f>
        <v>30.746799431009958</v>
      </c>
      <c r="D26" s="7">
        <f t="shared" si="1"/>
        <v>4.9502133712660026</v>
      </c>
      <c r="E26" s="7">
        <f t="shared" si="1"/>
        <v>34.108582266477008</v>
      </c>
      <c r="F26" s="7">
        <f t="shared" si="1"/>
        <v>12.674253200568991</v>
      </c>
      <c r="G26" s="7">
        <f t="shared" si="1"/>
        <v>17.520151730678045</v>
      </c>
      <c r="H26" s="7">
        <f t="shared" si="1"/>
        <v>100</v>
      </c>
      <c r="I26" s="18"/>
      <c r="J26" s="18"/>
      <c r="K26" s="18"/>
      <c r="L26" s="18"/>
      <c r="M26" s="18"/>
      <c r="N26" s="18"/>
      <c r="O26" s="18"/>
      <c r="P26" s="17"/>
    </row>
    <row r="27" spans="1:25" x14ac:dyDescent="0.2">
      <c r="A27" s="4"/>
      <c r="B27" s="1" t="s">
        <v>0</v>
      </c>
      <c r="C27" s="7">
        <f t="shared" si="1"/>
        <v>39.290233880669298</v>
      </c>
      <c r="D27" s="7">
        <f t="shared" si="1"/>
        <v>5.8751386567094226</v>
      </c>
      <c r="E27" s="7">
        <f t="shared" si="1"/>
        <v>20.371209398971988</v>
      </c>
      <c r="F27" s="7">
        <f t="shared" si="1"/>
        <v>13.164966331807459</v>
      </c>
      <c r="G27" s="7">
        <f t="shared" si="1"/>
        <v>21.299232896401957</v>
      </c>
      <c r="H27" s="7">
        <f t="shared" si="1"/>
        <v>100</v>
      </c>
      <c r="I27" s="18"/>
      <c r="J27" s="18"/>
      <c r="K27" s="18"/>
      <c r="L27" s="18"/>
      <c r="M27" s="18"/>
      <c r="N27" s="18"/>
      <c r="O27" s="18"/>
      <c r="P27" s="17"/>
    </row>
    <row r="28" spans="1:25" x14ac:dyDescent="0.2">
      <c r="A28" s="14" t="s">
        <v>3</v>
      </c>
      <c r="B28" s="9" t="s">
        <v>1</v>
      </c>
      <c r="C28" s="10">
        <f t="shared" si="1"/>
        <v>36.021885470138017</v>
      </c>
      <c r="D28" s="10">
        <f t="shared" si="1"/>
        <v>13.890511173270218</v>
      </c>
      <c r="E28" s="10">
        <f t="shared" si="1"/>
        <v>10.297236652014877</v>
      </c>
      <c r="F28" s="10">
        <f t="shared" si="1"/>
        <v>10.540067008883288</v>
      </c>
      <c r="G28" s="10">
        <f t="shared" si="1"/>
        <v>29.250299695693606</v>
      </c>
      <c r="H28" s="10">
        <f t="shared" si="1"/>
        <v>100</v>
      </c>
      <c r="I28" s="18"/>
      <c r="J28" s="18"/>
      <c r="K28" s="18"/>
      <c r="L28" s="18"/>
      <c r="M28" s="18"/>
      <c r="N28" s="18"/>
      <c r="O28" s="18"/>
      <c r="P28" s="17"/>
    </row>
    <row r="29" spans="1:25" x14ac:dyDescent="0.2">
      <c r="A29" s="4"/>
      <c r="B29" s="1" t="s">
        <v>2</v>
      </c>
      <c r="C29" s="7">
        <f t="shared" si="1"/>
        <v>26.61134386077989</v>
      </c>
      <c r="D29" s="7">
        <f t="shared" si="1"/>
        <v>7.2993876893329031</v>
      </c>
      <c r="E29" s="7">
        <f t="shared" si="1"/>
        <v>32.186593619078316</v>
      </c>
      <c r="F29" s="7">
        <f t="shared" si="1"/>
        <v>9.8936513051885271</v>
      </c>
      <c r="G29" s="7">
        <f t="shared" si="1"/>
        <v>24.009023525620368</v>
      </c>
      <c r="H29" s="7">
        <f t="shared" si="1"/>
        <v>100</v>
      </c>
      <c r="I29" s="18"/>
      <c r="J29" s="18"/>
      <c r="K29" s="18"/>
      <c r="L29" s="18"/>
      <c r="M29" s="18"/>
      <c r="N29" s="18"/>
      <c r="O29" s="18"/>
      <c r="P29" s="17"/>
    </row>
    <row r="30" spans="1:25" x14ac:dyDescent="0.2">
      <c r="A30" s="4"/>
      <c r="B30" s="1" t="s">
        <v>0</v>
      </c>
      <c r="C30" s="7">
        <f t="shared" si="1"/>
        <v>31.948464032916068</v>
      </c>
      <c r="D30" s="7">
        <f t="shared" si="1"/>
        <v>11.037693085532968</v>
      </c>
      <c r="E30" s="7">
        <f t="shared" si="1"/>
        <v>19.770563827190628</v>
      </c>
      <c r="F30" s="7">
        <f t="shared" si="1"/>
        <v>10.261864081732277</v>
      </c>
      <c r="G30" s="7">
        <f t="shared" si="1"/>
        <v>26.981414972628055</v>
      </c>
      <c r="H30" s="7">
        <f t="shared" si="1"/>
        <v>100</v>
      </c>
      <c r="I30" s="18"/>
      <c r="J30" s="18"/>
      <c r="K30" s="18"/>
      <c r="L30" s="18"/>
      <c r="M30" s="18"/>
      <c r="N30" s="18"/>
      <c r="O30" s="18"/>
      <c r="P30" s="17"/>
    </row>
    <row r="31" spans="1:25" x14ac:dyDescent="0.2">
      <c r="A31" s="14" t="s">
        <v>4</v>
      </c>
      <c r="B31" s="9" t="s">
        <v>1</v>
      </c>
      <c r="C31" s="10">
        <f t="shared" si="1"/>
        <v>48.044126751843301</v>
      </c>
      <c r="D31" s="10">
        <f t="shared" si="1"/>
        <v>1.7147895911896587</v>
      </c>
      <c r="E31" s="10">
        <f t="shared" si="1"/>
        <v>15.648862122661864</v>
      </c>
      <c r="F31" s="10">
        <f t="shared" si="1"/>
        <v>15.15543798427797</v>
      </c>
      <c r="G31" s="10">
        <f t="shared" si="1"/>
        <v>19.436783550027204</v>
      </c>
      <c r="H31" s="10">
        <f t="shared" si="1"/>
        <v>100</v>
      </c>
      <c r="I31" s="18"/>
      <c r="J31" s="18"/>
      <c r="K31" s="18"/>
      <c r="L31" s="18"/>
      <c r="M31" s="18"/>
      <c r="N31" s="18"/>
      <c r="O31" s="18"/>
      <c r="P31" s="17"/>
    </row>
    <row r="32" spans="1:25" x14ac:dyDescent="0.2">
      <c r="A32" s="4"/>
      <c r="B32" s="1" t="s">
        <v>2</v>
      </c>
      <c r="C32" s="7">
        <f t="shared" si="1"/>
        <v>36.667434892832453</v>
      </c>
      <c r="D32" s="7">
        <f t="shared" si="1"/>
        <v>1.5902281631712378</v>
      </c>
      <c r="E32" s="7">
        <f t="shared" si="1"/>
        <v>36.857570868863796</v>
      </c>
      <c r="F32" s="7">
        <f t="shared" si="1"/>
        <v>16.651302143351003</v>
      </c>
      <c r="G32" s="7">
        <f t="shared" si="1"/>
        <v>8.2449873242682639</v>
      </c>
      <c r="H32" s="7">
        <f t="shared" si="1"/>
        <v>100</v>
      </c>
      <c r="I32" s="18"/>
      <c r="J32" s="18"/>
      <c r="K32" s="18"/>
      <c r="L32" s="18"/>
      <c r="M32" s="18"/>
      <c r="N32" s="18"/>
      <c r="O32" s="18"/>
      <c r="P32" s="17"/>
    </row>
    <row r="33" spans="1:16" x14ac:dyDescent="0.2">
      <c r="A33" s="5"/>
      <c r="B33" s="6" t="s">
        <v>0</v>
      </c>
      <c r="C33" s="8">
        <f t="shared" si="1"/>
        <v>45.249586028277456</v>
      </c>
      <c r="D33" s="8">
        <f t="shared" si="1"/>
        <v>1.6827773610541064</v>
      </c>
      <c r="E33" s="8">
        <f t="shared" si="1"/>
        <v>20.85709837666473</v>
      </c>
      <c r="F33" s="8">
        <f t="shared" si="1"/>
        <v>15.522878129555458</v>
      </c>
      <c r="G33" s="8">
        <f t="shared" si="1"/>
        <v>16.686244816507919</v>
      </c>
      <c r="H33" s="8">
        <f t="shared" si="1"/>
        <v>100</v>
      </c>
      <c r="I33" s="18"/>
      <c r="J33" s="18"/>
      <c r="K33" s="18"/>
      <c r="L33" s="18"/>
      <c r="M33" s="18"/>
      <c r="N33" s="18"/>
      <c r="O33" s="18"/>
      <c r="P33" s="17"/>
    </row>
    <row r="34" spans="1:16" x14ac:dyDescent="0.2">
      <c r="I34" s="17"/>
      <c r="J34" s="17"/>
      <c r="K34" s="17"/>
      <c r="L34" s="17"/>
      <c r="M34" s="17"/>
      <c r="N34" s="17"/>
      <c r="O34" s="17"/>
      <c r="P34" s="17"/>
    </row>
    <row r="36" spans="1:16" x14ac:dyDescent="0.2">
      <c r="A36" s="11" t="s">
        <v>22</v>
      </c>
    </row>
    <row r="56" spans="1:7" x14ac:dyDescent="0.2">
      <c r="A56" s="1" t="s">
        <v>12</v>
      </c>
    </row>
    <row r="57" spans="1:7" x14ac:dyDescent="0.2">
      <c r="C57" s="7"/>
      <c r="D57" s="7"/>
      <c r="E57" s="7"/>
      <c r="F57" s="7"/>
      <c r="G57" s="7"/>
    </row>
    <row r="58" spans="1:7" x14ac:dyDescent="0.2">
      <c r="C58" s="7"/>
      <c r="D58" s="7"/>
      <c r="E58" s="7"/>
      <c r="F58" s="7"/>
      <c r="G58" s="7"/>
    </row>
    <row r="59" spans="1:7" x14ac:dyDescent="0.2">
      <c r="C59" s="7"/>
      <c r="D59" s="7"/>
      <c r="E59" s="7"/>
      <c r="F59" s="7"/>
      <c r="G59" s="7"/>
    </row>
    <row r="60" spans="1:7" x14ac:dyDescent="0.2">
      <c r="C60" s="7"/>
      <c r="D60" s="7"/>
      <c r="E60" s="7"/>
      <c r="F60" s="7"/>
      <c r="G60" s="7"/>
    </row>
    <row r="61" spans="1:7" x14ac:dyDescent="0.2">
      <c r="C61" s="7"/>
      <c r="D61" s="7"/>
      <c r="E61" s="7"/>
      <c r="F61" s="7"/>
      <c r="G61" s="7"/>
    </row>
    <row r="62" spans="1:7" x14ac:dyDescent="0.2">
      <c r="C62" s="7"/>
      <c r="D62" s="7"/>
      <c r="E62" s="7"/>
      <c r="F62" s="7"/>
      <c r="G62" s="7"/>
    </row>
  </sheetData>
  <mergeCells count="4">
    <mergeCell ref="A9:I9"/>
    <mergeCell ref="A1:B1"/>
    <mergeCell ref="B6:H6"/>
    <mergeCell ref="A22:I22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A.2.9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Bonnet</dc:creator>
  <cp:lastModifiedBy>Gammarano, Rosina</cp:lastModifiedBy>
  <cp:lastPrinted>2023-04-23T18:20:24Z</cp:lastPrinted>
  <dcterms:created xsi:type="dcterms:W3CDTF">2022-05-26T05:13:18Z</dcterms:created>
  <dcterms:modified xsi:type="dcterms:W3CDTF">2023-10-06T10:17:23Z</dcterms:modified>
</cp:coreProperties>
</file>
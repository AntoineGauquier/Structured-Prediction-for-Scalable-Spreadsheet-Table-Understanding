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K:\INFORMALITY TOOL\TabulationVisualization template\"/>
    </mc:Choice>
  </mc:AlternateContent>
  <xr:revisionPtr revIDLastSave="0" documentId="8_{53B14818-D78E-40BA-BFA4-1611BB2DA574}" xr6:coauthVersionLast="47" xr6:coauthVersionMax="47" xr10:uidLastSave="{00000000-0000-0000-0000-000000000000}"/>
  <bookViews>
    <workbookView xWindow="-120" yWindow="-120" windowWidth="29040" windowHeight="17640" xr2:uid="{02CBB43C-CE13-4799-851C-0A42C072CED8}"/>
  </bookViews>
  <sheets>
    <sheet name="A.2.7" sheetId="30" r:id="rId1"/>
  </sheets>
  <definedNames>
    <definedName name="_Hlk96438137" localSheetId="0">'A.2.7'!#REF!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6" i="30" l="1"/>
  <c r="AA35" i="30"/>
  <c r="S35" i="30"/>
  <c r="K35" i="30"/>
  <c r="AA34" i="30"/>
  <c r="S34" i="30"/>
  <c r="R34" i="30"/>
  <c r="K34" i="30"/>
  <c r="I34" i="30"/>
  <c r="AA33" i="30"/>
  <c r="AA32" i="30"/>
  <c r="S32" i="30"/>
  <c r="K32" i="30"/>
  <c r="AA31" i="30"/>
  <c r="K31" i="30"/>
  <c r="AA30" i="30"/>
  <c r="S30" i="30"/>
  <c r="K30" i="30"/>
  <c r="AA29" i="30"/>
  <c r="Z29" i="30"/>
  <c r="S29" i="30"/>
  <c r="R29" i="30"/>
  <c r="O29" i="30"/>
  <c r="M29" i="30"/>
  <c r="K29" i="30"/>
  <c r="F29" i="30"/>
  <c r="C29" i="30"/>
  <c r="AA28" i="30"/>
  <c r="X28" i="30"/>
  <c r="W28" i="30"/>
  <c r="V28" i="30"/>
  <c r="U28" i="30"/>
  <c r="T28" i="30"/>
  <c r="S28" i="30"/>
  <c r="Q28" i="30"/>
  <c r="P28" i="30"/>
  <c r="O28" i="30"/>
  <c r="N28" i="30"/>
  <c r="M28" i="30"/>
  <c r="L28" i="30"/>
  <c r="K28" i="30"/>
  <c r="I28" i="30"/>
  <c r="H28" i="30"/>
  <c r="G28" i="30"/>
  <c r="F28" i="30"/>
  <c r="C28" i="30"/>
  <c r="AA27" i="30"/>
  <c r="S27" i="30"/>
  <c r="K27" i="30"/>
  <c r="AA26" i="30"/>
  <c r="Z26" i="30"/>
  <c r="Y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I26" i="30"/>
  <c r="H26" i="30"/>
  <c r="G26" i="30"/>
  <c r="F26" i="30"/>
  <c r="E26" i="30"/>
  <c r="C26" i="30"/>
  <c r="L34" i="30" l="1"/>
  <c r="T34" i="30"/>
  <c r="I31" i="30"/>
  <c r="C34" i="30"/>
  <c r="M34" i="30"/>
  <c r="E34" i="30"/>
  <c r="F34" i="30"/>
  <c r="O34" i="30"/>
  <c r="N34" i="30"/>
  <c r="G34" i="30"/>
  <c r="P34" i="30"/>
  <c r="H34" i="30"/>
  <c r="S33" i="30"/>
  <c r="G29" i="30"/>
  <c r="P29" i="30"/>
  <c r="L33" i="30"/>
  <c r="T33" i="30"/>
  <c r="U34" i="30"/>
  <c r="E35" i="30"/>
  <c r="N35" i="30"/>
  <c r="V35" i="30"/>
  <c r="H29" i="30"/>
  <c r="E33" i="30"/>
  <c r="N33" i="30"/>
  <c r="W34" i="30"/>
  <c r="K33" i="30"/>
  <c r="L29" i="30"/>
  <c r="T29" i="30"/>
  <c r="Q34" i="30"/>
  <c r="N29" i="30"/>
  <c r="Z34" i="30"/>
  <c r="F33" i="30"/>
  <c r="O33" i="30"/>
  <c r="W33" i="30"/>
  <c r="X34" i="30"/>
  <c r="G33" i="30"/>
  <c r="H33" i="30"/>
  <c r="D15" i="30"/>
  <c r="D29" i="30" s="1"/>
  <c r="R33" i="30"/>
  <c r="E29" i="30"/>
  <c r="C33" i="30"/>
  <c r="M33" i="30"/>
  <c r="U33" i="30"/>
  <c r="V34" i="30"/>
  <c r="W29" i="30"/>
  <c r="G31" i="30"/>
  <c r="P31" i="30"/>
  <c r="Q32" i="30"/>
  <c r="Y32" i="30"/>
  <c r="Z33" i="30"/>
  <c r="L35" i="30"/>
  <c r="T35" i="30"/>
  <c r="S31" i="30"/>
  <c r="H30" i="30"/>
  <c r="H31" i="30"/>
  <c r="I32" i="30"/>
  <c r="C35" i="30"/>
  <c r="M35" i="30"/>
  <c r="U35" i="30"/>
  <c r="C31" i="30"/>
  <c r="L31" i="30"/>
  <c r="T31" i="30"/>
  <c r="C32" i="30"/>
  <c r="V33" i="30"/>
  <c r="P35" i="30"/>
  <c r="X35" i="30"/>
  <c r="C30" i="30"/>
  <c r="D17" i="30"/>
  <c r="D31" i="30" s="1"/>
  <c r="M31" i="30"/>
  <c r="U31" i="30"/>
  <c r="N32" i="30"/>
  <c r="V32" i="30"/>
  <c r="H35" i="30"/>
  <c r="D16" i="30"/>
  <c r="D30" i="30" s="1"/>
  <c r="E31" i="30"/>
  <c r="N31" i="30"/>
  <c r="V31" i="30"/>
  <c r="P33" i="30"/>
  <c r="T32" i="30"/>
  <c r="F31" i="30"/>
  <c r="O31" i="30"/>
  <c r="H27" i="30"/>
  <c r="Q27" i="30"/>
  <c r="Y27" i="30"/>
  <c r="J17" i="30"/>
  <c r="J31" i="30" s="1"/>
  <c r="R31" i="30"/>
  <c r="Z31" i="30"/>
  <c r="I27" i="30"/>
  <c r="R27" i="30"/>
  <c r="Z27" i="30"/>
  <c r="D21" i="30"/>
  <c r="D35" i="30" s="1"/>
  <c r="L27" i="30"/>
  <c r="T27" i="30"/>
  <c r="C27" i="30"/>
  <c r="M27" i="30"/>
  <c r="U27" i="30"/>
  <c r="D14" i="30"/>
  <c r="D28" i="30" s="1"/>
  <c r="V29" i="30"/>
  <c r="D18" i="30"/>
  <c r="D32" i="30" s="1"/>
  <c r="X33" i="30"/>
  <c r="Y34" i="30"/>
  <c r="E27" i="30"/>
  <c r="N27" i="30"/>
  <c r="V27" i="30"/>
  <c r="W31" i="30"/>
  <c r="F27" i="30"/>
  <c r="O27" i="30"/>
  <c r="W27" i="30"/>
  <c r="X31" i="30"/>
  <c r="G27" i="30"/>
  <c r="P27" i="30"/>
  <c r="X27" i="30"/>
  <c r="Y28" i="30"/>
  <c r="R30" i="30"/>
  <c r="Z30" i="30"/>
  <c r="Q31" i="30"/>
  <c r="Y31" i="30"/>
  <c r="X30" i="30"/>
  <c r="U29" i="30"/>
  <c r="L30" i="30"/>
  <c r="T30" i="30"/>
  <c r="J18" i="30"/>
  <c r="J32" i="30" s="1"/>
  <c r="R32" i="30"/>
  <c r="Z32" i="30"/>
  <c r="I33" i="30"/>
  <c r="Q33" i="30"/>
  <c r="Y33" i="30"/>
  <c r="G35" i="30"/>
  <c r="O35" i="30"/>
  <c r="W35" i="30"/>
  <c r="E28" i="30"/>
  <c r="F32" i="30"/>
  <c r="F30" i="30"/>
  <c r="N30" i="30"/>
  <c r="V30" i="30"/>
  <c r="J20" i="30"/>
  <c r="J34" i="30" s="1"/>
  <c r="I35" i="30"/>
  <c r="Q35" i="30"/>
  <c r="Y35" i="30"/>
  <c r="M30" i="30"/>
  <c r="J13" i="30"/>
  <c r="J27" i="30" s="1"/>
  <c r="X29" i="30"/>
  <c r="G30" i="30"/>
  <c r="O30" i="30"/>
  <c r="W30" i="30"/>
  <c r="E32" i="30"/>
  <c r="M32" i="30"/>
  <c r="U32" i="30"/>
  <c r="D19" i="30"/>
  <c r="D33" i="30" s="1"/>
  <c r="J21" i="30"/>
  <c r="J35" i="30" s="1"/>
  <c r="R35" i="30"/>
  <c r="Z35" i="30"/>
  <c r="F35" i="30"/>
  <c r="E30" i="30"/>
  <c r="U30" i="30"/>
  <c r="J19" i="30"/>
  <c r="J33" i="30" s="1"/>
  <c r="L32" i="30"/>
  <c r="J14" i="30"/>
  <c r="J28" i="30" s="1"/>
  <c r="I29" i="30"/>
  <c r="Q29" i="30"/>
  <c r="Y29" i="30"/>
  <c r="D20" i="30"/>
  <c r="D34" i="30" s="1"/>
  <c r="D13" i="30"/>
  <c r="D27" i="30" s="1"/>
  <c r="J15" i="30"/>
  <c r="J29" i="30" s="1"/>
  <c r="AC29" i="30" s="1"/>
  <c r="I30" i="30"/>
  <c r="Q30" i="30"/>
  <c r="Y30" i="30"/>
  <c r="G32" i="30"/>
  <c r="O32" i="30"/>
  <c r="W32" i="30"/>
  <c r="R28" i="30"/>
  <c r="Z28" i="30"/>
  <c r="P30" i="30"/>
  <c r="J16" i="30"/>
  <c r="J30" i="30" s="1"/>
  <c r="H32" i="30"/>
  <c r="P32" i="30"/>
  <c r="X32" i="30"/>
  <c r="AC34" i="30" l="1"/>
  <c r="AC31" i="30"/>
  <c r="AC35" i="30"/>
  <c r="AC28" i="30"/>
  <c r="AC33" i="30"/>
  <c r="AC30" i="30"/>
  <c r="AC32" i="30"/>
  <c r="AC27" i="30"/>
</calcChain>
</file>

<file path=xl/sharedStrings.xml><?xml version="1.0" encoding="utf-8"?>
<sst xmlns="http://schemas.openxmlformats.org/spreadsheetml/2006/main" count="73" uniqueCount="47">
  <si>
    <t>Total</t>
  </si>
  <si>
    <t>A - Agriculture, forestry and fishing</t>
  </si>
  <si>
    <t>B - Mining and quarrying</t>
  </si>
  <si>
    <t>C - Manufacturing</t>
  </si>
  <si>
    <t>D - Electricity, gas, steam and air conditioning supply</t>
  </si>
  <si>
    <t>E - Water supply; sewerage, waste management and remediation activities</t>
  </si>
  <si>
    <t>F - Construction</t>
  </si>
  <si>
    <t>G - Wholesale and retail trade; repair of motor vehicles and motorcycles</t>
  </si>
  <si>
    <t>H - Transportation and storage</t>
  </si>
  <si>
    <t>I - Accommodation and food service activities</t>
  </si>
  <si>
    <t>J - Information and communication</t>
  </si>
  <si>
    <t>K - Financial and insurance activities</t>
  </si>
  <si>
    <t>L - Real estate activities</t>
  </si>
  <si>
    <t>M - Professional, scientific and technical activities</t>
  </si>
  <si>
    <t>N - Administrative and support service activities</t>
  </si>
  <si>
    <t>O - Public administration and defence; compulsory social security</t>
  </si>
  <si>
    <t>P - Education</t>
  </si>
  <si>
    <t>Q - Human health and social work activities</t>
  </si>
  <si>
    <t>R - Arts, entertainment and recreation</t>
  </si>
  <si>
    <t>S - Other service activities</t>
  </si>
  <si>
    <t>U - Activities of extraterritorial organizations and bodies</t>
  </si>
  <si>
    <t>X - Not elsewhere classified</t>
  </si>
  <si>
    <t>Agriculture</t>
  </si>
  <si>
    <t>Services</t>
  </si>
  <si>
    <t>Informal employment</t>
  </si>
  <si>
    <t>Formal employment</t>
  </si>
  <si>
    <t>Men</t>
  </si>
  <si>
    <t>Women</t>
  </si>
  <si>
    <t>Economic activity</t>
  </si>
  <si>
    <t>Indutry</t>
  </si>
  <si>
    <t>Country</t>
  </si>
  <si>
    <t>Source</t>
  </si>
  <si>
    <t>Year</t>
  </si>
  <si>
    <t>Structual factor</t>
  </si>
  <si>
    <t>Headcounts</t>
  </si>
  <si>
    <t>T - Activities of households as employers;  goods- and services-for own final use</t>
  </si>
  <si>
    <t>Namibia</t>
  </si>
  <si>
    <t>NLFS</t>
  </si>
  <si>
    <t>Dimension</t>
  </si>
  <si>
    <t>Indicator</t>
  </si>
  <si>
    <r>
      <t xml:space="preserve">HEADLINE INDICATORS </t>
    </r>
    <r>
      <rPr>
        <i/>
        <sz val="11"/>
        <color theme="0"/>
        <rFont val="Calibri"/>
        <family val="2"/>
        <scheme val="minor"/>
      </rPr>
      <t>(para 128c)</t>
    </r>
  </si>
  <si>
    <t>II - Composition of informal and formal employment by employment related characteristics</t>
  </si>
  <si>
    <t>Para 128 c)</t>
  </si>
  <si>
    <t>A_2_7 - Number and distribution of persons with an informal or formal main job by sector of economic activity (ISIC) and sex</t>
  </si>
  <si>
    <r>
      <rPr>
        <b/>
        <sz val="12"/>
        <rFont val="Calibri"/>
        <family val="2"/>
        <scheme val="minor"/>
      </rPr>
      <t>Table A_2_7a.</t>
    </r>
    <r>
      <rPr>
        <sz val="12"/>
        <rFont val="Calibri"/>
        <family val="2"/>
        <scheme val="minor"/>
      </rPr>
      <t xml:space="preserve"> Number of persons with an informal or formal main job by </t>
    </r>
    <r>
      <rPr>
        <b/>
        <sz val="12"/>
        <rFont val="Calibri"/>
        <family val="2"/>
        <scheme val="minor"/>
      </rPr>
      <t>sector of economic activity and sex</t>
    </r>
    <r>
      <rPr>
        <sz val="12"/>
        <rFont val="Calibri"/>
        <family val="2"/>
        <scheme val="minor"/>
      </rPr>
      <t xml:space="preserve"> (128c)</t>
    </r>
  </si>
  <si>
    <r>
      <rPr>
        <b/>
        <sz val="12"/>
        <rFont val="Calibri"/>
        <family val="2"/>
        <scheme val="minor"/>
      </rPr>
      <t>Table A_2_7b.</t>
    </r>
    <r>
      <rPr>
        <sz val="12"/>
        <rFont val="Calibri"/>
        <family val="2"/>
        <scheme val="minor"/>
      </rPr>
      <t xml:space="preserve"> Number of persons with an informal or formal main job by </t>
    </r>
    <r>
      <rPr>
        <b/>
        <sz val="12"/>
        <rFont val="Calibri"/>
        <family val="2"/>
        <scheme val="minor"/>
      </rPr>
      <t>sector of economic activity and sex</t>
    </r>
    <r>
      <rPr>
        <sz val="12"/>
        <rFont val="Calibri"/>
        <family val="2"/>
        <scheme val="minor"/>
      </rPr>
      <t xml:space="preserve"> (128c)</t>
    </r>
  </si>
  <si>
    <t>Figure A_2_7. Distribution of persons with an informal or formal main job by economic activity and 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</si>
</sst>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4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2" tint="-0.74999237037263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2" borderId="0" xfId="0" applyFont="1" applyFill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3" borderId="2" xfId="0" applyFont="1" applyFill="1" applyBorder="1"/>
    <xf numFmtId="0" fontId="2" fillId="3" borderId="0" xfId="0" applyFont="1" applyFill="1"/>
    <xf numFmtId="164" fontId="2" fillId="2" borderId="2" xfId="0" applyNumberFormat="1" applyFont="1" applyFill="1" applyBorder="1"/>
    <xf numFmtId="164" fontId="2" fillId="2" borderId="0" xfId="0" applyNumberFormat="1" applyFont="1" applyFill="1"/>
    <xf numFmtId="0" fontId="3" fillId="2" borderId="0" xfId="0" applyFont="1" applyFill="1"/>
    <xf numFmtId="0" fontId="2" fillId="2" borderId="0" xfId="0" applyFont="1" applyFill="1" applyAlignment="1">
      <alignment horizontal="right" wrapText="1"/>
    </xf>
    <xf numFmtId="164" fontId="2" fillId="3" borderId="2" xfId="0" applyNumberFormat="1" applyFont="1" applyFill="1" applyBorder="1"/>
    <xf numFmtId="164" fontId="2" fillId="3" borderId="0" xfId="0" applyNumberFormat="1" applyFont="1" applyFill="1"/>
    <xf numFmtId="0" fontId="2" fillId="3" borderId="6" xfId="0" applyFont="1" applyFill="1" applyBorder="1"/>
    <xf numFmtId="0" fontId="2" fillId="3" borderId="0" xfId="0" applyFont="1" applyFill="1" applyAlignment="1">
      <alignment horizontal="right" wrapText="1"/>
    </xf>
    <xf numFmtId="0" fontId="3" fillId="3" borderId="0" xfId="0" applyFont="1" applyFill="1" applyAlignment="1">
      <alignment horizontal="right"/>
    </xf>
    <xf numFmtId="0" fontId="3" fillId="2" borderId="0" xfId="0" applyFont="1" applyFill="1" applyAlignment="1">
      <alignment horizontal="left"/>
    </xf>
    <xf numFmtId="0" fontId="2" fillId="2" borderId="4" xfId="0" applyFont="1" applyFill="1" applyBorder="1" applyAlignment="1">
      <alignment horizontal="right"/>
    </xf>
    <xf numFmtId="0" fontId="5" fillId="2" borderId="6" xfId="0" applyFont="1" applyFill="1" applyBorder="1"/>
    <xf numFmtId="164" fontId="5" fillId="3" borderId="6" xfId="0" applyNumberFormat="1" applyFont="1" applyFill="1" applyBorder="1"/>
    <xf numFmtId="164" fontId="5" fillId="2" borderId="6" xfId="0" applyNumberFormat="1" applyFont="1" applyFill="1" applyBorder="1"/>
    <xf numFmtId="0" fontId="5" fillId="2" borderId="0" xfId="0" applyFont="1" applyFill="1"/>
    <xf numFmtId="0" fontId="5" fillId="2" borderId="5" xfId="0" applyFont="1" applyFill="1" applyBorder="1"/>
    <xf numFmtId="0" fontId="8" fillId="4" borderId="7" xfId="0" applyFont="1" applyFill="1" applyBorder="1"/>
    <xf numFmtId="0" fontId="2" fillId="2" borderId="0" xfId="0" applyFont="1" applyFill="1" applyAlignment="1">
      <alignment wrapText="1"/>
    </xf>
    <xf numFmtId="0" fontId="1" fillId="0" borderId="0" xfId="0" applyFont="1" applyAlignment="1"/>
    <xf numFmtId="0" fontId="0" fillId="0" borderId="0" xfId="0" applyAlignment="1"/>
    <xf numFmtId="0" fontId="0" fillId="2" borderId="0" xfId="0" applyFont="1" applyFill="1" applyAlignment="1"/>
    <xf numFmtId="0" fontId="13" fillId="2" borderId="4" xfId="0" applyFont="1" applyFill="1" applyBorder="1"/>
    <xf numFmtId="0" fontId="1" fillId="2" borderId="4" xfId="0" applyFont="1" applyFill="1" applyBorder="1" applyAlignment="1"/>
    <xf numFmtId="0" fontId="1" fillId="2" borderId="0" xfId="0" applyFont="1" applyFill="1" applyBorder="1" applyAlignment="1"/>
    <xf numFmtId="0" fontId="9" fillId="5" borderId="0" xfId="0" applyFont="1" applyFill="1" applyAlignment="1">
      <alignment horizontal="left" wrapText="1"/>
    </xf>
    <xf numFmtId="0" fontId="6" fillId="0" borderId="0" xfId="0" applyFont="1" applyAlignment="1">
      <alignment horizontal="left" wrapText="1"/>
    </xf>
    <xf numFmtId="0" fontId="13" fillId="2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0" borderId="4" xfId="0" applyFont="1" applyBorder="1" applyAlignment="1">
      <alignment wrapText="1"/>
    </xf>
    <xf numFmtId="0" fontId="11" fillId="2" borderId="0" xfId="0" applyFont="1" applyFill="1" applyAlignment="1">
      <alignment wrapText="1"/>
    </xf>
    <xf numFmtId="0" fontId="11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3" fillId="3" borderId="0" xfId="0" applyFont="1" applyFill="1" applyAlignment="1">
      <alignment horizontal="right" vertical="top" wrapText="1"/>
    </xf>
    <xf numFmtId="0" fontId="1" fillId="3" borderId="6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D0CB"/>
      <color rgb="FF03615F"/>
      <color rgb="FF05ABA7"/>
      <color rgb="FF3D6BBD"/>
      <color rgb="FF05A39F"/>
      <color rgb="FF80C000"/>
      <color rgb="FF037774"/>
      <color rgb="FFC59EE2"/>
      <color rgb="FFB17ED8"/>
      <color rgb="FF06CC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017968357227322E-2"/>
          <c:y val="3.4334101094506041E-2"/>
          <c:w val="0.54256574962542636"/>
          <c:h val="0.889117034626363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'A.2.7'!$C$26</c:f>
              <c:strCache>
                <c:ptCount val="1"/>
                <c:pt idx="0">
                  <c:v>A - Agriculture, forestry and fishing</c:v>
                </c:pt>
              </c:strCache>
            </c:strRef>
          </c:tx>
          <c:spPr>
            <a:solidFill>
              <a:srgbClr val="8CE16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('A.2.7'!$A$27:$B$28,'A.2.7'!$A$30:$B$31,'A.2.7'!$A$33:$B$34)</c:f>
              <c:multiLvlStrCache>
                <c:ptCount val="6"/>
                <c:lvl>
                  <c:pt idx="0">
                    <c:v>Informal employment</c:v>
                  </c:pt>
                  <c:pt idx="1">
                    <c:v>Formal employment</c:v>
                  </c:pt>
                  <c:pt idx="2">
                    <c:v>Informal employment</c:v>
                  </c:pt>
                  <c:pt idx="3">
                    <c:v>Formal employment</c:v>
                  </c:pt>
                  <c:pt idx="4">
                    <c:v>Informal employment</c:v>
                  </c:pt>
                  <c:pt idx="5">
                    <c:v>Formal employment</c:v>
                  </c:pt>
                </c:lvl>
                <c:lvl>
                  <c:pt idx="0">
                    <c:v>Total</c:v>
                  </c:pt>
                  <c:pt idx="2">
                    <c:v>Men</c:v>
                  </c:pt>
                  <c:pt idx="4">
                    <c:v>Women</c:v>
                  </c:pt>
                </c:lvl>
              </c:multiLvlStrCache>
            </c:multiLvlStrRef>
          </c:cat>
          <c:val>
            <c:numRef>
              <c:f>('A.2.7'!$C$27:$C$28,'A.2.7'!$C$30:$C$31,'A.2.7'!$C$33:$C$34)</c:f>
              <c:numCache>
                <c:formatCode>0.0</c:formatCode>
                <c:ptCount val="6"/>
                <c:pt idx="0">
                  <c:v>34.794940000595524</c:v>
                </c:pt>
                <c:pt idx="1">
                  <c:v>7.2065534595522802</c:v>
                </c:pt>
                <c:pt idx="2">
                  <c:v>38.028154305645486</c:v>
                </c:pt>
                <c:pt idx="3">
                  <c:v>8.3452794199533216</c:v>
                </c:pt>
                <c:pt idx="4">
                  <c:v>31.867206967804169</c:v>
                </c:pt>
                <c:pt idx="5">
                  <c:v>5.9326021405613174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B-C1FD-4AC1-8EC7-4CF442FAEA15}"/>
            </c:ext>
          </c:extLst>
        </c:ser>
        <c:ser>
          <c:idx val="1"/>
          <c:order val="1"/>
          <c:tx>
            <c:strRef>
              <c:f>'A.2.7'!$E$26</c:f>
              <c:strCache>
                <c:ptCount val="1"/>
                <c:pt idx="0">
                  <c:v>B - Mining and quarrying</c:v>
                </c:pt>
              </c:strCache>
            </c:strRef>
          </c:tx>
          <c:spPr>
            <a:solidFill>
              <a:srgbClr val="03696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('A.2.7'!$A$27:$B$28,'A.2.7'!$A$30:$B$31,'A.2.7'!$A$33:$B$34)</c:f>
              <c:multiLvlStrCache>
                <c:ptCount val="6"/>
                <c:lvl>
                  <c:pt idx="0">
                    <c:v>Informal employment</c:v>
                  </c:pt>
                  <c:pt idx="1">
                    <c:v>Formal employment</c:v>
                  </c:pt>
                  <c:pt idx="2">
                    <c:v>Informal employment</c:v>
                  </c:pt>
                  <c:pt idx="3">
                    <c:v>Formal employment</c:v>
                  </c:pt>
                  <c:pt idx="4">
                    <c:v>Informal employment</c:v>
                  </c:pt>
                  <c:pt idx="5">
                    <c:v>Formal employment</c:v>
                  </c:pt>
                </c:lvl>
                <c:lvl>
                  <c:pt idx="0">
                    <c:v>Total</c:v>
                  </c:pt>
                  <c:pt idx="2">
                    <c:v>Men</c:v>
                  </c:pt>
                  <c:pt idx="4">
                    <c:v>Women</c:v>
                  </c:pt>
                </c:lvl>
              </c:multiLvlStrCache>
            </c:multiLvlStrRef>
          </c:cat>
          <c:val>
            <c:numRef>
              <c:f>('A.2.7'!$E$27:$E$28,'A.2.7'!$E$30:$E$31,'A.2.7'!$E$33:$E$34)</c:f>
              <c:numCache>
                <c:formatCode>0.0</c:formatCode>
                <c:ptCount val="6"/>
                <c:pt idx="0">
                  <c:v>0.58138380760488728</c:v>
                </c:pt>
                <c:pt idx="1">
                  <c:v>3.3489829813987093</c:v>
                </c:pt>
                <c:pt idx="2">
                  <c:v>0.88504354727542356</c:v>
                </c:pt>
                <c:pt idx="3">
                  <c:v>5.3804779224471906</c:v>
                </c:pt>
                <c:pt idx="4">
                  <c:v>0.30640181193170268</c:v>
                </c:pt>
                <c:pt idx="5">
                  <c:v>1.0769077835581033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D-C1FD-4AC1-8EC7-4CF442FAEA15}"/>
            </c:ext>
          </c:extLst>
        </c:ser>
        <c:ser>
          <c:idx val="2"/>
          <c:order val="2"/>
          <c:tx>
            <c:strRef>
              <c:f>'A.2.7'!$F$26</c:f>
              <c:strCache>
                <c:ptCount val="1"/>
                <c:pt idx="0">
                  <c:v>C - Manufacturing</c:v>
                </c:pt>
              </c:strCache>
            </c:strRef>
          </c:tx>
          <c:spPr>
            <a:solidFill>
              <a:srgbClr val="04898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('A.2.7'!$A$27:$B$28,'A.2.7'!$A$30:$B$31,'A.2.7'!$A$33:$B$34)</c:f>
              <c:multiLvlStrCache>
                <c:ptCount val="6"/>
                <c:lvl>
                  <c:pt idx="0">
                    <c:v>Informal employment</c:v>
                  </c:pt>
                  <c:pt idx="1">
                    <c:v>Formal employment</c:v>
                  </c:pt>
                  <c:pt idx="2">
                    <c:v>Informal employment</c:v>
                  </c:pt>
                  <c:pt idx="3">
                    <c:v>Formal employment</c:v>
                  </c:pt>
                  <c:pt idx="4">
                    <c:v>Informal employment</c:v>
                  </c:pt>
                  <c:pt idx="5">
                    <c:v>Formal employment</c:v>
                  </c:pt>
                </c:lvl>
                <c:lvl>
                  <c:pt idx="0">
                    <c:v>Total</c:v>
                  </c:pt>
                  <c:pt idx="2">
                    <c:v>Men</c:v>
                  </c:pt>
                  <c:pt idx="4">
                    <c:v>Women</c:v>
                  </c:pt>
                </c:lvl>
              </c:multiLvlStrCache>
            </c:multiLvlStrRef>
          </c:cat>
          <c:val>
            <c:numRef>
              <c:f>('A.2.7'!$F$27:$F$28,'A.2.7'!$F$30:$F$31,'A.2.7'!$F$33:$F$34)</c:f>
              <c:numCache>
                <c:formatCode>0.0</c:formatCode>
                <c:ptCount val="6"/>
                <c:pt idx="0">
                  <c:v>6.4793401554327001</c:v>
                </c:pt>
                <c:pt idx="1">
                  <c:v>8.1067470731196174</c:v>
                </c:pt>
                <c:pt idx="2">
                  <c:v>8.0097746402389358</c:v>
                </c:pt>
                <c:pt idx="3">
                  <c:v>10.246188112360349</c:v>
                </c:pt>
                <c:pt idx="4">
                  <c:v>5.0939301233645571</c:v>
                </c:pt>
                <c:pt idx="5">
                  <c:v>5.7132443089565585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F-C1FD-4AC1-8EC7-4CF442FAEA15}"/>
            </c:ext>
          </c:extLst>
        </c:ser>
        <c:ser>
          <c:idx val="3"/>
          <c:order val="3"/>
          <c:tx>
            <c:strRef>
              <c:f>'A.2.7'!$G$26</c:f>
              <c:strCache>
                <c:ptCount val="1"/>
                <c:pt idx="0">
                  <c:v>D - Electricity, gas, steam and air conditioning supply</c:v>
                </c:pt>
              </c:strCache>
            </c:strRef>
          </c:tx>
          <c:spPr>
            <a:solidFill>
              <a:srgbClr val="05A7A3"/>
            </a:solidFill>
          </c:spPr>
          <c:invertIfNegative val="0"/>
          <c:cat>
            <c:multiLvlStrRef>
              <c:f>('A.2.7'!$A$27:$B$28,'A.2.7'!$A$30:$B$31,'A.2.7'!$A$33:$B$34)</c:f>
              <c:multiLvlStrCache>
                <c:ptCount val="6"/>
                <c:lvl>
                  <c:pt idx="0">
                    <c:v>Informal employment</c:v>
                  </c:pt>
                  <c:pt idx="1">
                    <c:v>Formal employment</c:v>
                  </c:pt>
                  <c:pt idx="2">
                    <c:v>Informal employment</c:v>
                  </c:pt>
                  <c:pt idx="3">
                    <c:v>Formal employment</c:v>
                  </c:pt>
                  <c:pt idx="4">
                    <c:v>Informal employment</c:v>
                  </c:pt>
                  <c:pt idx="5">
                    <c:v>Formal employment</c:v>
                  </c:pt>
                </c:lvl>
                <c:lvl>
                  <c:pt idx="0">
                    <c:v>Total</c:v>
                  </c:pt>
                  <c:pt idx="2">
                    <c:v>Men</c:v>
                  </c:pt>
                  <c:pt idx="4">
                    <c:v>Women</c:v>
                  </c:pt>
                </c:lvl>
              </c:multiLvlStrCache>
            </c:multiLvlStrRef>
          </c:cat>
          <c:val>
            <c:numRef>
              <c:f>('A.2.7'!$G$27:$G$28,'A.2.7'!$G$30:$G$31,'A.2.7'!$G$33:$G$34)</c:f>
              <c:numCache>
                <c:formatCode>0.0</c:formatCode>
                <c:ptCount val="6"/>
                <c:pt idx="0">
                  <c:v>0.10322478188802095</c:v>
                </c:pt>
                <c:pt idx="1">
                  <c:v>0.97901529203119086</c:v>
                </c:pt>
                <c:pt idx="2">
                  <c:v>0.17230936318636561</c:v>
                </c:pt>
                <c:pt idx="3">
                  <c:v>1.2410108166384306</c:v>
                </c:pt>
                <c:pt idx="4">
                  <c:v>4.0664438003281525E-2</c:v>
                </c:pt>
                <c:pt idx="5">
                  <c:v>0.6859074190662382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1-C1FD-4AC1-8EC7-4CF442FAEA15}"/>
            </c:ext>
          </c:extLst>
        </c:ser>
        <c:ser>
          <c:idx val="4"/>
          <c:order val="4"/>
          <c:tx>
            <c:strRef>
              <c:f>'A.2.7'!$H$26</c:f>
              <c:strCache>
                <c:ptCount val="1"/>
                <c:pt idx="0">
                  <c:v>E - Water supply; sewerage, waste management and remediation activities</c:v>
                </c:pt>
              </c:strCache>
            </c:strRef>
          </c:tx>
          <c:spPr>
            <a:solidFill>
              <a:srgbClr val="06CCC7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('A.2.7'!$A$27:$B$28,'A.2.7'!$A$30:$B$31,'A.2.7'!$A$33:$B$34)</c:f>
              <c:multiLvlStrCache>
                <c:ptCount val="6"/>
                <c:lvl>
                  <c:pt idx="0">
                    <c:v>Informal employment</c:v>
                  </c:pt>
                  <c:pt idx="1">
                    <c:v>Formal employment</c:v>
                  </c:pt>
                  <c:pt idx="2">
                    <c:v>Informal employment</c:v>
                  </c:pt>
                  <c:pt idx="3">
                    <c:v>Formal employment</c:v>
                  </c:pt>
                  <c:pt idx="4">
                    <c:v>Informal employment</c:v>
                  </c:pt>
                  <c:pt idx="5">
                    <c:v>Formal employment</c:v>
                  </c:pt>
                </c:lvl>
                <c:lvl>
                  <c:pt idx="0">
                    <c:v>Total</c:v>
                  </c:pt>
                  <c:pt idx="2">
                    <c:v>Men</c:v>
                  </c:pt>
                  <c:pt idx="4">
                    <c:v>Women</c:v>
                  </c:pt>
                </c:lvl>
              </c:multiLvlStrCache>
            </c:multiLvlStrRef>
          </c:cat>
          <c:val>
            <c:numRef>
              <c:f>('A.2.7'!$H$27:$H$28,'A.2.7'!$H$30:$H$31,'A.2.7'!$H$33:$H$34)</c:f>
              <c:numCache>
                <c:formatCode>0.0</c:formatCode>
                <c:ptCount val="6"/>
                <c:pt idx="0">
                  <c:v>0.2831237407072883</c:v>
                </c:pt>
                <c:pt idx="1">
                  <c:v>1.0253073889067872</c:v>
                </c:pt>
                <c:pt idx="2">
                  <c:v>0.36132751310595462</c:v>
                </c:pt>
                <c:pt idx="3">
                  <c:v>1.3115026004952197</c:v>
                </c:pt>
                <c:pt idx="4">
                  <c:v>0.21230619376131865</c:v>
                </c:pt>
                <c:pt idx="5">
                  <c:v>0.70446336856754699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3-C1FD-4AC1-8EC7-4CF442FAEA15}"/>
            </c:ext>
          </c:extLst>
        </c:ser>
        <c:ser>
          <c:idx val="5"/>
          <c:order val="5"/>
          <c:tx>
            <c:strRef>
              <c:f>'A.2.7'!$I$26</c:f>
              <c:strCache>
                <c:ptCount val="1"/>
                <c:pt idx="0">
                  <c:v>F - Construction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ysClr val="windowText" lastClr="00000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('A.2.7'!$A$27:$B$28,'A.2.7'!$A$30:$B$31,'A.2.7'!$A$33:$B$34)</c:f>
              <c:multiLvlStrCache>
                <c:ptCount val="6"/>
                <c:lvl>
                  <c:pt idx="0">
                    <c:v>Informal employment</c:v>
                  </c:pt>
                  <c:pt idx="1">
                    <c:v>Formal employment</c:v>
                  </c:pt>
                  <c:pt idx="2">
                    <c:v>Informal employment</c:v>
                  </c:pt>
                  <c:pt idx="3">
                    <c:v>Formal employment</c:v>
                  </c:pt>
                  <c:pt idx="4">
                    <c:v>Informal employment</c:v>
                  </c:pt>
                  <c:pt idx="5">
                    <c:v>Formal employment</c:v>
                  </c:pt>
                </c:lvl>
                <c:lvl>
                  <c:pt idx="0">
                    <c:v>Total</c:v>
                  </c:pt>
                  <c:pt idx="2">
                    <c:v>Men</c:v>
                  </c:pt>
                  <c:pt idx="4">
                    <c:v>Women</c:v>
                  </c:pt>
                </c:lvl>
              </c:multiLvlStrCache>
            </c:multiLvlStrRef>
          </c:cat>
          <c:val>
            <c:numRef>
              <c:f>('A.2.7'!$I$27:$I$28,'A.2.7'!$I$30:$I$31,'A.2.7'!$I$33:$I$34)</c:f>
              <c:numCache>
                <c:formatCode>0.0</c:formatCode>
                <c:ptCount val="6"/>
                <c:pt idx="0">
                  <c:v>6.9547696797054126</c:v>
                </c:pt>
                <c:pt idx="1">
                  <c:v>5.05271981708366</c:v>
                </c:pt>
                <c:pt idx="2">
                  <c:v>14.062532634349086</c:v>
                </c:pt>
                <c:pt idx="3">
                  <c:v>8.2339142488182269</c:v>
                </c:pt>
                <c:pt idx="4">
                  <c:v>0.51823516339065756</c:v>
                </c:pt>
                <c:pt idx="5">
                  <c:v>1.493753934855363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5-C1FD-4AC1-8EC7-4CF442FAEA15}"/>
            </c:ext>
          </c:extLst>
        </c:ser>
        <c:ser>
          <c:idx val="6"/>
          <c:order val="6"/>
          <c:tx>
            <c:strRef>
              <c:f>'A.2.7'!$K$26</c:f>
              <c:strCache>
                <c:ptCount val="1"/>
                <c:pt idx="0">
                  <c:v>G - Wholesale and retail trade; repair of motor vehicles and motorcycles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('A.2.7'!$A$27:$B$28,'A.2.7'!$A$30:$B$31,'A.2.7'!$A$33:$B$34)</c:f>
              <c:multiLvlStrCache>
                <c:ptCount val="6"/>
                <c:lvl>
                  <c:pt idx="0">
                    <c:v>Informal employment</c:v>
                  </c:pt>
                  <c:pt idx="1">
                    <c:v>Formal employment</c:v>
                  </c:pt>
                  <c:pt idx="2">
                    <c:v>Informal employment</c:v>
                  </c:pt>
                  <c:pt idx="3">
                    <c:v>Formal employment</c:v>
                  </c:pt>
                  <c:pt idx="4">
                    <c:v>Informal employment</c:v>
                  </c:pt>
                  <c:pt idx="5">
                    <c:v>Formal employment</c:v>
                  </c:pt>
                </c:lvl>
                <c:lvl>
                  <c:pt idx="0">
                    <c:v>Total</c:v>
                  </c:pt>
                  <c:pt idx="2">
                    <c:v>Men</c:v>
                  </c:pt>
                  <c:pt idx="4">
                    <c:v>Women</c:v>
                  </c:pt>
                </c:lvl>
              </c:multiLvlStrCache>
            </c:multiLvlStrRef>
          </c:cat>
          <c:val>
            <c:numRef>
              <c:f>('A.2.7'!$K$27:$K$28,'A.2.7'!$K$30:$K$31,'A.2.7'!$K$33:$K$34)</c:f>
              <c:numCache>
                <c:formatCode>0.0</c:formatCode>
                <c:ptCount val="6"/>
                <c:pt idx="0">
                  <c:v>11.392442754910622</c:v>
                </c:pt>
                <c:pt idx="1">
                  <c:v>13.848531007885295</c:v>
                </c:pt>
                <c:pt idx="2">
                  <c:v>8.9600868856910125</c:v>
                </c:pt>
                <c:pt idx="3">
                  <c:v>14.695463646380039</c:v>
                </c:pt>
                <c:pt idx="4">
                  <c:v>13.595161877562214</c:v>
                </c:pt>
                <c:pt idx="5">
                  <c:v>12.901023890784982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7-C1FD-4AC1-8EC7-4CF442FAEA15}"/>
            </c:ext>
          </c:extLst>
        </c:ser>
        <c:ser>
          <c:idx val="7"/>
          <c:order val="7"/>
          <c:tx>
            <c:strRef>
              <c:f>'A.2.7'!$L$26</c:f>
              <c:strCache>
                <c:ptCount val="1"/>
                <c:pt idx="0">
                  <c:v>H - Transportation and storage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</c:spPr>
          <c:invertIfNegative val="0"/>
          <c:cat>
            <c:multiLvlStrRef>
              <c:f>('A.2.7'!$A$27:$B$28,'A.2.7'!$A$30:$B$31,'A.2.7'!$A$33:$B$34)</c:f>
              <c:multiLvlStrCache>
                <c:ptCount val="6"/>
                <c:lvl>
                  <c:pt idx="0">
                    <c:v>Informal employment</c:v>
                  </c:pt>
                  <c:pt idx="1">
                    <c:v>Formal employment</c:v>
                  </c:pt>
                  <c:pt idx="2">
                    <c:v>Informal employment</c:v>
                  </c:pt>
                  <c:pt idx="3">
                    <c:v>Formal employment</c:v>
                  </c:pt>
                  <c:pt idx="4">
                    <c:v>Informal employment</c:v>
                  </c:pt>
                  <c:pt idx="5">
                    <c:v>Formal employment</c:v>
                  </c:pt>
                </c:lvl>
                <c:lvl>
                  <c:pt idx="0">
                    <c:v>Total</c:v>
                  </c:pt>
                  <c:pt idx="2">
                    <c:v>Men</c:v>
                  </c:pt>
                  <c:pt idx="4">
                    <c:v>Women</c:v>
                  </c:pt>
                </c:lvl>
              </c:multiLvlStrCache>
            </c:multiLvlStrRef>
          </c:cat>
          <c:val>
            <c:numRef>
              <c:f>('A.2.7'!$L$27:$L$28,'A.2.7'!$L$30:$L$31,'A.2.7'!$L$33:$L$34)</c:f>
              <c:numCache>
                <c:formatCode>0.0</c:formatCode>
                <c:ptCount val="6"/>
                <c:pt idx="0">
                  <c:v>2.2605234687496898</c:v>
                </c:pt>
                <c:pt idx="1">
                  <c:v>4.5904244172043951</c:v>
                </c:pt>
                <c:pt idx="2">
                  <c:v>4.6857703794983188</c:v>
                </c:pt>
                <c:pt idx="3">
                  <c:v>7.4022296728944283</c:v>
                </c:pt>
                <c:pt idx="4">
                  <c:v>6.4306553121468463E-2</c:v>
                </c:pt>
                <c:pt idx="5">
                  <c:v>1.4447132111733323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9-C1FD-4AC1-8EC7-4CF442FAEA15}"/>
            </c:ext>
          </c:extLst>
        </c:ser>
        <c:ser>
          <c:idx val="8"/>
          <c:order val="8"/>
          <c:tx>
            <c:strRef>
              <c:f>'A.2.7'!$M$26</c:f>
              <c:strCache>
                <c:ptCount val="1"/>
                <c:pt idx="0">
                  <c:v>I - Accommodation and food service activities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</c:spPr>
          <c:invertIfNegative val="0"/>
          <c:cat>
            <c:multiLvlStrRef>
              <c:f>('A.2.7'!$A$27:$B$28,'A.2.7'!$A$30:$B$31,'A.2.7'!$A$33:$B$34)</c:f>
              <c:multiLvlStrCache>
                <c:ptCount val="6"/>
                <c:lvl>
                  <c:pt idx="0">
                    <c:v>Informal employment</c:v>
                  </c:pt>
                  <c:pt idx="1">
                    <c:v>Formal employment</c:v>
                  </c:pt>
                  <c:pt idx="2">
                    <c:v>Informal employment</c:v>
                  </c:pt>
                  <c:pt idx="3">
                    <c:v>Formal employment</c:v>
                  </c:pt>
                  <c:pt idx="4">
                    <c:v>Informal employment</c:v>
                  </c:pt>
                  <c:pt idx="5">
                    <c:v>Formal employment</c:v>
                  </c:pt>
                </c:lvl>
                <c:lvl>
                  <c:pt idx="0">
                    <c:v>Total</c:v>
                  </c:pt>
                  <c:pt idx="2">
                    <c:v>Men</c:v>
                  </c:pt>
                  <c:pt idx="4">
                    <c:v>Women</c:v>
                  </c:pt>
                </c:lvl>
              </c:multiLvlStrCache>
            </c:multiLvlStrRef>
          </c:cat>
          <c:val>
            <c:numRef>
              <c:f>('A.2.7'!$M$27:$M$28,'A.2.7'!$M$30:$M$31,'A.2.7'!$M$33:$M$34)</c:f>
              <c:numCache>
                <c:formatCode>0.0</c:formatCode>
                <c:ptCount val="6"/>
                <c:pt idx="0">
                  <c:v>8.8865122926819584</c:v>
                </c:pt>
                <c:pt idx="1">
                  <c:v>7.5299725688047578</c:v>
                </c:pt>
                <c:pt idx="2">
                  <c:v>3.4764719396812795</c:v>
                </c:pt>
                <c:pt idx="3">
                  <c:v>4.6127690831329158</c:v>
                </c:pt>
                <c:pt idx="4">
                  <c:v>13.785717325414801</c:v>
                </c:pt>
                <c:pt idx="5">
                  <c:v>10.793598197422048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B-C1FD-4AC1-8EC7-4CF442FAEA15}"/>
            </c:ext>
          </c:extLst>
        </c:ser>
        <c:ser>
          <c:idx val="9"/>
          <c:order val="9"/>
          <c:tx>
            <c:strRef>
              <c:f>'A.2.7'!$N$26</c:f>
              <c:strCache>
                <c:ptCount val="1"/>
                <c:pt idx="0">
                  <c:v>J - Information and communication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</c:spPr>
          <c:invertIfNegative val="0"/>
          <c:cat>
            <c:multiLvlStrRef>
              <c:f>('A.2.7'!$A$27:$B$28,'A.2.7'!$A$30:$B$31,'A.2.7'!$A$33:$B$34)</c:f>
              <c:multiLvlStrCache>
                <c:ptCount val="6"/>
                <c:lvl>
                  <c:pt idx="0">
                    <c:v>Informal employment</c:v>
                  </c:pt>
                  <c:pt idx="1">
                    <c:v>Formal employment</c:v>
                  </c:pt>
                  <c:pt idx="2">
                    <c:v>Informal employment</c:v>
                  </c:pt>
                  <c:pt idx="3">
                    <c:v>Formal employment</c:v>
                  </c:pt>
                  <c:pt idx="4">
                    <c:v>Informal employment</c:v>
                  </c:pt>
                  <c:pt idx="5">
                    <c:v>Formal employment</c:v>
                  </c:pt>
                </c:lvl>
                <c:lvl>
                  <c:pt idx="0">
                    <c:v>Total</c:v>
                  </c:pt>
                  <c:pt idx="2">
                    <c:v>Men</c:v>
                  </c:pt>
                  <c:pt idx="4">
                    <c:v>Women</c:v>
                  </c:pt>
                </c:lvl>
              </c:multiLvlStrCache>
            </c:multiLvlStrRef>
          </c:cat>
          <c:val>
            <c:numRef>
              <c:f>('A.2.7'!$N$27:$N$28,'A.2.7'!$N$30:$N$31,'A.2.7'!$N$33:$N$34)</c:f>
              <c:numCache>
                <c:formatCode>0.0</c:formatCode>
                <c:ptCount val="6"/>
                <c:pt idx="0">
                  <c:v>0.23324830522773965</c:v>
                </c:pt>
                <c:pt idx="1">
                  <c:v>1.6637004275763274</c:v>
                </c:pt>
                <c:pt idx="2">
                  <c:v>0.42711836086802141</c:v>
                </c:pt>
                <c:pt idx="3">
                  <c:v>2.3208975558899141</c:v>
                </c:pt>
                <c:pt idx="4">
                  <c:v>5.7686760888376112E-2</c:v>
                </c:pt>
                <c:pt idx="5">
                  <c:v>0.92846018754763249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D-C1FD-4AC1-8EC7-4CF442FAEA15}"/>
            </c:ext>
          </c:extLst>
        </c:ser>
        <c:ser>
          <c:idx val="10"/>
          <c:order val="10"/>
          <c:tx>
            <c:strRef>
              <c:f>'A.2.7'!$O$26</c:f>
              <c:strCache>
                <c:ptCount val="1"/>
                <c:pt idx="0">
                  <c:v>K - Financial and insurance activities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</c:spPr>
          <c:invertIfNegative val="0"/>
          <c:cat>
            <c:multiLvlStrRef>
              <c:f>('A.2.7'!$A$27:$B$28,'A.2.7'!$A$30:$B$31,'A.2.7'!$A$33:$B$34)</c:f>
              <c:multiLvlStrCache>
                <c:ptCount val="6"/>
                <c:lvl>
                  <c:pt idx="0">
                    <c:v>Informal employment</c:v>
                  </c:pt>
                  <c:pt idx="1">
                    <c:v>Formal employment</c:v>
                  </c:pt>
                  <c:pt idx="2">
                    <c:v>Informal employment</c:v>
                  </c:pt>
                  <c:pt idx="3">
                    <c:v>Formal employment</c:v>
                  </c:pt>
                  <c:pt idx="4">
                    <c:v>Informal employment</c:v>
                  </c:pt>
                  <c:pt idx="5">
                    <c:v>Formal employment</c:v>
                  </c:pt>
                </c:lvl>
                <c:lvl>
                  <c:pt idx="0">
                    <c:v>Total</c:v>
                  </c:pt>
                  <c:pt idx="2">
                    <c:v>Men</c:v>
                  </c:pt>
                  <c:pt idx="4">
                    <c:v>Women</c:v>
                  </c:pt>
                </c:lvl>
              </c:multiLvlStrCache>
            </c:multiLvlStrRef>
          </c:cat>
          <c:val>
            <c:numRef>
              <c:f>('A.2.7'!$O$27:$O$28,'A.2.7'!$O$30:$O$31,'A.2.7'!$O$33:$O$34)</c:f>
              <c:numCache>
                <c:formatCode>0.0</c:formatCode>
                <c:ptCount val="6"/>
                <c:pt idx="0">
                  <c:v>0.30719298071483164</c:v>
                </c:pt>
                <c:pt idx="1">
                  <c:v>3.9345154499873325</c:v>
                </c:pt>
                <c:pt idx="2">
                  <c:v>0.3425301280310783</c:v>
                </c:pt>
                <c:pt idx="3">
                  <c:v>2.4470719253142512</c:v>
                </c:pt>
                <c:pt idx="4">
                  <c:v>0.27519421997569593</c:v>
                </c:pt>
                <c:pt idx="5">
                  <c:v>5.5985950495377583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F-C1FD-4AC1-8EC7-4CF442FAEA15}"/>
            </c:ext>
          </c:extLst>
        </c:ser>
        <c:ser>
          <c:idx val="11"/>
          <c:order val="11"/>
          <c:tx>
            <c:strRef>
              <c:f>'A.2.7'!$P$26</c:f>
              <c:strCache>
                <c:ptCount val="1"/>
                <c:pt idx="0">
                  <c:v>L - Real estate activities</c:v>
                </c:pt>
              </c:strCache>
            </c:strRef>
          </c:tx>
          <c:spPr>
            <a:solidFill>
              <a:srgbClr val="3E1B59"/>
            </a:solidFill>
          </c:spPr>
          <c:invertIfNegative val="0"/>
          <c:cat>
            <c:multiLvlStrRef>
              <c:f>('A.2.7'!$A$27:$B$28,'A.2.7'!$A$30:$B$31,'A.2.7'!$A$33:$B$34)</c:f>
              <c:multiLvlStrCache>
                <c:ptCount val="6"/>
                <c:lvl>
                  <c:pt idx="0">
                    <c:v>Informal employment</c:v>
                  </c:pt>
                  <c:pt idx="1">
                    <c:v>Formal employment</c:v>
                  </c:pt>
                  <c:pt idx="2">
                    <c:v>Informal employment</c:v>
                  </c:pt>
                  <c:pt idx="3">
                    <c:v>Formal employment</c:v>
                  </c:pt>
                  <c:pt idx="4">
                    <c:v>Informal employment</c:v>
                  </c:pt>
                  <c:pt idx="5">
                    <c:v>Formal employment</c:v>
                  </c:pt>
                </c:lvl>
                <c:lvl>
                  <c:pt idx="0">
                    <c:v>Total</c:v>
                  </c:pt>
                  <c:pt idx="2">
                    <c:v>Men</c:v>
                  </c:pt>
                  <c:pt idx="4">
                    <c:v>Women</c:v>
                  </c:pt>
                </c:lvl>
              </c:multiLvlStrCache>
            </c:multiLvlStrRef>
          </c:cat>
          <c:val>
            <c:numRef>
              <c:f>('A.2.7'!$P$27:$P$28,'A.2.7'!$P$30:$P$31,'A.2.7'!$P$33:$P$34)</c:f>
              <c:numCache>
                <c:formatCode>0.0</c:formatCode>
                <c:ptCount val="6"/>
                <c:pt idx="0">
                  <c:v>0.13994898313664381</c:v>
                </c:pt>
                <c:pt idx="1">
                  <c:v>0.13950185950348598</c:v>
                </c:pt>
                <c:pt idx="2">
                  <c:v>7.8844587397397595E-2</c:v>
                </c:pt>
                <c:pt idx="3">
                  <c:v>0.11432701079294372</c:v>
                </c:pt>
                <c:pt idx="4">
                  <c:v>0.19528387087622406</c:v>
                </c:pt>
                <c:pt idx="5">
                  <c:v>0.16832897047615894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1-C1FD-4AC1-8EC7-4CF442FAEA15}"/>
            </c:ext>
          </c:extLst>
        </c:ser>
        <c:ser>
          <c:idx val="12"/>
          <c:order val="12"/>
          <c:tx>
            <c:strRef>
              <c:f>'A.2.7'!$Q$26</c:f>
              <c:strCache>
                <c:ptCount val="1"/>
                <c:pt idx="0">
                  <c:v>M - Professional, scientific and technical activities</c:v>
                </c:pt>
              </c:strCache>
            </c:strRef>
          </c:tx>
          <c:spPr>
            <a:solidFill>
              <a:srgbClr val="552579"/>
            </a:solidFill>
          </c:spPr>
          <c:invertIfNegative val="0"/>
          <c:cat>
            <c:multiLvlStrRef>
              <c:f>('A.2.7'!$A$27:$B$28,'A.2.7'!$A$30:$B$31,'A.2.7'!$A$33:$B$34)</c:f>
              <c:multiLvlStrCache>
                <c:ptCount val="6"/>
                <c:lvl>
                  <c:pt idx="0">
                    <c:v>Informal employment</c:v>
                  </c:pt>
                  <c:pt idx="1">
                    <c:v>Formal employment</c:v>
                  </c:pt>
                  <c:pt idx="2">
                    <c:v>Informal employment</c:v>
                  </c:pt>
                  <c:pt idx="3">
                    <c:v>Formal employment</c:v>
                  </c:pt>
                  <c:pt idx="4">
                    <c:v>Informal employment</c:v>
                  </c:pt>
                  <c:pt idx="5">
                    <c:v>Formal employment</c:v>
                  </c:pt>
                </c:lvl>
                <c:lvl>
                  <c:pt idx="0">
                    <c:v>Total</c:v>
                  </c:pt>
                  <c:pt idx="2">
                    <c:v>Men</c:v>
                  </c:pt>
                  <c:pt idx="4">
                    <c:v>Women</c:v>
                  </c:pt>
                </c:lvl>
              </c:multiLvlStrCache>
            </c:multiLvlStrRef>
          </c:cat>
          <c:val>
            <c:numRef>
              <c:f>('A.2.7'!$Q$27:$Q$28,'A.2.7'!$Q$30:$Q$31,'A.2.7'!$Q$33:$Q$34)</c:f>
              <c:numCache>
                <c:formatCode>0.0</c:formatCode>
                <c:ptCount val="6"/>
                <c:pt idx="0">
                  <c:v>0.4270429077627021</c:v>
                </c:pt>
                <c:pt idx="1">
                  <c:v>2.5010243690355916</c:v>
                </c:pt>
                <c:pt idx="2">
                  <c:v>0.52789323085277473</c:v>
                </c:pt>
                <c:pt idx="3">
                  <c:v>2.2847631120641654</c:v>
                </c:pt>
                <c:pt idx="4">
                  <c:v>0.33524519237589073</c:v>
                </c:pt>
                <c:pt idx="5">
                  <c:v>2.7429669637827629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3-C1FD-4AC1-8EC7-4CF442FAEA15}"/>
            </c:ext>
          </c:extLst>
        </c:ser>
        <c:ser>
          <c:idx val="13"/>
          <c:order val="13"/>
          <c:tx>
            <c:strRef>
              <c:f>'A.2.7'!$R$26</c:f>
              <c:strCache>
                <c:ptCount val="1"/>
                <c:pt idx="0">
                  <c:v>N - Administrative and support service activities</c:v>
                </c:pt>
              </c:strCache>
            </c:strRef>
          </c:tx>
          <c:spPr>
            <a:solidFill>
              <a:srgbClr val="8238BA"/>
            </a:solidFill>
          </c:spPr>
          <c:invertIfNegative val="0"/>
          <c:cat>
            <c:multiLvlStrRef>
              <c:f>('A.2.7'!$A$27:$B$28,'A.2.7'!$A$30:$B$31,'A.2.7'!$A$33:$B$34)</c:f>
              <c:multiLvlStrCache>
                <c:ptCount val="6"/>
                <c:lvl>
                  <c:pt idx="0">
                    <c:v>Informal employment</c:v>
                  </c:pt>
                  <c:pt idx="1">
                    <c:v>Formal employment</c:v>
                  </c:pt>
                  <c:pt idx="2">
                    <c:v>Informal employment</c:v>
                  </c:pt>
                  <c:pt idx="3">
                    <c:v>Formal employment</c:v>
                  </c:pt>
                  <c:pt idx="4">
                    <c:v>Informal employment</c:v>
                  </c:pt>
                  <c:pt idx="5">
                    <c:v>Formal employment</c:v>
                  </c:pt>
                </c:lvl>
                <c:lvl>
                  <c:pt idx="0">
                    <c:v>Total</c:v>
                  </c:pt>
                  <c:pt idx="2">
                    <c:v>Men</c:v>
                  </c:pt>
                  <c:pt idx="4">
                    <c:v>Women</c:v>
                  </c:pt>
                </c:lvl>
              </c:multiLvlStrCache>
            </c:multiLvlStrRef>
          </c:cat>
          <c:val>
            <c:numRef>
              <c:f>('A.2.7'!$R$27:$R$28,'A.2.7'!$R$30:$R$31,'A.2.7'!$R$33:$R$34)</c:f>
              <c:numCache>
                <c:formatCode>0.0</c:formatCode>
                <c:ptCount val="6"/>
                <c:pt idx="0">
                  <c:v>2.8811128425524313</c:v>
                </c:pt>
                <c:pt idx="1">
                  <c:v>7.2444003765924636</c:v>
                </c:pt>
                <c:pt idx="2">
                  <c:v>3.2697007038576413</c:v>
                </c:pt>
                <c:pt idx="3">
                  <c:v>7.443695428104304</c:v>
                </c:pt>
                <c:pt idx="4">
                  <c:v>2.529706317646002</c:v>
                </c:pt>
                <c:pt idx="5">
                  <c:v>7.0214387487988335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5-C1FD-4AC1-8EC7-4CF442FAEA15}"/>
            </c:ext>
          </c:extLst>
        </c:ser>
        <c:ser>
          <c:idx val="14"/>
          <c:order val="14"/>
          <c:tx>
            <c:strRef>
              <c:f>'A.2.7'!$S$26</c:f>
              <c:strCache>
                <c:ptCount val="1"/>
                <c:pt idx="0">
                  <c:v>O - Public administration and defence; compulsory social security</c:v>
                </c:pt>
              </c:strCache>
            </c:strRef>
          </c:tx>
          <c:spPr>
            <a:solidFill>
              <a:srgbClr val="9751CB"/>
            </a:solidFill>
          </c:spPr>
          <c:invertIfNegative val="0"/>
          <c:cat>
            <c:multiLvlStrRef>
              <c:f>('A.2.7'!$A$27:$B$28,'A.2.7'!$A$30:$B$31,'A.2.7'!$A$33:$B$34)</c:f>
              <c:multiLvlStrCache>
                <c:ptCount val="6"/>
                <c:lvl>
                  <c:pt idx="0">
                    <c:v>Informal employment</c:v>
                  </c:pt>
                  <c:pt idx="1">
                    <c:v>Formal employment</c:v>
                  </c:pt>
                  <c:pt idx="2">
                    <c:v>Informal employment</c:v>
                  </c:pt>
                  <c:pt idx="3">
                    <c:v>Formal employment</c:v>
                  </c:pt>
                  <c:pt idx="4">
                    <c:v>Informal employment</c:v>
                  </c:pt>
                  <c:pt idx="5">
                    <c:v>Formal employment</c:v>
                  </c:pt>
                </c:lvl>
                <c:lvl>
                  <c:pt idx="0">
                    <c:v>Total</c:v>
                  </c:pt>
                  <c:pt idx="2">
                    <c:v>Men</c:v>
                  </c:pt>
                  <c:pt idx="4">
                    <c:v>Women</c:v>
                  </c:pt>
                </c:lvl>
              </c:multiLvlStrCache>
            </c:multiLvlStrRef>
          </c:cat>
          <c:val>
            <c:numRef>
              <c:f>('A.2.7'!$S$27:$S$28,'A.2.7'!$S$30:$S$31,'A.2.7'!$S$33:$S$34)</c:f>
              <c:numCache>
                <c:formatCode>0.0</c:formatCode>
                <c:ptCount val="6"/>
                <c:pt idx="0">
                  <c:v>0.89527647368264329</c:v>
                </c:pt>
                <c:pt idx="1">
                  <c:v>8.4232849247284243</c:v>
                </c:pt>
                <c:pt idx="2">
                  <c:v>0.77173708724075274</c:v>
                </c:pt>
                <c:pt idx="3">
                  <c:v>9.971329392112029</c:v>
                </c:pt>
                <c:pt idx="4">
                  <c:v>1.0071541040347634</c:v>
                </c:pt>
                <c:pt idx="5">
                  <c:v>6.6914079326684108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7-C1FD-4AC1-8EC7-4CF442FAEA15}"/>
            </c:ext>
          </c:extLst>
        </c:ser>
        <c:ser>
          <c:idx val="15"/>
          <c:order val="15"/>
          <c:tx>
            <c:strRef>
              <c:f>'A.2.7'!$T$26</c:f>
              <c:strCache>
                <c:ptCount val="1"/>
                <c:pt idx="0">
                  <c:v>P - Education</c:v>
                </c:pt>
              </c:strCache>
            </c:strRef>
          </c:tx>
          <c:spPr>
            <a:solidFill>
              <a:srgbClr val="B381D9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('A.2.7'!$A$27:$B$28,'A.2.7'!$A$30:$B$31,'A.2.7'!$A$33:$B$34)</c:f>
              <c:multiLvlStrCache>
                <c:ptCount val="6"/>
                <c:lvl>
                  <c:pt idx="0">
                    <c:v>Informal employment</c:v>
                  </c:pt>
                  <c:pt idx="1">
                    <c:v>Formal employment</c:v>
                  </c:pt>
                  <c:pt idx="2">
                    <c:v>Informal employment</c:v>
                  </c:pt>
                  <c:pt idx="3">
                    <c:v>Formal employment</c:v>
                  </c:pt>
                  <c:pt idx="4">
                    <c:v>Informal employment</c:v>
                  </c:pt>
                  <c:pt idx="5">
                    <c:v>Formal employment</c:v>
                  </c:pt>
                </c:lvl>
                <c:lvl>
                  <c:pt idx="0">
                    <c:v>Total</c:v>
                  </c:pt>
                  <c:pt idx="2">
                    <c:v>Men</c:v>
                  </c:pt>
                  <c:pt idx="4">
                    <c:v>Women</c:v>
                  </c:pt>
                </c:lvl>
              </c:multiLvlStrCache>
            </c:multiLvlStrRef>
          </c:cat>
          <c:val>
            <c:numRef>
              <c:f>('A.2.7'!$T$27:$T$28,'A.2.7'!$T$30:$T$31,'A.2.7'!$T$33:$T$34)</c:f>
              <c:numCache>
                <c:formatCode>0.0</c:formatCode>
                <c:ptCount val="6"/>
                <c:pt idx="0">
                  <c:v>1.5612748260563172</c:v>
                </c:pt>
                <c:pt idx="1">
                  <c:v>12.515443731643463</c:v>
                </c:pt>
                <c:pt idx="2">
                  <c:v>0.90384093235029972</c:v>
                </c:pt>
                <c:pt idx="3">
                  <c:v>7.0776120463942567</c:v>
                </c:pt>
                <c:pt idx="4">
                  <c:v>2.157106583383376</c:v>
                </c:pt>
                <c:pt idx="5">
                  <c:v>18.599025812651181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9-C1FD-4AC1-8EC7-4CF442FAEA15}"/>
            </c:ext>
          </c:extLst>
        </c:ser>
        <c:ser>
          <c:idx val="16"/>
          <c:order val="16"/>
          <c:tx>
            <c:strRef>
              <c:f>'A.2.7'!$U$26</c:f>
              <c:strCache>
                <c:ptCount val="1"/>
                <c:pt idx="0">
                  <c:v>Q - Human health and social work activities</c:v>
                </c:pt>
              </c:strCache>
            </c:strRef>
          </c:tx>
          <c:spPr>
            <a:solidFill>
              <a:srgbClr val="C7A1E3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('A.2.7'!$A$27:$B$28,'A.2.7'!$A$30:$B$31,'A.2.7'!$A$33:$B$34)</c:f>
              <c:multiLvlStrCache>
                <c:ptCount val="6"/>
                <c:lvl>
                  <c:pt idx="0">
                    <c:v>Informal employment</c:v>
                  </c:pt>
                  <c:pt idx="1">
                    <c:v>Formal employment</c:v>
                  </c:pt>
                  <c:pt idx="2">
                    <c:v>Informal employment</c:v>
                  </c:pt>
                  <c:pt idx="3">
                    <c:v>Formal employment</c:v>
                  </c:pt>
                  <c:pt idx="4">
                    <c:v>Informal employment</c:v>
                  </c:pt>
                  <c:pt idx="5">
                    <c:v>Formal employment</c:v>
                  </c:pt>
                </c:lvl>
                <c:lvl>
                  <c:pt idx="0">
                    <c:v>Total</c:v>
                  </c:pt>
                  <c:pt idx="2">
                    <c:v>Men</c:v>
                  </c:pt>
                  <c:pt idx="4">
                    <c:v>Women</c:v>
                  </c:pt>
                </c:lvl>
              </c:multiLvlStrCache>
            </c:multiLvlStrRef>
          </c:cat>
          <c:val>
            <c:numRef>
              <c:f>('A.2.7'!$U$27:$U$28,'A.2.7'!$U$30:$U$31,'A.2.7'!$U$33:$U$34)</c:f>
              <c:numCache>
                <c:formatCode>0.0</c:formatCode>
                <c:ptCount val="6"/>
                <c:pt idx="0">
                  <c:v>0.92232335162926415</c:v>
                </c:pt>
                <c:pt idx="1">
                  <c:v>4.6892642997225602</c:v>
                </c:pt>
                <c:pt idx="2">
                  <c:v>0.51849453831533654</c:v>
                </c:pt>
                <c:pt idx="3">
                  <c:v>2.4843911050031395</c:v>
                </c:pt>
                <c:pt idx="4">
                  <c:v>1.288022431638824</c:v>
                </c:pt>
                <c:pt idx="5">
                  <c:v>7.1559693826833231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B-C1FD-4AC1-8EC7-4CF442FAEA15}"/>
            </c:ext>
          </c:extLst>
        </c:ser>
        <c:ser>
          <c:idx val="17"/>
          <c:order val="17"/>
          <c:tx>
            <c:strRef>
              <c:f>'A.2.7'!$V$26</c:f>
              <c:strCache>
                <c:ptCount val="1"/>
                <c:pt idx="0">
                  <c:v>R - Arts, entertainment and recreation</c:v>
                </c:pt>
              </c:strCache>
            </c:strRef>
          </c:tx>
          <c:spPr>
            <a:solidFill>
              <a:srgbClr val="D6BBEB"/>
            </a:solidFill>
          </c:spPr>
          <c:invertIfNegative val="0"/>
          <c:cat>
            <c:multiLvlStrRef>
              <c:f>('A.2.7'!$A$27:$B$28,'A.2.7'!$A$30:$B$31,'A.2.7'!$A$33:$B$34)</c:f>
              <c:multiLvlStrCache>
                <c:ptCount val="6"/>
                <c:lvl>
                  <c:pt idx="0">
                    <c:v>Informal employment</c:v>
                  </c:pt>
                  <c:pt idx="1">
                    <c:v>Formal employment</c:v>
                  </c:pt>
                  <c:pt idx="2">
                    <c:v>Informal employment</c:v>
                  </c:pt>
                  <c:pt idx="3">
                    <c:v>Formal employment</c:v>
                  </c:pt>
                  <c:pt idx="4">
                    <c:v>Informal employment</c:v>
                  </c:pt>
                  <c:pt idx="5">
                    <c:v>Formal employment</c:v>
                  </c:pt>
                </c:lvl>
                <c:lvl>
                  <c:pt idx="0">
                    <c:v>Total</c:v>
                  </c:pt>
                  <c:pt idx="2">
                    <c:v>Men</c:v>
                  </c:pt>
                  <c:pt idx="4">
                    <c:v>Women</c:v>
                  </c:pt>
                </c:lvl>
              </c:multiLvlStrCache>
            </c:multiLvlStrRef>
          </c:cat>
          <c:val>
            <c:numRef>
              <c:f>('A.2.7'!$V$27:$V$28,'A.2.7'!$V$30:$V$31,'A.2.7'!$V$33:$V$34)</c:f>
              <c:numCache>
                <c:formatCode>0.0</c:formatCode>
                <c:ptCount val="6"/>
                <c:pt idx="0">
                  <c:v>0.47964784468640509</c:v>
                </c:pt>
                <c:pt idx="1">
                  <c:v>0.53955315615137511</c:v>
                </c:pt>
                <c:pt idx="2">
                  <c:v>0.41406462123269072</c:v>
                </c:pt>
                <c:pt idx="3">
                  <c:v>0.54379376118094469</c:v>
                </c:pt>
                <c:pt idx="4">
                  <c:v>0.53904022469466206</c:v>
                </c:pt>
                <c:pt idx="5">
                  <c:v>0.53480897312700881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D-C1FD-4AC1-8EC7-4CF442FAEA15}"/>
            </c:ext>
          </c:extLst>
        </c:ser>
        <c:ser>
          <c:idx val="18"/>
          <c:order val="18"/>
          <c:tx>
            <c:strRef>
              <c:f>'A.2.7'!$W$26</c:f>
              <c:strCache>
                <c:ptCount val="1"/>
                <c:pt idx="0">
                  <c:v>S - Other service activities</c:v>
                </c:pt>
              </c:strCache>
            </c:strRef>
          </c:tx>
          <c:invertIfNegative val="0"/>
          <c:cat>
            <c:multiLvlStrRef>
              <c:f>('A.2.7'!$A$27:$B$28,'A.2.7'!$A$30:$B$31,'A.2.7'!$A$33:$B$34)</c:f>
              <c:multiLvlStrCache>
                <c:ptCount val="6"/>
                <c:lvl>
                  <c:pt idx="0">
                    <c:v>Informal employment</c:v>
                  </c:pt>
                  <c:pt idx="1">
                    <c:v>Formal employment</c:v>
                  </c:pt>
                  <c:pt idx="2">
                    <c:v>Informal employment</c:v>
                  </c:pt>
                  <c:pt idx="3">
                    <c:v>Formal employment</c:v>
                  </c:pt>
                  <c:pt idx="4">
                    <c:v>Informal employment</c:v>
                  </c:pt>
                  <c:pt idx="5">
                    <c:v>Formal employment</c:v>
                  </c:pt>
                </c:lvl>
                <c:lvl>
                  <c:pt idx="0">
                    <c:v>Total</c:v>
                  </c:pt>
                  <c:pt idx="2">
                    <c:v>Men</c:v>
                  </c:pt>
                  <c:pt idx="4">
                    <c:v>Women</c:v>
                  </c:pt>
                </c:lvl>
              </c:multiLvlStrCache>
            </c:multiLvlStrRef>
          </c:cat>
          <c:val>
            <c:numRef>
              <c:f>('A.2.7'!$W$27:$W$28,'A.2.7'!$W$30:$W$31,'A.2.7'!$W$33:$W$34)</c:f>
              <c:numCache>
                <c:formatCode>0.0</c:formatCode>
                <c:ptCount val="6"/>
                <c:pt idx="0">
                  <c:v>5.2128514853450589</c:v>
                </c:pt>
                <c:pt idx="1">
                  <c:v>3.1628762405812783</c:v>
                </c:pt>
                <c:pt idx="2">
                  <c:v>3.8931473088410371</c:v>
                </c:pt>
                <c:pt idx="3">
                  <c:v>2.6265594085798574</c:v>
                </c:pt>
                <c:pt idx="4">
                  <c:v>6.4084317239357507</c:v>
                </c:pt>
                <c:pt idx="5">
                  <c:v>3.7635441863547503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F-C1FD-4AC1-8EC7-4CF442FAEA15}"/>
            </c:ext>
          </c:extLst>
        </c:ser>
        <c:ser>
          <c:idx val="19"/>
          <c:order val="19"/>
          <c:tx>
            <c:strRef>
              <c:f>'A.2.7'!$X$26</c:f>
              <c:strCache>
                <c:ptCount val="1"/>
                <c:pt idx="0">
                  <c:v>T - Activities of households as employers;  goods- and services-for own final use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cat>
            <c:multiLvlStrRef>
              <c:f>('A.2.7'!$A$27:$B$28,'A.2.7'!$A$30:$B$31,'A.2.7'!$A$33:$B$34)</c:f>
              <c:multiLvlStrCache>
                <c:ptCount val="6"/>
                <c:lvl>
                  <c:pt idx="0">
                    <c:v>Informal employment</c:v>
                  </c:pt>
                  <c:pt idx="1">
                    <c:v>Formal employment</c:v>
                  </c:pt>
                  <c:pt idx="2">
                    <c:v>Informal employment</c:v>
                  </c:pt>
                  <c:pt idx="3">
                    <c:v>Formal employment</c:v>
                  </c:pt>
                  <c:pt idx="4">
                    <c:v>Informal employment</c:v>
                  </c:pt>
                  <c:pt idx="5">
                    <c:v>Formal employment</c:v>
                  </c:pt>
                </c:lvl>
                <c:lvl>
                  <c:pt idx="0">
                    <c:v>Total</c:v>
                  </c:pt>
                  <c:pt idx="2">
                    <c:v>Men</c:v>
                  </c:pt>
                  <c:pt idx="4">
                    <c:v>Women</c:v>
                  </c:pt>
                </c:lvl>
              </c:multiLvlStrCache>
            </c:multiLvlStrRef>
          </c:cat>
          <c:val>
            <c:numRef>
              <c:f>('A.2.7'!$X$27:$X$28,'A.2.7'!$X$30:$X$31,'A.2.7'!$X$33:$X$34)</c:f>
              <c:numCache>
                <c:formatCode>0.0</c:formatCode>
                <c:ptCount val="6"/>
                <c:pt idx="0">
                  <c:v>15.113993905767684</c:v>
                </c:pt>
                <c:pt idx="1">
                  <c:v>3.2961224113177923</c:v>
                </c:pt>
                <c:pt idx="2">
                  <c:v>10.105160926502224</c:v>
                </c:pt>
                <c:pt idx="3">
                  <c:v>0.98451550226876916</c:v>
                </c:pt>
                <c:pt idx="4">
                  <c:v>19.649907559329886</c:v>
                </c:pt>
                <c:pt idx="5">
                  <c:v>5.8828987043970971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1-C1FD-4AC1-8EC7-4CF442FAEA15}"/>
            </c:ext>
          </c:extLst>
        </c:ser>
        <c:ser>
          <c:idx val="20"/>
          <c:order val="20"/>
          <c:tx>
            <c:strRef>
              <c:f>'A.2.7'!$Y$26</c:f>
              <c:strCache>
                <c:ptCount val="1"/>
                <c:pt idx="0">
                  <c:v>U - Activities of extraterritorial organizations and bodies</c:v>
                </c:pt>
              </c:strCache>
            </c:strRef>
          </c:tx>
          <c:invertIfNegative val="0"/>
          <c:cat>
            <c:multiLvlStrRef>
              <c:f>('A.2.7'!$A$27:$B$28,'A.2.7'!$A$30:$B$31,'A.2.7'!$A$33:$B$34)</c:f>
              <c:multiLvlStrCache>
                <c:ptCount val="6"/>
                <c:lvl>
                  <c:pt idx="0">
                    <c:v>Informal employment</c:v>
                  </c:pt>
                  <c:pt idx="1">
                    <c:v>Formal employment</c:v>
                  </c:pt>
                  <c:pt idx="2">
                    <c:v>Informal employment</c:v>
                  </c:pt>
                  <c:pt idx="3">
                    <c:v>Formal employment</c:v>
                  </c:pt>
                  <c:pt idx="4">
                    <c:v>Informal employment</c:v>
                  </c:pt>
                  <c:pt idx="5">
                    <c:v>Formal employment</c:v>
                  </c:pt>
                </c:lvl>
                <c:lvl>
                  <c:pt idx="0">
                    <c:v>Total</c:v>
                  </c:pt>
                  <c:pt idx="2">
                    <c:v>Men</c:v>
                  </c:pt>
                  <c:pt idx="4">
                    <c:v>Women</c:v>
                  </c:pt>
                </c:lvl>
              </c:multiLvlStrCache>
            </c:multiLvlStrRef>
          </c:cat>
          <c:val>
            <c:numRef>
              <c:f>('A.2.7'!$Y$27:$Y$28,'A.2.7'!$Y$30:$Y$31,'A.2.7'!$Y$33:$Y$34)</c:f>
              <c:numCache>
                <c:formatCode>0.0</c:formatCode>
                <c:ptCount val="6"/>
                <c:pt idx="0">
                  <c:v>8.9577274667248963E-2</c:v>
                </c:pt>
                <c:pt idx="1">
                  <c:v>0.20174596273486201</c:v>
                </c:pt>
                <c:pt idx="2">
                  <c:v>0.10651851542429874</c:v>
                </c:pt>
                <c:pt idx="3">
                  <c:v>0.23339296503844467</c:v>
                </c:pt>
                <c:pt idx="4">
                  <c:v>7.4236241471106967E-2</c:v>
                </c:pt>
                <c:pt idx="5">
                  <c:v>0.16634083302959013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3-C1FD-4AC1-8EC7-4CF442FAEA15}"/>
            </c:ext>
          </c:extLst>
        </c:ser>
        <c:ser>
          <c:idx val="21"/>
          <c:order val="21"/>
          <c:tx>
            <c:strRef>
              <c:f>'A.2.7'!$Z$26</c:f>
              <c:strCache>
                <c:ptCount val="1"/>
                <c:pt idx="0">
                  <c:v>X - Not elsewhere classified</c:v>
                </c:pt>
              </c:strCache>
            </c:strRef>
          </c:tx>
          <c:invertIfNegative val="0"/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F5-C1FD-4AC1-8EC7-4CF442FAEA15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F6-C1FD-4AC1-8EC7-4CF442FAEA15}"/>
              </c:ext>
            </c:extLst>
          </c:dPt>
          <c:cat>
            <c:multiLvlStrRef>
              <c:f>('A.2.7'!$A$27:$B$28,'A.2.7'!$A$30:$B$31,'A.2.7'!$A$33:$B$34)</c:f>
              <c:multiLvlStrCache>
                <c:ptCount val="6"/>
                <c:lvl>
                  <c:pt idx="0">
                    <c:v>Informal employment</c:v>
                  </c:pt>
                  <c:pt idx="1">
                    <c:v>Formal employment</c:v>
                  </c:pt>
                  <c:pt idx="2">
                    <c:v>Informal employment</c:v>
                  </c:pt>
                  <c:pt idx="3">
                    <c:v>Formal employment</c:v>
                  </c:pt>
                  <c:pt idx="4">
                    <c:v>Informal employment</c:v>
                  </c:pt>
                  <c:pt idx="5">
                    <c:v>Formal employment</c:v>
                  </c:pt>
                </c:lvl>
                <c:lvl>
                  <c:pt idx="0">
                    <c:v>Total</c:v>
                  </c:pt>
                  <c:pt idx="2">
                    <c:v>Men</c:v>
                  </c:pt>
                  <c:pt idx="4">
                    <c:v>Women</c:v>
                  </c:pt>
                </c:lvl>
              </c:multiLvlStrCache>
            </c:multiLvlStrRef>
          </c:cat>
          <c:val>
            <c:numRef>
              <c:f>('A.2.7'!$Z$27:$Z$28,'A.2.7'!$Z$30:$Z$31,'A.2.7'!$Z$33:$Z$34)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4-C1FD-4AC1-8EC7-4CF442FAE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overlap val="100"/>
        <c:axId val="2131483008"/>
        <c:axId val="2122537840"/>
      </c:barChart>
      <c:catAx>
        <c:axId val="2131483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537840"/>
        <c:crosses val="autoZero"/>
        <c:auto val="1"/>
        <c:lblAlgn val="ctr"/>
        <c:lblOffset val="100"/>
        <c:noMultiLvlLbl val="0"/>
      </c:catAx>
      <c:valAx>
        <c:axId val="2122537840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2">
                        <a:lumMod val="25000"/>
                      </a:schemeClr>
                    </a:solidFill>
                  </a:rPr>
                  <a:t>Distribution of informal and formal</a:t>
                </a:r>
                <a:r>
                  <a:rPr lang="en-US" baseline="0">
                    <a:solidFill>
                      <a:schemeClr val="bg2">
                        <a:lumMod val="25000"/>
                      </a:schemeClr>
                    </a:solidFill>
                  </a:rPr>
                  <a:t> </a:t>
                </a:r>
                <a:r>
                  <a:rPr lang="en-US">
                    <a:solidFill>
                      <a:schemeClr val="bg2">
                        <a:lumMod val="25000"/>
                      </a:schemeClr>
                    </a:solidFill>
                  </a:rPr>
                  <a:t>employment</a:t>
                </a:r>
              </a:p>
            </c:rich>
          </c:tx>
          <c:layout>
            <c:manualLayout>
              <c:xMode val="edge"/>
              <c:yMode val="edge"/>
              <c:x val="0.18859310005021934"/>
              <c:y val="0.9197733428268275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out"/>
        <c:minorTickMark val="none"/>
        <c:tickLblPos val="nextTo"/>
        <c:crossAx val="2131483008"/>
        <c:crosses val="autoZero"/>
        <c:crossBetween val="between"/>
      </c:valAx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64270832669195699"/>
          <c:y val="4.3745892572137641E-3"/>
          <c:w val="0.35729167330804296"/>
          <c:h val="0.992924507317941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14</xdr:col>
      <xdr:colOff>237067</xdr:colOff>
      <xdr:row>63</xdr:row>
      <xdr:rowOff>50800</xdr:rowOff>
    </xdr:to>
    <xdr:graphicFrame macro="">
      <xdr:nvGraphicFramePr>
        <xdr:cNvPr id="3" name="Graphique 4">
          <a:extLst>
            <a:ext uri="{FF2B5EF4-FFF2-40B4-BE49-F238E27FC236}">
              <a16:creationId xmlns:a16="http://schemas.microsoft.com/office/drawing/2014/main" id="{E8905BA1-A892-464A-B2F7-83BF3C98D1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03EE5-9768-4AB3-ADED-BAF40793D854}">
  <sheetPr>
    <tabColor rgb="FFC00000"/>
  </sheetPr>
  <dimension ref="A1:AC72"/>
  <sheetViews>
    <sheetView tabSelected="1" zoomScale="90" zoomScaleNormal="90" workbookViewId="0">
      <selection activeCell="C3" sqref="C3"/>
    </sheetView>
  </sheetViews>
  <sheetFormatPr defaultColWidth="11.5703125" defaultRowHeight="12.75" x14ac:dyDescent="0.2"/>
  <cols>
    <col min="1" max="1" width="14.28515625" style="1" customWidth="1"/>
    <col min="2" max="2" width="22.7109375" style="1" customWidth="1"/>
    <col min="3" max="10" width="12.28515625" style="1" customWidth="1"/>
    <col min="11" max="16384" width="11.5703125" style="1"/>
  </cols>
  <sheetData>
    <row r="1" spans="1:27" ht="15.75" x14ac:dyDescent="0.3">
      <c r="A1" s="33" t="s">
        <v>40</v>
      </c>
      <c r="B1" s="34"/>
    </row>
    <row r="2" spans="1:27" x14ac:dyDescent="0.2">
      <c r="A2" s="19" t="s">
        <v>30</v>
      </c>
      <c r="B2" s="18" t="s">
        <v>36</v>
      </c>
    </row>
    <row r="3" spans="1:27" x14ac:dyDescent="0.2">
      <c r="A3" s="19" t="s">
        <v>31</v>
      </c>
      <c r="B3" s="18" t="s">
        <v>37</v>
      </c>
    </row>
    <row r="4" spans="1:27" x14ac:dyDescent="0.2">
      <c r="A4" s="19" t="s">
        <v>32</v>
      </c>
      <c r="B4" s="18">
        <v>2018</v>
      </c>
    </row>
    <row r="6" spans="1:27" ht="32.25" customHeight="1" x14ac:dyDescent="0.25">
      <c r="A6" s="30" t="s">
        <v>38</v>
      </c>
      <c r="B6" s="35" t="s">
        <v>41</v>
      </c>
      <c r="C6" s="36"/>
      <c r="D6" s="36"/>
      <c r="E6" s="36"/>
      <c r="F6" s="36"/>
      <c r="G6" s="36"/>
      <c r="H6" s="37"/>
      <c r="I6" s="25" t="s">
        <v>42</v>
      </c>
    </row>
    <row r="7" spans="1:27" ht="15" x14ac:dyDescent="0.25">
      <c r="A7" s="31" t="s">
        <v>39</v>
      </c>
      <c r="B7" s="29" t="s">
        <v>43</v>
      </c>
      <c r="C7" s="27"/>
      <c r="D7" s="27"/>
      <c r="E7" s="27"/>
      <c r="F7" s="28"/>
      <c r="G7" s="28"/>
      <c r="H7" s="28"/>
    </row>
    <row r="8" spans="1:27" ht="15" x14ac:dyDescent="0.25">
      <c r="A8" s="32"/>
      <c r="B8" s="29"/>
      <c r="C8" s="27"/>
      <c r="D8" s="27"/>
      <c r="E8" s="27"/>
      <c r="F8" s="28"/>
      <c r="G8" s="28"/>
      <c r="H8" s="28"/>
    </row>
    <row r="9" spans="1:27" ht="15.75" customHeight="1" x14ac:dyDescent="0.25">
      <c r="A9" s="38" t="s">
        <v>44</v>
      </c>
      <c r="B9" s="39"/>
      <c r="C9" s="39"/>
      <c r="D9" s="39"/>
      <c r="E9" s="39"/>
      <c r="F9" s="39"/>
      <c r="G9" s="40"/>
      <c r="H9" s="40"/>
      <c r="I9" s="40"/>
    </row>
    <row r="10" spans="1:27" x14ac:dyDescent="0.2">
      <c r="A10" s="11" t="s">
        <v>34</v>
      </c>
      <c r="C10" s="1" t="s">
        <v>28</v>
      </c>
    </row>
    <row r="11" spans="1:27" x14ac:dyDescent="0.2">
      <c r="A11" s="11"/>
      <c r="C11" s="17" t="s">
        <v>22</v>
      </c>
      <c r="D11" s="41" t="s">
        <v>29</v>
      </c>
      <c r="J11" s="41" t="s">
        <v>23</v>
      </c>
    </row>
    <row r="12" spans="1:27" s="26" customFormat="1" ht="88.15" customHeight="1" x14ac:dyDescent="0.2">
      <c r="A12" s="12"/>
      <c r="B12" s="12"/>
      <c r="C12" s="16" t="s">
        <v>1</v>
      </c>
      <c r="D12" s="42"/>
      <c r="E12" s="12" t="s">
        <v>2</v>
      </c>
      <c r="F12" s="12" t="s">
        <v>3</v>
      </c>
      <c r="G12" s="12" t="s">
        <v>4</v>
      </c>
      <c r="H12" s="12" t="s">
        <v>5</v>
      </c>
      <c r="I12" s="12" t="s">
        <v>6</v>
      </c>
      <c r="J12" s="42"/>
      <c r="K12" s="12" t="s">
        <v>7</v>
      </c>
      <c r="L12" s="12" t="s">
        <v>8</v>
      </c>
      <c r="M12" s="12" t="s">
        <v>9</v>
      </c>
      <c r="N12" s="12" t="s">
        <v>10</v>
      </c>
      <c r="O12" s="12" t="s">
        <v>11</v>
      </c>
      <c r="P12" s="12" t="s">
        <v>12</v>
      </c>
      <c r="Q12" s="12" t="s">
        <v>13</v>
      </c>
      <c r="R12" s="12" t="s">
        <v>14</v>
      </c>
      <c r="S12" s="12" t="s">
        <v>15</v>
      </c>
      <c r="T12" s="12" t="s">
        <v>16</v>
      </c>
      <c r="U12" s="12" t="s">
        <v>17</v>
      </c>
      <c r="V12" s="12" t="s">
        <v>18</v>
      </c>
      <c r="W12" s="12" t="s">
        <v>19</v>
      </c>
      <c r="X12" s="12" t="s">
        <v>35</v>
      </c>
      <c r="Y12" s="12" t="s">
        <v>20</v>
      </c>
      <c r="Z12" s="12" t="s">
        <v>21</v>
      </c>
      <c r="AA12" s="12" t="s">
        <v>0</v>
      </c>
    </row>
    <row r="13" spans="1:27" x14ac:dyDescent="0.2">
      <c r="A13" s="2" t="s">
        <v>0</v>
      </c>
      <c r="B13" s="3" t="s">
        <v>24</v>
      </c>
      <c r="C13" s="7">
        <v>140225</v>
      </c>
      <c r="D13" s="7">
        <f>SUM(E13:I13)</f>
        <v>58040</v>
      </c>
      <c r="E13" s="3">
        <v>2343</v>
      </c>
      <c r="F13" s="3">
        <v>26112</v>
      </c>
      <c r="G13" s="3">
        <v>416</v>
      </c>
      <c r="H13" s="3">
        <v>1141</v>
      </c>
      <c r="I13" s="3">
        <v>28028</v>
      </c>
      <c r="J13" s="7">
        <f>SUM(K13:Y13)</f>
        <v>204738</v>
      </c>
      <c r="K13" s="3">
        <v>45912</v>
      </c>
      <c r="L13" s="3">
        <v>9110</v>
      </c>
      <c r="M13" s="3">
        <v>35813</v>
      </c>
      <c r="N13" s="3">
        <v>940</v>
      </c>
      <c r="O13" s="3">
        <v>1238</v>
      </c>
      <c r="P13" s="3">
        <v>564</v>
      </c>
      <c r="Q13" s="3">
        <v>1721</v>
      </c>
      <c r="R13" s="3">
        <v>11611</v>
      </c>
      <c r="S13" s="3">
        <v>3608</v>
      </c>
      <c r="T13" s="3">
        <v>6292</v>
      </c>
      <c r="U13" s="3">
        <v>3717</v>
      </c>
      <c r="V13" s="3">
        <v>1933</v>
      </c>
      <c r="W13" s="3">
        <v>21008</v>
      </c>
      <c r="X13" s="3">
        <v>60910</v>
      </c>
      <c r="Y13" s="3">
        <v>361</v>
      </c>
      <c r="Z13" s="3">
        <v>0</v>
      </c>
      <c r="AA13" s="3">
        <v>403004</v>
      </c>
    </row>
    <row r="14" spans="1:27" x14ac:dyDescent="0.2">
      <c r="A14" s="4"/>
      <c r="B14" s="1" t="s">
        <v>25</v>
      </c>
      <c r="C14" s="8">
        <v>23040</v>
      </c>
      <c r="D14" s="8">
        <f t="shared" ref="D14:D21" si="0">SUM(E14:I14)</f>
        <v>59187</v>
      </c>
      <c r="E14" s="1">
        <v>10707</v>
      </c>
      <c r="F14" s="1">
        <v>25918</v>
      </c>
      <c r="G14" s="1">
        <v>3130</v>
      </c>
      <c r="H14" s="1">
        <v>3278</v>
      </c>
      <c r="I14" s="1">
        <v>16154</v>
      </c>
      <c r="J14" s="8">
        <f t="shared" ref="J14:J21" si="1">SUM(K14:Y14)</f>
        <v>237481</v>
      </c>
      <c r="K14" s="1">
        <v>44275</v>
      </c>
      <c r="L14" s="1">
        <v>14676</v>
      </c>
      <c r="M14" s="1">
        <v>24074</v>
      </c>
      <c r="N14" s="1">
        <v>5319</v>
      </c>
      <c r="O14" s="1">
        <v>12579</v>
      </c>
      <c r="P14" s="1">
        <v>446</v>
      </c>
      <c r="Q14" s="1">
        <v>7996</v>
      </c>
      <c r="R14" s="1">
        <v>23161</v>
      </c>
      <c r="S14" s="1">
        <v>26930</v>
      </c>
      <c r="T14" s="1">
        <v>40013</v>
      </c>
      <c r="U14" s="1">
        <v>14992</v>
      </c>
      <c r="V14" s="1">
        <v>1725</v>
      </c>
      <c r="W14" s="1">
        <v>10112</v>
      </c>
      <c r="X14" s="1">
        <v>10538</v>
      </c>
      <c r="Y14" s="1">
        <v>645</v>
      </c>
      <c r="Z14" s="1">
        <v>0</v>
      </c>
      <c r="AA14" s="1">
        <v>319709</v>
      </c>
    </row>
    <row r="15" spans="1:27" x14ac:dyDescent="0.2">
      <c r="A15" s="4"/>
      <c r="B15" s="1" t="s">
        <v>0</v>
      </c>
      <c r="C15" s="8">
        <v>163265</v>
      </c>
      <c r="D15" s="8">
        <f t="shared" si="0"/>
        <v>117228</v>
      </c>
      <c r="E15" s="1">
        <v>13050</v>
      </c>
      <c r="F15" s="1">
        <v>52030</v>
      </c>
      <c r="G15" s="1">
        <v>3546</v>
      </c>
      <c r="H15" s="1">
        <v>4419</v>
      </c>
      <c r="I15" s="1">
        <v>44183</v>
      </c>
      <c r="J15" s="8">
        <f t="shared" si="1"/>
        <v>442219</v>
      </c>
      <c r="K15" s="1">
        <v>90187</v>
      </c>
      <c r="L15" s="1">
        <v>23785</v>
      </c>
      <c r="M15" s="1">
        <v>59887</v>
      </c>
      <c r="N15" s="1">
        <v>6259</v>
      </c>
      <c r="O15" s="1">
        <v>13817</v>
      </c>
      <c r="P15" s="1">
        <v>1010</v>
      </c>
      <c r="Q15" s="1">
        <v>9717</v>
      </c>
      <c r="R15" s="1">
        <v>34772</v>
      </c>
      <c r="S15" s="1">
        <v>30538</v>
      </c>
      <c r="T15" s="1">
        <v>46305</v>
      </c>
      <c r="U15" s="1">
        <v>18709</v>
      </c>
      <c r="V15" s="1">
        <v>3658</v>
      </c>
      <c r="W15" s="1">
        <v>31120</v>
      </c>
      <c r="X15" s="1">
        <v>71448</v>
      </c>
      <c r="Y15" s="1">
        <v>1007</v>
      </c>
      <c r="Z15" s="1">
        <v>0</v>
      </c>
      <c r="AA15" s="1">
        <v>722712</v>
      </c>
    </row>
    <row r="16" spans="1:27" x14ac:dyDescent="0.2">
      <c r="A16" s="2" t="s">
        <v>26</v>
      </c>
      <c r="B16" s="3" t="s">
        <v>24</v>
      </c>
      <c r="C16" s="7">
        <v>72830</v>
      </c>
      <c r="D16" s="7">
        <f t="shared" si="0"/>
        <v>44989</v>
      </c>
      <c r="E16" s="3">
        <v>1695</v>
      </c>
      <c r="F16" s="3">
        <v>15340</v>
      </c>
      <c r="G16" s="3">
        <v>330</v>
      </c>
      <c r="H16" s="3">
        <v>692</v>
      </c>
      <c r="I16" s="3">
        <v>26932</v>
      </c>
      <c r="J16" s="7">
        <f t="shared" si="1"/>
        <v>73698</v>
      </c>
      <c r="K16" s="3">
        <v>17160</v>
      </c>
      <c r="L16" s="3">
        <v>8974</v>
      </c>
      <c r="M16" s="3">
        <v>6658</v>
      </c>
      <c r="N16" s="3">
        <v>818</v>
      </c>
      <c r="O16" s="3">
        <v>656</v>
      </c>
      <c r="P16" s="3">
        <v>151</v>
      </c>
      <c r="Q16" s="3">
        <v>1011</v>
      </c>
      <c r="R16" s="3">
        <v>6262</v>
      </c>
      <c r="S16" s="3">
        <v>1478</v>
      </c>
      <c r="T16" s="3">
        <v>1731</v>
      </c>
      <c r="U16" s="3">
        <v>993</v>
      </c>
      <c r="V16" s="3">
        <v>793</v>
      </c>
      <c r="W16" s="3">
        <v>7456</v>
      </c>
      <c r="X16" s="3">
        <v>19353</v>
      </c>
      <c r="Y16" s="3">
        <v>204</v>
      </c>
      <c r="Z16" s="3">
        <v>0</v>
      </c>
      <c r="AA16" s="3">
        <v>191516</v>
      </c>
    </row>
    <row r="17" spans="1:29" x14ac:dyDescent="0.2">
      <c r="A17" s="4"/>
      <c r="B17" s="1" t="s">
        <v>25</v>
      </c>
      <c r="C17" s="8">
        <v>14088</v>
      </c>
      <c r="D17" s="8">
        <f t="shared" si="0"/>
        <v>44589</v>
      </c>
      <c r="E17" s="1">
        <v>9083</v>
      </c>
      <c r="F17" s="1">
        <v>17297</v>
      </c>
      <c r="G17" s="1">
        <v>2095</v>
      </c>
      <c r="H17" s="1">
        <v>2214</v>
      </c>
      <c r="I17" s="1">
        <v>13900</v>
      </c>
      <c r="J17" s="8">
        <f t="shared" si="1"/>
        <v>110139</v>
      </c>
      <c r="K17" s="1">
        <v>24808</v>
      </c>
      <c r="L17" s="1">
        <v>12496</v>
      </c>
      <c r="M17" s="1">
        <v>7787</v>
      </c>
      <c r="N17" s="1">
        <v>3918</v>
      </c>
      <c r="O17" s="1">
        <v>4131</v>
      </c>
      <c r="P17" s="1">
        <v>193</v>
      </c>
      <c r="Q17" s="1">
        <v>3857</v>
      </c>
      <c r="R17" s="1">
        <v>12566</v>
      </c>
      <c r="S17" s="1">
        <v>16833</v>
      </c>
      <c r="T17" s="1">
        <v>11948</v>
      </c>
      <c r="U17" s="1">
        <v>4194</v>
      </c>
      <c r="V17" s="1">
        <v>918</v>
      </c>
      <c r="W17" s="1">
        <v>4434</v>
      </c>
      <c r="X17" s="1">
        <v>1662</v>
      </c>
      <c r="Y17" s="1">
        <v>394</v>
      </c>
      <c r="Z17" s="1">
        <v>0</v>
      </c>
      <c r="AA17" s="1">
        <v>168814</v>
      </c>
    </row>
    <row r="18" spans="1:29" x14ac:dyDescent="0.2">
      <c r="A18" s="5"/>
      <c r="B18" s="6" t="s">
        <v>0</v>
      </c>
      <c r="C18" s="15">
        <v>86918</v>
      </c>
      <c r="D18" s="15">
        <f t="shared" si="0"/>
        <v>89578</v>
      </c>
      <c r="E18" s="6">
        <v>10778</v>
      </c>
      <c r="F18" s="6">
        <v>32637</v>
      </c>
      <c r="G18" s="6">
        <v>2425</v>
      </c>
      <c r="H18" s="6">
        <v>2906</v>
      </c>
      <c r="I18" s="6">
        <v>40832</v>
      </c>
      <c r="J18" s="15">
        <f t="shared" si="1"/>
        <v>183832</v>
      </c>
      <c r="K18" s="6">
        <v>41968</v>
      </c>
      <c r="L18" s="6">
        <v>21469</v>
      </c>
      <c r="M18" s="6">
        <v>14445</v>
      </c>
      <c r="N18" s="6">
        <v>4736</v>
      </c>
      <c r="O18" s="6">
        <v>4787</v>
      </c>
      <c r="P18" s="6">
        <v>344</v>
      </c>
      <c r="Q18" s="6">
        <v>4868</v>
      </c>
      <c r="R18" s="6">
        <v>18827</v>
      </c>
      <c r="S18" s="6">
        <v>18311</v>
      </c>
      <c r="T18" s="6">
        <v>13678</v>
      </c>
      <c r="U18" s="6">
        <v>5187</v>
      </c>
      <c r="V18" s="6">
        <v>1710</v>
      </c>
      <c r="W18" s="6">
        <v>11889</v>
      </c>
      <c r="X18" s="6">
        <v>21015</v>
      </c>
      <c r="Y18" s="6">
        <v>598</v>
      </c>
      <c r="Z18" s="6">
        <v>0</v>
      </c>
      <c r="AA18" s="6">
        <v>360330</v>
      </c>
    </row>
    <row r="19" spans="1:29" x14ac:dyDescent="0.2">
      <c r="A19" s="4" t="s">
        <v>27</v>
      </c>
      <c r="B19" s="1" t="s">
        <v>24</v>
      </c>
      <c r="C19" s="8">
        <v>67395</v>
      </c>
      <c r="D19" s="8">
        <f t="shared" si="0"/>
        <v>13052</v>
      </c>
      <c r="E19" s="1">
        <v>648</v>
      </c>
      <c r="F19" s="1">
        <v>10773</v>
      </c>
      <c r="G19" s="1">
        <v>86</v>
      </c>
      <c r="H19" s="1">
        <v>449</v>
      </c>
      <c r="I19" s="1">
        <v>1096</v>
      </c>
      <c r="J19" s="8">
        <f t="shared" si="1"/>
        <v>131042</v>
      </c>
      <c r="K19" s="1">
        <v>28752</v>
      </c>
      <c r="L19" s="1">
        <v>136</v>
      </c>
      <c r="M19" s="1">
        <v>29155</v>
      </c>
      <c r="N19" s="1">
        <v>122</v>
      </c>
      <c r="O19" s="1">
        <v>582</v>
      </c>
      <c r="P19" s="1">
        <v>413</v>
      </c>
      <c r="Q19" s="1">
        <v>709</v>
      </c>
      <c r="R19" s="1">
        <v>5350</v>
      </c>
      <c r="S19" s="1">
        <v>2130</v>
      </c>
      <c r="T19" s="1">
        <v>4562</v>
      </c>
      <c r="U19" s="1">
        <v>2724</v>
      </c>
      <c r="V19" s="1">
        <v>1140</v>
      </c>
      <c r="W19" s="1">
        <v>13553</v>
      </c>
      <c r="X19" s="1">
        <v>41557</v>
      </c>
      <c r="Y19" s="1">
        <v>157</v>
      </c>
      <c r="Z19" s="1">
        <v>0</v>
      </c>
      <c r="AA19" s="1">
        <v>211487</v>
      </c>
    </row>
    <row r="20" spans="1:29" x14ac:dyDescent="0.2">
      <c r="A20" s="4"/>
      <c r="B20" s="1" t="s">
        <v>25</v>
      </c>
      <c r="C20" s="8">
        <v>8952</v>
      </c>
      <c r="D20" s="8">
        <f t="shared" si="0"/>
        <v>14598</v>
      </c>
      <c r="E20" s="1">
        <v>1625</v>
      </c>
      <c r="F20" s="1">
        <v>8621</v>
      </c>
      <c r="G20" s="1">
        <v>1035</v>
      </c>
      <c r="H20" s="1">
        <v>1063</v>
      </c>
      <c r="I20" s="1">
        <v>2254</v>
      </c>
      <c r="J20" s="8">
        <f t="shared" si="1"/>
        <v>127345</v>
      </c>
      <c r="K20" s="1">
        <v>19467</v>
      </c>
      <c r="L20" s="1">
        <v>2180</v>
      </c>
      <c r="M20" s="1">
        <v>16287</v>
      </c>
      <c r="N20" s="1">
        <v>1401</v>
      </c>
      <c r="O20" s="1">
        <v>8448</v>
      </c>
      <c r="P20" s="1">
        <v>254</v>
      </c>
      <c r="Q20" s="1">
        <v>4139</v>
      </c>
      <c r="R20" s="1">
        <v>10595</v>
      </c>
      <c r="S20" s="1">
        <v>10097</v>
      </c>
      <c r="T20" s="1">
        <v>28065</v>
      </c>
      <c r="U20" s="1">
        <v>10798</v>
      </c>
      <c r="V20" s="1">
        <v>807</v>
      </c>
      <c r="W20" s="1">
        <v>5679</v>
      </c>
      <c r="X20" s="1">
        <v>8877</v>
      </c>
      <c r="Y20" s="1">
        <v>251</v>
      </c>
      <c r="Z20" s="1">
        <v>0</v>
      </c>
      <c r="AA20" s="1">
        <v>150895</v>
      </c>
    </row>
    <row r="21" spans="1:29" x14ac:dyDescent="0.2">
      <c r="A21" s="5"/>
      <c r="B21" s="6" t="s">
        <v>0</v>
      </c>
      <c r="C21" s="15">
        <v>76347</v>
      </c>
      <c r="D21" s="15">
        <f t="shared" si="0"/>
        <v>27649</v>
      </c>
      <c r="E21" s="6">
        <v>2272</v>
      </c>
      <c r="F21" s="6">
        <v>19394</v>
      </c>
      <c r="G21" s="6">
        <v>1121</v>
      </c>
      <c r="H21" s="6">
        <v>1512</v>
      </c>
      <c r="I21" s="6">
        <v>3350</v>
      </c>
      <c r="J21" s="15">
        <f t="shared" si="1"/>
        <v>258387</v>
      </c>
      <c r="K21" s="6">
        <v>48220</v>
      </c>
      <c r="L21" s="6">
        <v>2316</v>
      </c>
      <c r="M21" s="6">
        <v>45442</v>
      </c>
      <c r="N21" s="6">
        <v>1523</v>
      </c>
      <c r="O21" s="6">
        <v>9031</v>
      </c>
      <c r="P21" s="6">
        <v>666</v>
      </c>
      <c r="Q21" s="6">
        <v>4849</v>
      </c>
      <c r="R21" s="6">
        <v>15944</v>
      </c>
      <c r="S21" s="6">
        <v>12228</v>
      </c>
      <c r="T21" s="6">
        <v>32626</v>
      </c>
      <c r="U21" s="6">
        <v>13522</v>
      </c>
      <c r="V21" s="6">
        <v>1947</v>
      </c>
      <c r="W21" s="6">
        <v>19231</v>
      </c>
      <c r="X21" s="6">
        <v>50434</v>
      </c>
      <c r="Y21" s="6">
        <v>408</v>
      </c>
      <c r="Z21" s="6">
        <v>0</v>
      </c>
      <c r="AA21" s="6">
        <v>362383</v>
      </c>
    </row>
    <row r="23" spans="1:29" ht="15.75" x14ac:dyDescent="0.25">
      <c r="A23" s="38" t="s">
        <v>45</v>
      </c>
      <c r="B23" s="39"/>
      <c r="C23" s="39"/>
      <c r="D23" s="39"/>
      <c r="E23" s="39"/>
      <c r="F23" s="39"/>
      <c r="G23" s="40"/>
      <c r="H23" s="40"/>
      <c r="I23" s="40"/>
    </row>
    <row r="24" spans="1:29" x14ac:dyDescent="0.2">
      <c r="A24" s="11"/>
      <c r="C24" s="1" t="s">
        <v>28</v>
      </c>
    </row>
    <row r="25" spans="1:29" x14ac:dyDescent="0.2">
      <c r="A25" s="11"/>
      <c r="C25" s="17" t="s">
        <v>22</v>
      </c>
      <c r="D25" s="41" t="s">
        <v>29</v>
      </c>
      <c r="J25" s="41" t="s">
        <v>23</v>
      </c>
    </row>
    <row r="26" spans="1:29" s="26" customFormat="1" ht="71.45" customHeight="1" x14ac:dyDescent="0.2">
      <c r="A26" s="12"/>
      <c r="B26" s="12"/>
      <c r="C26" s="16" t="str">
        <f>C12</f>
        <v>A - Agriculture, forestry and fishing</v>
      </c>
      <c r="D26" s="42"/>
      <c r="E26" s="16" t="str">
        <f t="shared" ref="E26:I26" si="2">E12</f>
        <v>B - Mining and quarrying</v>
      </c>
      <c r="F26" s="16" t="str">
        <f t="shared" si="2"/>
        <v>C - Manufacturing</v>
      </c>
      <c r="G26" s="16" t="str">
        <f t="shared" si="2"/>
        <v>D - Electricity, gas, steam and air conditioning supply</v>
      </c>
      <c r="H26" s="16" t="str">
        <f t="shared" si="2"/>
        <v>E - Water supply; sewerage, waste management and remediation activities</v>
      </c>
      <c r="I26" s="16" t="str">
        <f t="shared" si="2"/>
        <v>F - Construction</v>
      </c>
      <c r="J26" s="42"/>
      <c r="K26" s="16" t="str">
        <f t="shared" ref="K26:AA26" si="3">K12</f>
        <v>G - Wholesale and retail trade; repair of motor vehicles and motorcycles</v>
      </c>
      <c r="L26" s="16" t="str">
        <f t="shared" si="3"/>
        <v>H - Transportation and storage</v>
      </c>
      <c r="M26" s="16" t="str">
        <f t="shared" si="3"/>
        <v>I - Accommodation and food service activities</v>
      </c>
      <c r="N26" s="16" t="str">
        <f t="shared" si="3"/>
        <v>J - Information and communication</v>
      </c>
      <c r="O26" s="16" t="str">
        <f t="shared" si="3"/>
        <v>K - Financial and insurance activities</v>
      </c>
      <c r="P26" s="16" t="str">
        <f t="shared" si="3"/>
        <v>L - Real estate activities</v>
      </c>
      <c r="Q26" s="16" t="str">
        <f t="shared" si="3"/>
        <v>M - Professional, scientific and technical activities</v>
      </c>
      <c r="R26" s="16" t="str">
        <f t="shared" si="3"/>
        <v>N - Administrative and support service activities</v>
      </c>
      <c r="S26" s="16" t="str">
        <f t="shared" si="3"/>
        <v>O - Public administration and defence; compulsory social security</v>
      </c>
      <c r="T26" s="16" t="str">
        <f t="shared" si="3"/>
        <v>P - Education</v>
      </c>
      <c r="U26" s="16" t="str">
        <f t="shared" si="3"/>
        <v>Q - Human health and social work activities</v>
      </c>
      <c r="V26" s="16" t="str">
        <f t="shared" si="3"/>
        <v>R - Arts, entertainment and recreation</v>
      </c>
      <c r="W26" s="16" t="str">
        <f t="shared" si="3"/>
        <v>S - Other service activities</v>
      </c>
      <c r="X26" s="16" t="str">
        <f t="shared" si="3"/>
        <v>T - Activities of households as employers;  goods- and services-for own final use</v>
      </c>
      <c r="Y26" s="16" t="str">
        <f t="shared" si="3"/>
        <v>U - Activities of extraterritorial organizations and bodies</v>
      </c>
      <c r="Z26" s="16" t="str">
        <f t="shared" si="3"/>
        <v>X - Not elsewhere classified</v>
      </c>
      <c r="AA26" s="16" t="str">
        <f t="shared" si="3"/>
        <v>Total</v>
      </c>
    </row>
    <row r="27" spans="1:29" x14ac:dyDescent="0.2">
      <c r="A27" s="2" t="s">
        <v>0</v>
      </c>
      <c r="B27" s="3" t="s">
        <v>24</v>
      </c>
      <c r="C27" s="13">
        <f>C13/$AA13*100</f>
        <v>34.794940000595524</v>
      </c>
      <c r="D27" s="13">
        <f t="shared" ref="D27:AA35" si="4">D13/$AA13*100</f>
        <v>14.40184216533831</v>
      </c>
      <c r="E27" s="9">
        <f t="shared" si="4"/>
        <v>0.58138380760488728</v>
      </c>
      <c r="F27" s="9">
        <f t="shared" si="4"/>
        <v>6.4793401554327001</v>
      </c>
      <c r="G27" s="9">
        <f t="shared" si="4"/>
        <v>0.10322478188802095</v>
      </c>
      <c r="H27" s="9">
        <f t="shared" si="4"/>
        <v>0.2831237407072883</v>
      </c>
      <c r="I27" s="9">
        <f t="shared" si="4"/>
        <v>6.9547696797054126</v>
      </c>
      <c r="J27" s="13">
        <f t="shared" si="4"/>
        <v>50.802969697571243</v>
      </c>
      <c r="K27" s="9">
        <f t="shared" si="4"/>
        <v>11.392442754910622</v>
      </c>
      <c r="L27" s="9">
        <f t="shared" si="4"/>
        <v>2.2605234687496898</v>
      </c>
      <c r="M27" s="9">
        <f t="shared" si="4"/>
        <v>8.8865122926819584</v>
      </c>
      <c r="N27" s="9">
        <f t="shared" si="4"/>
        <v>0.23324830522773965</v>
      </c>
      <c r="O27" s="9">
        <f t="shared" si="4"/>
        <v>0.30719298071483164</v>
      </c>
      <c r="P27" s="9">
        <f t="shared" si="4"/>
        <v>0.13994898313664381</v>
      </c>
      <c r="Q27" s="9">
        <f t="shared" si="4"/>
        <v>0.4270429077627021</v>
      </c>
      <c r="R27" s="9">
        <f t="shared" si="4"/>
        <v>2.8811128425524313</v>
      </c>
      <c r="S27" s="9">
        <f t="shared" si="4"/>
        <v>0.89527647368264329</v>
      </c>
      <c r="T27" s="9">
        <f t="shared" si="4"/>
        <v>1.5612748260563172</v>
      </c>
      <c r="U27" s="9">
        <f t="shared" si="4"/>
        <v>0.92232335162926415</v>
      </c>
      <c r="V27" s="9">
        <f t="shared" si="4"/>
        <v>0.47964784468640509</v>
      </c>
      <c r="W27" s="9">
        <f t="shared" si="4"/>
        <v>5.2128514853450589</v>
      </c>
      <c r="X27" s="9">
        <f t="shared" si="4"/>
        <v>15.113993905767684</v>
      </c>
      <c r="Y27" s="9">
        <f t="shared" si="4"/>
        <v>8.9577274667248963E-2</v>
      </c>
      <c r="Z27" s="9">
        <f t="shared" si="4"/>
        <v>0</v>
      </c>
      <c r="AA27" s="9">
        <f t="shared" si="4"/>
        <v>100</v>
      </c>
      <c r="AC27" s="10">
        <f t="shared" ref="AC27:AC35" si="5">C27+D27+J27+Z27</f>
        <v>99.999751863505082</v>
      </c>
    </row>
    <row r="28" spans="1:29" x14ac:dyDescent="0.2">
      <c r="A28" s="4"/>
      <c r="B28" s="1" t="s">
        <v>25</v>
      </c>
      <c r="C28" s="14">
        <f t="shared" ref="C28:R35" si="6">C14/$AA14*100</f>
        <v>7.2065534595522802</v>
      </c>
      <c r="D28" s="14">
        <f t="shared" si="6"/>
        <v>18.512772552539968</v>
      </c>
      <c r="E28" s="10">
        <f t="shared" si="6"/>
        <v>3.3489829813987093</v>
      </c>
      <c r="F28" s="10">
        <f t="shared" si="6"/>
        <v>8.1067470731196174</v>
      </c>
      <c r="G28" s="10">
        <f t="shared" si="6"/>
        <v>0.97901529203119086</v>
      </c>
      <c r="H28" s="10">
        <f t="shared" si="6"/>
        <v>1.0253073889067872</v>
      </c>
      <c r="I28" s="10">
        <f t="shared" si="6"/>
        <v>5.05271981708366</v>
      </c>
      <c r="J28" s="14">
        <f t="shared" si="6"/>
        <v>74.280361203469397</v>
      </c>
      <c r="K28" s="10">
        <f t="shared" si="6"/>
        <v>13.848531007885295</v>
      </c>
      <c r="L28" s="10">
        <f t="shared" si="6"/>
        <v>4.5904244172043951</v>
      </c>
      <c r="M28" s="10">
        <f t="shared" si="6"/>
        <v>7.5299725688047578</v>
      </c>
      <c r="N28" s="10">
        <f t="shared" si="6"/>
        <v>1.6637004275763274</v>
      </c>
      <c r="O28" s="10">
        <f t="shared" si="6"/>
        <v>3.9345154499873325</v>
      </c>
      <c r="P28" s="10">
        <f t="shared" si="6"/>
        <v>0.13950185950348598</v>
      </c>
      <c r="Q28" s="10">
        <f t="shared" si="6"/>
        <v>2.5010243690355916</v>
      </c>
      <c r="R28" s="10">
        <f t="shared" si="6"/>
        <v>7.2444003765924636</v>
      </c>
      <c r="S28" s="10">
        <f t="shared" si="4"/>
        <v>8.4232849247284243</v>
      </c>
      <c r="T28" s="10">
        <f t="shared" si="4"/>
        <v>12.515443731643463</v>
      </c>
      <c r="U28" s="10">
        <f t="shared" si="4"/>
        <v>4.6892642997225602</v>
      </c>
      <c r="V28" s="10">
        <f t="shared" si="4"/>
        <v>0.53955315615137511</v>
      </c>
      <c r="W28" s="10">
        <f t="shared" si="4"/>
        <v>3.1628762405812783</v>
      </c>
      <c r="X28" s="10">
        <f t="shared" si="4"/>
        <v>3.2961224113177923</v>
      </c>
      <c r="Y28" s="10">
        <f t="shared" si="4"/>
        <v>0.20174596273486201</v>
      </c>
      <c r="Z28" s="10">
        <f t="shared" si="4"/>
        <v>0</v>
      </c>
      <c r="AA28" s="10">
        <f t="shared" si="4"/>
        <v>100</v>
      </c>
      <c r="AC28" s="10">
        <f t="shared" si="5"/>
        <v>99.999687215561636</v>
      </c>
    </row>
    <row r="29" spans="1:29" x14ac:dyDescent="0.2">
      <c r="A29" s="5"/>
      <c r="B29" s="20" t="s">
        <v>0</v>
      </c>
      <c r="C29" s="21">
        <f t="shared" si="6"/>
        <v>22.590603172494713</v>
      </c>
      <c r="D29" s="21">
        <f t="shared" si="4"/>
        <v>16.220569189386644</v>
      </c>
      <c r="E29" s="22">
        <f t="shared" si="4"/>
        <v>1.8056985355162223</v>
      </c>
      <c r="F29" s="22">
        <f t="shared" si="4"/>
        <v>7.1992716324068233</v>
      </c>
      <c r="G29" s="22">
        <f t="shared" si="4"/>
        <v>0.49065187792647691</v>
      </c>
      <c r="H29" s="22">
        <f t="shared" si="4"/>
        <v>0.61144688340583797</v>
      </c>
      <c r="I29" s="22">
        <f t="shared" si="4"/>
        <v>6.1135002601312838</v>
      </c>
      <c r="J29" s="21">
        <f t="shared" si="4"/>
        <v>61.188827638118639</v>
      </c>
      <c r="K29" s="22">
        <f t="shared" si="4"/>
        <v>12.478968109011612</v>
      </c>
      <c r="L29" s="22">
        <f t="shared" si="4"/>
        <v>3.2910758365711374</v>
      </c>
      <c r="M29" s="22">
        <f t="shared" si="4"/>
        <v>8.286426681721073</v>
      </c>
      <c r="N29" s="22">
        <f t="shared" si="4"/>
        <v>0.86604345852843179</v>
      </c>
      <c r="O29" s="22">
        <f t="shared" si="4"/>
        <v>1.9118265643852599</v>
      </c>
      <c r="P29" s="22">
        <f t="shared" si="4"/>
        <v>0.13975138090968464</v>
      </c>
      <c r="Q29" s="22">
        <f t="shared" si="4"/>
        <v>1.3445189785142631</v>
      </c>
      <c r="R29" s="22">
        <f t="shared" si="4"/>
        <v>4.8113217990015391</v>
      </c>
      <c r="S29" s="22">
        <f t="shared" si="4"/>
        <v>4.225472940811831</v>
      </c>
      <c r="T29" s="22">
        <f t="shared" si="4"/>
        <v>6.407116527745492</v>
      </c>
      <c r="U29" s="22">
        <f t="shared" si="4"/>
        <v>2.5887213717220692</v>
      </c>
      <c r="V29" s="22">
        <f t="shared" si="4"/>
        <v>0.50614906076002608</v>
      </c>
      <c r="W29" s="22">
        <f t="shared" si="4"/>
        <v>4.3060029444647379</v>
      </c>
      <c r="X29" s="22">
        <f t="shared" si="4"/>
        <v>9.8860957061734123</v>
      </c>
      <c r="Y29" s="22">
        <f t="shared" si="4"/>
        <v>0.13933627779807173</v>
      </c>
      <c r="Z29" s="22">
        <f t="shared" si="4"/>
        <v>0</v>
      </c>
      <c r="AA29" s="22">
        <f t="shared" si="4"/>
        <v>100</v>
      </c>
      <c r="AB29" s="23" t="s">
        <v>33</v>
      </c>
      <c r="AC29" s="10">
        <f t="shared" si="5"/>
        <v>100</v>
      </c>
    </row>
    <row r="30" spans="1:29" x14ac:dyDescent="0.2">
      <c r="A30" s="2" t="s">
        <v>26</v>
      </c>
      <c r="B30" s="3" t="s">
        <v>24</v>
      </c>
      <c r="C30" s="13">
        <f t="shared" si="6"/>
        <v>38.028154305645486</v>
      </c>
      <c r="D30" s="13">
        <f t="shared" si="4"/>
        <v>23.49098769815577</v>
      </c>
      <c r="E30" s="9">
        <f t="shared" si="4"/>
        <v>0.88504354727542356</v>
      </c>
      <c r="F30" s="9">
        <f t="shared" si="4"/>
        <v>8.0097746402389358</v>
      </c>
      <c r="G30" s="9">
        <f t="shared" si="4"/>
        <v>0.17230936318636561</v>
      </c>
      <c r="H30" s="9">
        <f t="shared" si="4"/>
        <v>0.36132751310595462</v>
      </c>
      <c r="I30" s="9">
        <f t="shared" si="4"/>
        <v>14.062532634349086</v>
      </c>
      <c r="J30" s="13">
        <f t="shared" si="4"/>
        <v>38.481380145784165</v>
      </c>
      <c r="K30" s="9">
        <f t="shared" si="4"/>
        <v>8.9600868856910125</v>
      </c>
      <c r="L30" s="9">
        <f t="shared" si="4"/>
        <v>4.6857703794983188</v>
      </c>
      <c r="M30" s="9">
        <f t="shared" si="4"/>
        <v>3.4764719396812795</v>
      </c>
      <c r="N30" s="9">
        <f t="shared" si="4"/>
        <v>0.42711836086802141</v>
      </c>
      <c r="O30" s="9">
        <f t="shared" si="4"/>
        <v>0.3425301280310783</v>
      </c>
      <c r="P30" s="9">
        <f t="shared" si="4"/>
        <v>7.8844587397397595E-2</v>
      </c>
      <c r="Q30" s="9">
        <f t="shared" si="4"/>
        <v>0.52789323085277473</v>
      </c>
      <c r="R30" s="9">
        <f t="shared" si="4"/>
        <v>3.2697007038576413</v>
      </c>
      <c r="S30" s="9">
        <f t="shared" si="4"/>
        <v>0.77173708724075274</v>
      </c>
      <c r="T30" s="9">
        <f t="shared" si="4"/>
        <v>0.90384093235029972</v>
      </c>
      <c r="U30" s="9">
        <f t="shared" si="4"/>
        <v>0.51849453831533654</v>
      </c>
      <c r="V30" s="9">
        <f t="shared" si="4"/>
        <v>0.41406462123269072</v>
      </c>
      <c r="W30" s="9">
        <f t="shared" si="4"/>
        <v>3.8931473088410371</v>
      </c>
      <c r="X30" s="9">
        <f t="shared" si="4"/>
        <v>10.105160926502224</v>
      </c>
      <c r="Y30" s="9">
        <f t="shared" si="4"/>
        <v>0.10651851542429874</v>
      </c>
      <c r="Z30" s="9">
        <f t="shared" si="4"/>
        <v>0</v>
      </c>
      <c r="AA30" s="9">
        <f t="shared" si="4"/>
        <v>100</v>
      </c>
      <c r="AC30" s="10">
        <f t="shared" si="5"/>
        <v>100.00052214958542</v>
      </c>
    </row>
    <row r="31" spans="1:29" x14ac:dyDescent="0.2">
      <c r="A31" s="4"/>
      <c r="B31" s="1" t="s">
        <v>25</v>
      </c>
      <c r="C31" s="14">
        <f t="shared" si="6"/>
        <v>8.3452794199533216</v>
      </c>
      <c r="D31" s="14">
        <f t="shared" si="4"/>
        <v>26.413093700759415</v>
      </c>
      <c r="E31" s="10">
        <f t="shared" si="4"/>
        <v>5.3804779224471906</v>
      </c>
      <c r="F31" s="10">
        <f t="shared" si="4"/>
        <v>10.246188112360349</v>
      </c>
      <c r="G31" s="10">
        <f t="shared" si="4"/>
        <v>1.2410108166384306</v>
      </c>
      <c r="H31" s="10">
        <f t="shared" si="4"/>
        <v>1.3115026004952197</v>
      </c>
      <c r="I31" s="10">
        <f t="shared" si="4"/>
        <v>8.2339142488182269</v>
      </c>
      <c r="J31" s="14">
        <f t="shared" si="4"/>
        <v>65.242811615150401</v>
      </c>
      <c r="K31" s="10">
        <f t="shared" si="4"/>
        <v>14.695463646380039</v>
      </c>
      <c r="L31" s="10">
        <f t="shared" si="4"/>
        <v>7.4022296728944283</v>
      </c>
      <c r="M31" s="10">
        <f t="shared" si="4"/>
        <v>4.6127690831329158</v>
      </c>
      <c r="N31" s="10">
        <f t="shared" si="4"/>
        <v>2.3208975558899141</v>
      </c>
      <c r="O31" s="10">
        <f t="shared" si="4"/>
        <v>2.4470719253142512</v>
      </c>
      <c r="P31" s="10">
        <f t="shared" si="4"/>
        <v>0.11432701079294372</v>
      </c>
      <c r="Q31" s="10">
        <f t="shared" si="4"/>
        <v>2.2847631120641654</v>
      </c>
      <c r="R31" s="10">
        <f t="shared" si="4"/>
        <v>7.443695428104304</v>
      </c>
      <c r="S31" s="10">
        <f t="shared" si="4"/>
        <v>9.971329392112029</v>
      </c>
      <c r="T31" s="10">
        <f t="shared" si="4"/>
        <v>7.0776120463942567</v>
      </c>
      <c r="U31" s="10">
        <f t="shared" si="4"/>
        <v>2.4843911050031395</v>
      </c>
      <c r="V31" s="10">
        <f t="shared" si="4"/>
        <v>0.54379376118094469</v>
      </c>
      <c r="W31" s="10">
        <f t="shared" si="4"/>
        <v>2.6265594085798574</v>
      </c>
      <c r="X31" s="10">
        <f t="shared" si="4"/>
        <v>0.98451550226876916</v>
      </c>
      <c r="Y31" s="10">
        <f t="shared" si="4"/>
        <v>0.23339296503844467</v>
      </c>
      <c r="Z31" s="10">
        <f t="shared" si="4"/>
        <v>0</v>
      </c>
      <c r="AA31" s="10">
        <f t="shared" si="4"/>
        <v>100</v>
      </c>
      <c r="AC31" s="10">
        <f t="shared" si="5"/>
        <v>100.00118473586313</v>
      </c>
    </row>
    <row r="32" spans="1:29" x14ac:dyDescent="0.2">
      <c r="A32" s="5"/>
      <c r="B32" s="20" t="s">
        <v>0</v>
      </c>
      <c r="C32" s="21">
        <f t="shared" si="6"/>
        <v>24.121777259734131</v>
      </c>
      <c r="D32" s="21">
        <f t="shared" si="4"/>
        <v>24.85998945411151</v>
      </c>
      <c r="E32" s="22">
        <f t="shared" si="4"/>
        <v>2.9911470041350983</v>
      </c>
      <c r="F32" s="22">
        <f t="shared" si="4"/>
        <v>9.0575305969527946</v>
      </c>
      <c r="G32" s="22">
        <f t="shared" si="4"/>
        <v>0.6729941997613299</v>
      </c>
      <c r="H32" s="22">
        <f t="shared" si="4"/>
        <v>0.80648294618821637</v>
      </c>
      <c r="I32" s="22">
        <f t="shared" si="4"/>
        <v>11.331834707074071</v>
      </c>
      <c r="J32" s="21">
        <f t="shared" si="4"/>
        <v>51.017678239391671</v>
      </c>
      <c r="K32" s="22">
        <f t="shared" si="4"/>
        <v>11.647101268281853</v>
      </c>
      <c r="L32" s="22">
        <f t="shared" si="4"/>
        <v>5.9581494740931928</v>
      </c>
      <c r="M32" s="22">
        <f t="shared" si="4"/>
        <v>4.0088252435267675</v>
      </c>
      <c r="N32" s="22">
        <f t="shared" si="4"/>
        <v>1.3143507340493437</v>
      </c>
      <c r="O32" s="22">
        <f t="shared" si="4"/>
        <v>1.3285044264979324</v>
      </c>
      <c r="P32" s="22">
        <f t="shared" si="4"/>
        <v>9.5468043182638129E-2</v>
      </c>
      <c r="Q32" s="22">
        <f t="shared" si="4"/>
        <v>1.3509838203868676</v>
      </c>
      <c r="R32" s="22">
        <f t="shared" si="4"/>
        <v>5.2249327005800241</v>
      </c>
      <c r="S32" s="22">
        <f t="shared" si="4"/>
        <v>5.0817306358060668</v>
      </c>
      <c r="T32" s="22">
        <f t="shared" si="4"/>
        <v>3.7959648100352452</v>
      </c>
      <c r="U32" s="22">
        <f t="shared" si="4"/>
        <v>1.4395137790358838</v>
      </c>
      <c r="V32" s="22">
        <f t="shared" si="4"/>
        <v>0.47456498209974185</v>
      </c>
      <c r="W32" s="22">
        <f t="shared" si="4"/>
        <v>3.2994754808092579</v>
      </c>
      <c r="X32" s="22">
        <f t="shared" si="4"/>
        <v>5.8321538589626174</v>
      </c>
      <c r="Y32" s="22">
        <f t="shared" si="4"/>
        <v>0.16595898204423723</v>
      </c>
      <c r="Z32" s="22">
        <f t="shared" si="4"/>
        <v>0</v>
      </c>
      <c r="AA32" s="22">
        <f t="shared" si="4"/>
        <v>100</v>
      </c>
      <c r="AB32" s="23" t="s">
        <v>33</v>
      </c>
      <c r="AC32" s="10">
        <f t="shared" si="5"/>
        <v>99.999444953237315</v>
      </c>
    </row>
    <row r="33" spans="1:29" x14ac:dyDescent="0.2">
      <c r="A33" s="4" t="s">
        <v>27</v>
      </c>
      <c r="B33" s="1" t="s">
        <v>24</v>
      </c>
      <c r="C33" s="14">
        <f t="shared" si="6"/>
        <v>31.867206967804169</v>
      </c>
      <c r="D33" s="14">
        <f t="shared" si="4"/>
        <v>6.1715377304515169</v>
      </c>
      <c r="E33" s="10">
        <f t="shared" si="4"/>
        <v>0.30640181193170268</v>
      </c>
      <c r="F33" s="10">
        <f t="shared" si="4"/>
        <v>5.0939301233645571</v>
      </c>
      <c r="G33" s="10">
        <f t="shared" si="4"/>
        <v>4.0664438003281525E-2</v>
      </c>
      <c r="H33" s="10">
        <f t="shared" si="4"/>
        <v>0.21230619376131865</v>
      </c>
      <c r="I33" s="10">
        <f t="shared" si="4"/>
        <v>0.51823516339065756</v>
      </c>
      <c r="J33" s="14">
        <f t="shared" si="4"/>
        <v>61.962200986349046</v>
      </c>
      <c r="K33" s="10">
        <f t="shared" si="4"/>
        <v>13.595161877562214</v>
      </c>
      <c r="L33" s="10">
        <f t="shared" si="4"/>
        <v>6.4306553121468463E-2</v>
      </c>
      <c r="M33" s="10">
        <f t="shared" si="4"/>
        <v>13.785717325414801</v>
      </c>
      <c r="N33" s="10">
        <f t="shared" si="4"/>
        <v>5.7686760888376112E-2</v>
      </c>
      <c r="O33" s="10">
        <f t="shared" si="4"/>
        <v>0.27519421997569593</v>
      </c>
      <c r="P33" s="10">
        <f t="shared" si="4"/>
        <v>0.19528387087622406</v>
      </c>
      <c r="Q33" s="10">
        <f t="shared" si="4"/>
        <v>0.33524519237589073</v>
      </c>
      <c r="R33" s="10">
        <f t="shared" si="4"/>
        <v>2.529706317646002</v>
      </c>
      <c r="S33" s="10">
        <f t="shared" si="4"/>
        <v>1.0071541040347634</v>
      </c>
      <c r="T33" s="10">
        <f t="shared" si="4"/>
        <v>2.157106583383376</v>
      </c>
      <c r="U33" s="10">
        <f t="shared" si="4"/>
        <v>1.288022431638824</v>
      </c>
      <c r="V33" s="10">
        <f t="shared" si="4"/>
        <v>0.53904022469466206</v>
      </c>
      <c r="W33" s="10">
        <f t="shared" si="4"/>
        <v>6.4084317239357507</v>
      </c>
      <c r="X33" s="10">
        <f t="shared" si="4"/>
        <v>19.649907559329886</v>
      </c>
      <c r="Y33" s="10">
        <f t="shared" si="4"/>
        <v>7.4236241471106967E-2</v>
      </c>
      <c r="Z33" s="10">
        <f t="shared" si="4"/>
        <v>0</v>
      </c>
      <c r="AA33" s="10">
        <f t="shared" si="4"/>
        <v>100</v>
      </c>
      <c r="AC33" s="10">
        <f t="shared" si="5"/>
        <v>100.00094568460473</v>
      </c>
    </row>
    <row r="34" spans="1:29" x14ac:dyDescent="0.2">
      <c r="A34" s="4"/>
      <c r="B34" s="1" t="s">
        <v>25</v>
      </c>
      <c r="C34" s="14">
        <f t="shared" si="6"/>
        <v>5.9326021405613174</v>
      </c>
      <c r="D34" s="14">
        <f t="shared" si="4"/>
        <v>9.6742768150038092</v>
      </c>
      <c r="E34" s="10">
        <f t="shared" si="4"/>
        <v>1.0769077835581033</v>
      </c>
      <c r="F34" s="10">
        <f t="shared" si="4"/>
        <v>5.7132443089565585</v>
      </c>
      <c r="G34" s="10">
        <f t="shared" si="4"/>
        <v>0.6859074190662382</v>
      </c>
      <c r="H34" s="10">
        <f t="shared" si="4"/>
        <v>0.70446336856754699</v>
      </c>
      <c r="I34" s="10">
        <f t="shared" si="4"/>
        <v>1.493753934855363</v>
      </c>
      <c r="J34" s="14">
        <f t="shared" si="4"/>
        <v>84.393121044434878</v>
      </c>
      <c r="K34" s="10">
        <f t="shared" si="4"/>
        <v>12.901023890784982</v>
      </c>
      <c r="L34" s="10">
        <f t="shared" si="4"/>
        <v>1.4447132111733323</v>
      </c>
      <c r="M34" s="10">
        <f t="shared" si="4"/>
        <v>10.793598197422048</v>
      </c>
      <c r="N34" s="10">
        <f t="shared" si="4"/>
        <v>0.92846018754763249</v>
      </c>
      <c r="O34" s="10">
        <f t="shared" si="4"/>
        <v>5.5985950495377583</v>
      </c>
      <c r="P34" s="10">
        <f t="shared" si="4"/>
        <v>0.16832897047615894</v>
      </c>
      <c r="Q34" s="10">
        <f t="shared" si="4"/>
        <v>2.7429669637827629</v>
      </c>
      <c r="R34" s="10">
        <f t="shared" si="4"/>
        <v>7.0214387487988335</v>
      </c>
      <c r="S34" s="10">
        <f t="shared" si="4"/>
        <v>6.6914079326684108</v>
      </c>
      <c r="T34" s="10">
        <f t="shared" si="4"/>
        <v>18.599025812651181</v>
      </c>
      <c r="U34" s="10">
        <f t="shared" si="4"/>
        <v>7.1559693826833231</v>
      </c>
      <c r="V34" s="10">
        <f t="shared" si="4"/>
        <v>0.53480897312700881</v>
      </c>
      <c r="W34" s="10">
        <f t="shared" si="4"/>
        <v>3.7635441863547503</v>
      </c>
      <c r="X34" s="10">
        <f t="shared" si="4"/>
        <v>5.8828987043970971</v>
      </c>
      <c r="Y34" s="10">
        <f t="shared" si="4"/>
        <v>0.16634083302959013</v>
      </c>
      <c r="Z34" s="10">
        <f t="shared" si="4"/>
        <v>0</v>
      </c>
      <c r="AA34" s="10">
        <f t="shared" si="4"/>
        <v>100</v>
      </c>
      <c r="AC34" s="10">
        <f t="shared" si="5"/>
        <v>100</v>
      </c>
    </row>
    <row r="35" spans="1:29" s="23" customFormat="1" x14ac:dyDescent="0.2">
      <c r="A35" s="24"/>
      <c r="B35" s="20" t="s">
        <v>0</v>
      </c>
      <c r="C35" s="21">
        <f t="shared" si="6"/>
        <v>21.068041271251687</v>
      </c>
      <c r="D35" s="21">
        <f t="shared" si="4"/>
        <v>7.6297729198113604</v>
      </c>
      <c r="E35" s="22">
        <f t="shared" si="4"/>
        <v>0.62696097775005999</v>
      </c>
      <c r="F35" s="22">
        <f t="shared" si="4"/>
        <v>5.3517963039105032</v>
      </c>
      <c r="G35" s="22">
        <f t="shared" si="4"/>
        <v>0.30934122185643365</v>
      </c>
      <c r="H35" s="22">
        <f t="shared" si="4"/>
        <v>0.41723811547451178</v>
      </c>
      <c r="I35" s="22">
        <f t="shared" si="4"/>
        <v>0.92443630081985084</v>
      </c>
      <c r="J35" s="21">
        <f t="shared" si="4"/>
        <v>71.302185808936954</v>
      </c>
      <c r="K35" s="22">
        <f t="shared" si="4"/>
        <v>13.306363709114391</v>
      </c>
      <c r="L35" s="22">
        <f t="shared" si="4"/>
        <v>0.63910282767127591</v>
      </c>
      <c r="M35" s="22">
        <f t="shared" si="4"/>
        <v>12.539771457270346</v>
      </c>
      <c r="N35" s="22">
        <f t="shared" si="4"/>
        <v>0.42027357795481579</v>
      </c>
      <c r="O35" s="22">
        <f t="shared" si="4"/>
        <v>2.4921146963295739</v>
      </c>
      <c r="P35" s="22">
        <f t="shared" si="4"/>
        <v>0.1837834556256778</v>
      </c>
      <c r="Q35" s="22">
        <f t="shared" si="4"/>
        <v>1.3380870515449124</v>
      </c>
      <c r="R35" s="22">
        <f t="shared" si="4"/>
        <v>4.3997648896333441</v>
      </c>
      <c r="S35" s="22">
        <f t="shared" si="4"/>
        <v>3.3743304735597417</v>
      </c>
      <c r="T35" s="22">
        <f t="shared" si="4"/>
        <v>9.0031817165816275</v>
      </c>
      <c r="U35" s="22">
        <f t="shared" si="4"/>
        <v>3.7314112416973204</v>
      </c>
      <c r="V35" s="22">
        <f t="shared" si="4"/>
        <v>0.53727685901380584</v>
      </c>
      <c r="W35" s="22">
        <f t="shared" si="4"/>
        <v>5.3068162689750897</v>
      </c>
      <c r="X35" s="22">
        <f t="shared" si="4"/>
        <v>13.917319521059209</v>
      </c>
      <c r="Y35" s="22">
        <f t="shared" si="4"/>
        <v>0.11258806290582064</v>
      </c>
      <c r="Z35" s="22">
        <f t="shared" si="4"/>
        <v>0</v>
      </c>
      <c r="AA35" s="22">
        <f t="shared" si="4"/>
        <v>100</v>
      </c>
      <c r="AB35" s="23" t="s">
        <v>33</v>
      </c>
      <c r="AC35" s="10">
        <f t="shared" si="5"/>
        <v>100</v>
      </c>
    </row>
    <row r="38" spans="1:29" x14ac:dyDescent="0.2">
      <c r="A38" s="11" t="s">
        <v>46</v>
      </c>
    </row>
    <row r="67" spans="3:7" x14ac:dyDescent="0.2">
      <c r="C67" s="10"/>
      <c r="D67" s="10"/>
      <c r="E67" s="10"/>
      <c r="F67" s="10"/>
      <c r="G67" s="10"/>
    </row>
    <row r="68" spans="3:7" x14ac:dyDescent="0.2">
      <c r="C68" s="10"/>
      <c r="D68" s="10"/>
      <c r="E68" s="10"/>
      <c r="F68" s="10"/>
      <c r="G68" s="10"/>
    </row>
    <row r="69" spans="3:7" x14ac:dyDescent="0.2">
      <c r="C69" s="10"/>
      <c r="D69" s="10"/>
      <c r="E69" s="10"/>
      <c r="F69" s="10"/>
      <c r="G69" s="10"/>
    </row>
    <row r="70" spans="3:7" x14ac:dyDescent="0.2">
      <c r="C70" s="10"/>
      <c r="D70" s="10"/>
      <c r="E70" s="10"/>
      <c r="F70" s="10"/>
      <c r="G70" s="10"/>
    </row>
    <row r="71" spans="3:7" x14ac:dyDescent="0.2">
      <c r="C71" s="10"/>
      <c r="D71" s="10"/>
      <c r="E71" s="10"/>
      <c r="F71" s="10"/>
      <c r="G71" s="10"/>
    </row>
    <row r="72" spans="3:7" x14ac:dyDescent="0.2">
      <c r="C72" s="10"/>
      <c r="D72" s="10"/>
      <c r="E72" s="10"/>
      <c r="F72" s="10"/>
      <c r="G72" s="10"/>
    </row>
  </sheetData>
  <mergeCells count="8">
    <mergeCell ref="J11:J12"/>
    <mergeCell ref="D25:D26"/>
    <mergeCell ref="J25:J26"/>
    <mergeCell ref="A1:B1"/>
    <mergeCell ref="B6:H6"/>
    <mergeCell ref="A9:I9"/>
    <mergeCell ref="A23:I23"/>
    <mergeCell ref="D11:D12"/>
  </mergeCells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A.2.7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Bonnet</dc:creator>
  <cp:lastModifiedBy>Gammarano, Rosina</cp:lastModifiedBy>
  <cp:lastPrinted>2023-04-23T18:20:24Z</cp:lastPrinted>
  <dcterms:created xsi:type="dcterms:W3CDTF">2022-05-26T05:13:18Z</dcterms:created>
  <dcterms:modified xsi:type="dcterms:W3CDTF">2023-10-06T10:01:46Z</dcterms:modified>
</cp:coreProperties>
</file>
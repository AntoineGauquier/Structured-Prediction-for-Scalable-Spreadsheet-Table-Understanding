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NFORMALITY TOOL\TabulationVisualization template\"/>
    </mc:Choice>
  </mc:AlternateContent>
  <xr:revisionPtr revIDLastSave="0" documentId="8_{FB7A016A-74B3-47D2-822C-B8CFD00242CD}" xr6:coauthVersionLast="47" xr6:coauthVersionMax="47" xr10:uidLastSave="{00000000-0000-0000-0000-000000000000}"/>
  <bookViews>
    <workbookView xWindow="-120" yWindow="-120" windowWidth="29040" windowHeight="17640" xr2:uid="{02CBB43C-CE13-4799-851C-0A42C072CED8}"/>
  </bookViews>
  <sheets>
    <sheet name="A.2.8" sheetId="32" r:id="rId1"/>
  </sheets>
  <definedNames>
    <definedName name="_Hlk96438137" localSheetId="0">'A.2.8'!#REF!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32" l="1"/>
  <c r="H33" i="32"/>
  <c r="G46" i="32" s="1"/>
  <c r="F33" i="32"/>
  <c r="N32" i="32"/>
  <c r="F32" i="32"/>
  <c r="N31" i="32"/>
  <c r="F31" i="32"/>
  <c r="N30" i="32"/>
  <c r="F30" i="32"/>
  <c r="N29" i="32"/>
  <c r="F29" i="32"/>
  <c r="N28" i="32"/>
  <c r="L28" i="32"/>
  <c r="F28" i="32"/>
  <c r="N27" i="32"/>
  <c r="F27" i="32"/>
  <c r="N26" i="32"/>
  <c r="F26" i="32"/>
  <c r="N25" i="32"/>
  <c r="F25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I25" i="32" l="1"/>
  <c r="E38" i="32" s="1"/>
  <c r="I27" i="32"/>
  <c r="E40" i="32" s="1"/>
  <c r="I29" i="32"/>
  <c r="E42" i="32" s="1"/>
  <c r="I31" i="32"/>
  <c r="E44" i="32" s="1"/>
  <c r="I33" i="32"/>
  <c r="E46" i="32" s="1"/>
  <c r="H27" i="32"/>
  <c r="G40" i="32" s="1"/>
  <c r="J27" i="32"/>
  <c r="F40" i="32" s="1"/>
  <c r="J31" i="32"/>
  <c r="F44" i="32" s="1"/>
  <c r="H25" i="32"/>
  <c r="G38" i="32" s="1"/>
  <c r="H31" i="32"/>
  <c r="G44" i="32" s="1"/>
  <c r="C25" i="32"/>
  <c r="K25" i="32"/>
  <c r="H38" i="32" s="1"/>
  <c r="G26" i="32"/>
  <c r="C27" i="32"/>
  <c r="K27" i="32"/>
  <c r="H40" i="32" s="1"/>
  <c r="G28" i="32"/>
  <c r="D41" i="32" s="1"/>
  <c r="C29" i="32"/>
  <c r="K29" i="32"/>
  <c r="H42" i="32" s="1"/>
  <c r="G30" i="32"/>
  <c r="C31" i="32"/>
  <c r="K31" i="32"/>
  <c r="H44" i="32" s="1"/>
  <c r="G32" i="32"/>
  <c r="D45" i="32" s="1"/>
  <c r="C33" i="32"/>
  <c r="K33" i="32"/>
  <c r="H46" i="32" s="1"/>
  <c r="D25" i="32"/>
  <c r="L25" i="32"/>
  <c r="D27" i="32"/>
  <c r="L27" i="32"/>
  <c r="I40" i="32" s="1"/>
  <c r="D29" i="32"/>
  <c r="L29" i="32"/>
  <c r="D31" i="32"/>
  <c r="L31" i="32"/>
  <c r="D33" i="32"/>
  <c r="L33" i="32"/>
  <c r="E25" i="32"/>
  <c r="M25" i="32"/>
  <c r="I38" i="32" s="1"/>
  <c r="I26" i="32"/>
  <c r="E39" i="32" s="1"/>
  <c r="E27" i="32"/>
  <c r="M27" i="32"/>
  <c r="I28" i="32"/>
  <c r="E41" i="32" s="1"/>
  <c r="E29" i="32"/>
  <c r="M29" i="32"/>
  <c r="I30" i="32"/>
  <c r="E43" i="32" s="1"/>
  <c r="E31" i="32"/>
  <c r="M31" i="32"/>
  <c r="I44" i="32" s="1"/>
  <c r="I32" i="32"/>
  <c r="E45" i="32" s="1"/>
  <c r="E33" i="32"/>
  <c r="M33" i="32"/>
  <c r="I46" i="32" s="1"/>
  <c r="J26" i="32"/>
  <c r="F39" i="32" s="1"/>
  <c r="J28" i="32"/>
  <c r="F41" i="32" s="1"/>
  <c r="J30" i="32"/>
  <c r="F43" i="32" s="1"/>
  <c r="J32" i="32"/>
  <c r="F45" i="32" s="1"/>
  <c r="G27" i="32"/>
  <c r="D40" i="32" s="1"/>
  <c r="D26" i="32"/>
  <c r="L26" i="32"/>
  <c r="D28" i="32"/>
  <c r="D30" i="32"/>
  <c r="L30" i="32"/>
  <c r="D32" i="32"/>
  <c r="L32" i="32"/>
  <c r="D39" i="32"/>
  <c r="J25" i="32"/>
  <c r="F38" i="32" s="1"/>
  <c r="J29" i="32"/>
  <c r="F42" i="32" s="1"/>
  <c r="D43" i="32"/>
  <c r="J33" i="32"/>
  <c r="F46" i="32" s="1"/>
  <c r="G25" i="32"/>
  <c r="D38" i="32" s="1"/>
  <c r="G29" i="32"/>
  <c r="D42" i="32" s="1"/>
  <c r="G31" i="32"/>
  <c r="D44" i="32" s="1"/>
  <c r="G33" i="32"/>
  <c r="D46" i="32" s="1"/>
  <c r="H29" i="32"/>
  <c r="G42" i="32" s="1"/>
  <c r="C38" i="32"/>
  <c r="C46" i="32"/>
  <c r="H26" i="32"/>
  <c r="G39" i="32" s="1"/>
  <c r="H28" i="32"/>
  <c r="G41" i="32" s="1"/>
  <c r="I42" i="32"/>
  <c r="H30" i="32"/>
  <c r="G43" i="32" s="1"/>
  <c r="H32" i="32"/>
  <c r="G45" i="32" s="1"/>
  <c r="C26" i="32"/>
  <c r="K26" i="32"/>
  <c r="H39" i="32" s="1"/>
  <c r="C28" i="32"/>
  <c r="K28" i="32"/>
  <c r="H41" i="32" s="1"/>
  <c r="C30" i="32"/>
  <c r="K30" i="32"/>
  <c r="H43" i="32" s="1"/>
  <c r="C32" i="32"/>
  <c r="K32" i="32"/>
  <c r="H45" i="32" s="1"/>
  <c r="E26" i="32"/>
  <c r="M26" i="32"/>
  <c r="I39" i="32" s="1"/>
  <c r="E28" i="32"/>
  <c r="M28" i="32"/>
  <c r="I41" i="32" s="1"/>
  <c r="E30" i="32"/>
  <c r="M30" i="32"/>
  <c r="I43" i="32" s="1"/>
  <c r="E32" i="32"/>
  <c r="M32" i="32"/>
  <c r="C42" i="32" l="1"/>
  <c r="C44" i="32"/>
  <c r="C40" i="32"/>
  <c r="J40" i="32" s="1"/>
  <c r="I45" i="32"/>
  <c r="C45" i="32"/>
  <c r="J38" i="32"/>
  <c r="C43" i="32"/>
  <c r="J43" i="32" s="1"/>
  <c r="J46" i="32"/>
  <c r="J42" i="32"/>
  <c r="C41" i="32"/>
  <c r="J41" i="32" s="1"/>
  <c r="C39" i="32"/>
  <c r="J39" i="32" s="1"/>
  <c r="J44" i="32"/>
  <c r="J45" i="32" l="1"/>
</calcChain>
</file>

<file path=xl/sharedStrings.xml><?xml version="1.0" encoding="utf-8"?>
<sst xmlns="http://schemas.openxmlformats.org/spreadsheetml/2006/main" count="74" uniqueCount="40">
  <si>
    <t>Total</t>
  </si>
  <si>
    <t>Other</t>
  </si>
  <si>
    <t>2 - Professionals</t>
  </si>
  <si>
    <t>7 - Craft and related trades workers</t>
  </si>
  <si>
    <t>9 - Elementary occupations</t>
  </si>
  <si>
    <t>Informal employment</t>
  </si>
  <si>
    <t>Formal employment</t>
  </si>
  <si>
    <t>Men</t>
  </si>
  <si>
    <t>Women</t>
  </si>
  <si>
    <t>Occupations</t>
  </si>
  <si>
    <t>Country</t>
  </si>
  <si>
    <t>Source</t>
  </si>
  <si>
    <t>Year</t>
  </si>
  <si>
    <t>Headcounts</t>
  </si>
  <si>
    <t>Craft and related trades workers</t>
  </si>
  <si>
    <t>Plant and machine operators, and assemblers</t>
  </si>
  <si>
    <t>Skilled agricultural, forestry and fishery workers</t>
  </si>
  <si>
    <t>Elementary occupations</t>
  </si>
  <si>
    <t>Managers, Professionals and technicians</t>
  </si>
  <si>
    <t>Clerical, service and sales workers</t>
  </si>
  <si>
    <t>3 - Technicians and associate professionals</t>
  </si>
  <si>
    <t>Namibia</t>
  </si>
  <si>
    <t>1 - Legislators, senior officials and managers</t>
  </si>
  <si>
    <t>4 - Clerks</t>
  </si>
  <si>
    <t>5 - Service workers and shop and market sales workers</t>
  </si>
  <si>
    <t>6 - Skilled agricultural and fishery workers</t>
  </si>
  <si>
    <t>8 - Plant and machine operators and assemblers</t>
  </si>
  <si>
    <t>0 - Armed forces</t>
  </si>
  <si>
    <t>11 - Not elsewhere classified</t>
  </si>
  <si>
    <t>NLFS</t>
  </si>
  <si>
    <t>Dimension</t>
  </si>
  <si>
    <t>Indicator</t>
  </si>
  <si>
    <r>
      <t xml:space="preserve">HEADLINE INDICATORS </t>
    </r>
    <r>
      <rPr>
        <i/>
        <sz val="11"/>
        <color theme="0"/>
        <rFont val="Calibri"/>
        <family val="2"/>
        <scheme val="minor"/>
      </rPr>
      <t>(para 128c)</t>
    </r>
  </si>
  <si>
    <t>II - Composition of informal and formal employment by employment related characteristics</t>
  </si>
  <si>
    <t>Para 128 c)</t>
  </si>
  <si>
    <t>A_2_8 - Number and distribution of persons with an informal or formal main job by occupation and sex</t>
  </si>
  <si>
    <r>
      <rPr>
        <b/>
        <sz val="12"/>
        <rFont val="Calibri"/>
        <family val="2"/>
        <scheme val="minor"/>
      </rPr>
      <t>Table A_2_8a.</t>
    </r>
    <r>
      <rPr>
        <sz val="12"/>
        <rFont val="Calibri"/>
        <family val="2"/>
        <scheme val="minor"/>
      </rPr>
      <t xml:space="preserve"> Number of persons with an informal or formal main job by occupation</t>
    </r>
    <r>
      <rPr>
        <b/>
        <sz val="12"/>
        <rFont val="Calibri"/>
        <family val="2"/>
        <scheme val="minor"/>
      </rPr>
      <t xml:space="preserve"> and sex</t>
    </r>
    <r>
      <rPr>
        <sz val="12"/>
        <rFont val="Calibri"/>
        <family val="2"/>
        <scheme val="minor"/>
      </rPr>
      <t xml:space="preserve"> (128c)</t>
    </r>
  </si>
  <si>
    <r>
      <rPr>
        <b/>
        <sz val="12"/>
        <rFont val="Calibri"/>
        <family val="2"/>
        <scheme val="minor"/>
      </rPr>
      <t>Table A_2_8b (detailed).</t>
    </r>
    <r>
      <rPr>
        <sz val="12"/>
        <rFont val="Calibri"/>
        <family val="2"/>
        <scheme val="minor"/>
      </rPr>
      <t xml:space="preserve"> Distribution of persons with an informal or formal main job by occupation</t>
    </r>
    <r>
      <rPr>
        <b/>
        <sz val="12"/>
        <rFont val="Calibri"/>
        <family val="2"/>
        <scheme val="minor"/>
      </rPr>
      <t xml:space="preserve"> and sex</t>
    </r>
    <r>
      <rPr>
        <sz val="12"/>
        <rFont val="Calibri"/>
        <family val="2"/>
        <scheme val="minor"/>
      </rPr>
      <t xml:space="preserve"> (128c)</t>
    </r>
  </si>
  <si>
    <r>
      <rPr>
        <b/>
        <sz val="12"/>
        <rFont val="Calibri"/>
        <family val="2"/>
        <scheme val="minor"/>
      </rPr>
      <t>Table A_2_8b (aggregate).</t>
    </r>
    <r>
      <rPr>
        <sz val="12"/>
        <rFont val="Calibri"/>
        <family val="2"/>
        <scheme val="minor"/>
      </rPr>
      <t xml:space="preserve"> Distribution of persons with an informal or formal main job by occupation</t>
    </r>
    <r>
      <rPr>
        <b/>
        <sz val="12"/>
        <rFont val="Calibri"/>
        <family val="2"/>
        <scheme val="minor"/>
      </rPr>
      <t xml:space="preserve"> and sex</t>
    </r>
    <r>
      <rPr>
        <sz val="12"/>
        <rFont val="Calibri"/>
        <family val="2"/>
        <scheme val="minor"/>
      </rPr>
      <t xml:space="preserve"> (128c)</t>
    </r>
  </si>
  <si>
    <t>Figure A_2_8b. Distribution of persons with an informal or formal main job by occupation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</si>
</sst>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164" fontId="2" fillId="2" borderId="2" xfId="0" applyNumberFormat="1" applyFont="1" applyFill="1" applyBorder="1"/>
    <xf numFmtId="164" fontId="2" fillId="2" borderId="0" xfId="0" applyNumberFormat="1" applyFont="1" applyFill="1"/>
    <xf numFmtId="164" fontId="2" fillId="2" borderId="3" xfId="0" applyNumberFormat="1" applyFont="1" applyFill="1" applyBorder="1"/>
    <xf numFmtId="164" fontId="2" fillId="2" borderId="5" xfId="0" applyNumberFormat="1" applyFont="1" applyFill="1" applyBorder="1"/>
    <xf numFmtId="164" fontId="2" fillId="2" borderId="7" xfId="0" applyNumberFormat="1" applyFont="1" applyFill="1" applyBorder="1"/>
    <xf numFmtId="164" fontId="2" fillId="2" borderId="8" xfId="0" applyNumberFormat="1" applyFont="1" applyFill="1" applyBorder="1"/>
    <xf numFmtId="0" fontId="3" fillId="2" borderId="0" xfId="0" applyFont="1" applyFill="1"/>
    <xf numFmtId="0" fontId="2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left"/>
    </xf>
    <xf numFmtId="0" fontId="2" fillId="2" borderId="5" xfId="0" applyFont="1" applyFill="1" applyBorder="1" applyAlignment="1">
      <alignment horizontal="right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/>
    <xf numFmtId="0" fontId="0" fillId="2" borderId="0" xfId="0" applyFont="1" applyFill="1" applyAlignment="1"/>
    <xf numFmtId="0" fontId="12" fillId="2" borderId="5" xfId="0" applyFont="1" applyFill="1" applyBorder="1"/>
    <xf numFmtId="0" fontId="1" fillId="2" borderId="5" xfId="0" applyFont="1" applyFill="1" applyBorder="1" applyAlignment="1"/>
    <xf numFmtId="0" fontId="1" fillId="2" borderId="0" xfId="0" applyFont="1" applyFill="1" applyBorder="1" applyAlignment="1"/>
    <xf numFmtId="0" fontId="7" fillId="2" borderId="9" xfId="0" applyFont="1" applyFill="1" applyBorder="1"/>
    <xf numFmtId="0" fontId="0" fillId="2" borderId="0" xfId="0" applyFill="1" applyAlignment="1"/>
    <xf numFmtId="0" fontId="12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2" borderId="5" xfId="0" applyFont="1" applyFill="1" applyBorder="1" applyAlignment="1">
      <alignment wrapText="1"/>
    </xf>
    <xf numFmtId="0" fontId="10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8" fillId="3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D0CB"/>
      <color rgb="FF03615F"/>
      <color rgb="FF05ABA7"/>
      <color rgb="FF3D6BBD"/>
      <color rgb="FF05A39F"/>
      <color rgb="FF80C000"/>
      <color rgb="FF037774"/>
      <color rgb="FFC59EE2"/>
      <color rgb="FFB17ED8"/>
      <color rgb="FF06CC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9536213208005"/>
          <c:y val="3.233994484866607E-3"/>
          <c:w val="0.7943053843509178"/>
          <c:h val="0.7390763943190702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'A.2.8'!$C$37</c:f>
              <c:strCache>
                <c:ptCount val="1"/>
                <c:pt idx="0">
                  <c:v>Managers, Professionals and technicians</c:v>
                </c:pt>
              </c:strCache>
            </c:strRef>
          </c:tx>
          <c:spPr>
            <a:solidFill>
              <a:srgbClr val="036967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1.0196877341051054E-2"/>
                  <c:y val="-4.208705589428097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4A-434A-A2F9-C2C0576BEF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('A.2.8'!$A$38:$B$39,'A.2.8'!$A$41:$B$42,'A.2.8'!$A$44:$B$45)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('A.2.8'!$C$38:$C$39,'A.2.8'!$C$41:$C$42,'A.2.8'!$C$44:$C$45)</c:f>
              <c:numCache>
                <c:formatCode>0.0</c:formatCode>
                <c:ptCount val="6"/>
                <c:pt idx="0">
                  <c:v>5.48034262687219</c:v>
                </c:pt>
                <c:pt idx="1">
                  <c:v>33.954627489373152</c:v>
                </c:pt>
                <c:pt idx="2">
                  <c:v>5.9425844315879619</c:v>
                </c:pt>
                <c:pt idx="3">
                  <c:v>29.967893658108924</c:v>
                </c:pt>
                <c:pt idx="4">
                  <c:v>5.06272253140855</c:v>
                </c:pt>
                <c:pt idx="5">
                  <c:v>38.414129030120279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4A-434A-A2F9-C2C0576BEFC7}"/>
            </c:ext>
          </c:extLst>
        </c:ser>
        <c:ser>
          <c:idx val="1"/>
          <c:order val="1"/>
          <c:tx>
            <c:strRef>
              <c:f>'A.2.8'!$D$37</c:f>
              <c:strCache>
                <c:ptCount val="1"/>
                <c:pt idx="0">
                  <c:v>Clerical, service and sales workers</c:v>
                </c:pt>
              </c:strCache>
            </c:strRef>
          </c:tx>
          <c:spPr>
            <a:solidFill>
              <a:srgbClr val="05A7A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('A.2.8'!$A$38:$B$39,'A.2.8'!$A$41:$B$42,'A.2.8'!$A$44:$B$45)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('A.2.8'!$D$38:$D$39,'A.2.8'!$D$41:$D$42,'A.2.8'!$D$44:$D$45)</c:f>
              <c:numCache>
                <c:formatCode>0.0</c:formatCode>
                <c:ptCount val="6"/>
                <c:pt idx="0">
                  <c:v>15.467340274538218</c:v>
                </c:pt>
                <c:pt idx="1">
                  <c:v>23.329652903108766</c:v>
                </c:pt>
                <c:pt idx="2">
                  <c:v>8.6514964807117956</c:v>
                </c:pt>
                <c:pt idx="3">
                  <c:v>17.993175921428318</c:v>
                </c:pt>
                <c:pt idx="4">
                  <c:v>21.640100809978865</c:v>
                </c:pt>
                <c:pt idx="5">
                  <c:v>29.300506975048876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4A-434A-A2F9-C2C0576BEFC7}"/>
            </c:ext>
          </c:extLst>
        </c:ser>
        <c:ser>
          <c:idx val="2"/>
          <c:order val="2"/>
          <c:tx>
            <c:strRef>
              <c:f>'A.2.8'!$E$37</c:f>
              <c:strCache>
                <c:ptCount val="1"/>
                <c:pt idx="0">
                  <c:v>Craft and related trades workers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('A.2.8'!$A$38:$B$39,'A.2.8'!$A$41:$B$42,'A.2.8'!$A$44:$B$45)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('A.2.8'!$E$38:$E$39,'A.2.8'!$E$41:$E$42,'A.2.8'!$E$44:$E$45)</c:f>
              <c:numCache>
                <c:formatCode>0.0</c:formatCode>
                <c:ptCount val="6"/>
                <c:pt idx="0">
                  <c:v>13.568103542396601</c:v>
                </c:pt>
                <c:pt idx="1">
                  <c:v>10.820152075793924</c:v>
                </c:pt>
                <c:pt idx="2">
                  <c:v>19.639090206562376</c:v>
                </c:pt>
                <c:pt idx="3">
                  <c:v>15.97083180304951</c:v>
                </c:pt>
                <c:pt idx="4">
                  <c:v>8.0709452590466544</c:v>
                </c:pt>
                <c:pt idx="5">
                  <c:v>5.0578216640710423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C4A-434A-A2F9-C2C0576BEFC7}"/>
            </c:ext>
          </c:extLst>
        </c:ser>
        <c:ser>
          <c:idx val="3"/>
          <c:order val="3"/>
          <c:tx>
            <c:strRef>
              <c:f>'A.2.8'!$F$37</c:f>
              <c:strCache>
                <c:ptCount val="1"/>
                <c:pt idx="0">
                  <c:v>Plant and machine operators, and assemblers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C4A-434A-A2F9-C2C0576BEF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('A.2.8'!$A$38:$B$39,'A.2.8'!$A$41:$B$42,'A.2.8'!$A$44:$B$45)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('A.2.8'!$F$38:$F$39,'A.2.8'!$F$41:$F$42,'A.2.8'!$F$44:$F$45)</c:f>
              <c:numCache>
                <c:formatCode>0.0</c:formatCode>
                <c:ptCount val="6"/>
                <c:pt idx="0">
                  <c:v>3.0957509106609367</c:v>
                </c:pt>
                <c:pt idx="1">
                  <c:v>6.6157036555117319</c:v>
                </c:pt>
                <c:pt idx="2">
                  <c:v>6.0825205204787069</c:v>
                </c:pt>
                <c:pt idx="3">
                  <c:v>11.951023019417821</c:v>
                </c:pt>
                <c:pt idx="4">
                  <c:v>0.39151342635717562</c:v>
                </c:pt>
                <c:pt idx="5">
                  <c:v>0.64680738261705162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C4A-434A-A2F9-C2C0576BEFC7}"/>
            </c:ext>
          </c:extLst>
        </c:ser>
        <c:ser>
          <c:idx val="4"/>
          <c:order val="4"/>
          <c:tx>
            <c:strRef>
              <c:f>'A.2.8'!$G$37</c:f>
              <c:strCache>
                <c:ptCount val="1"/>
                <c:pt idx="0">
                  <c:v>Skilled agricultural, forestry and fishery workers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('A.2.8'!$A$38:$B$39,'A.2.8'!$A$41:$B$42,'A.2.8'!$A$44:$B$45)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('A.2.8'!$G$38:$G$39,'A.2.8'!$G$41:$G$42,'A.2.8'!$G$44:$G$45)</c:f>
              <c:numCache>
                <c:formatCode>0.0</c:formatCode>
                <c:ptCount val="6"/>
                <c:pt idx="0">
                  <c:v>27.067969548689341</c:v>
                </c:pt>
                <c:pt idx="1">
                  <c:v>2.5570127834999954</c:v>
                </c:pt>
                <c:pt idx="2">
                  <c:v>26.125754506150923</c:v>
                </c:pt>
                <c:pt idx="3">
                  <c:v>3.4262561161988931</c:v>
                </c:pt>
                <c:pt idx="4">
                  <c:v>27.921337954578767</c:v>
                </c:pt>
                <c:pt idx="5">
                  <c:v>1.5845455449153385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C4A-434A-A2F9-C2C0576BEFC7}"/>
            </c:ext>
          </c:extLst>
        </c:ser>
        <c:ser>
          <c:idx val="5"/>
          <c:order val="5"/>
          <c:tx>
            <c:strRef>
              <c:f>'A.2.8'!$H$37</c:f>
              <c:strCache>
                <c:ptCount val="1"/>
                <c:pt idx="0">
                  <c:v>Elementary occupations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('A.2.8'!$A$38:$B$39,'A.2.8'!$A$41:$B$42,'A.2.8'!$A$44:$B$45)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('A.2.8'!$H$38:$H$39,'A.2.8'!$H$41:$H$42,'A.2.8'!$H$44:$H$45)</c:f>
              <c:numCache>
                <c:formatCode>0.0</c:formatCode>
                <c:ptCount val="6"/>
                <c:pt idx="0">
                  <c:v>35.02942898829788</c:v>
                </c:pt>
                <c:pt idx="1">
                  <c:v>18.407364196816481</c:v>
                </c:pt>
                <c:pt idx="2">
                  <c:v>33.397209632615557</c:v>
                </c:pt>
                <c:pt idx="3">
                  <c:v>14.842963261340882</c:v>
                </c:pt>
                <c:pt idx="4">
                  <c:v>36.507681323201901</c:v>
                </c:pt>
                <c:pt idx="5">
                  <c:v>22.395042910633222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C4A-434A-A2F9-C2C0576BEFC7}"/>
            </c:ext>
          </c:extLst>
        </c:ser>
        <c:ser>
          <c:idx val="6"/>
          <c:order val="6"/>
          <c:tx>
            <c:strRef>
              <c:f>'A.2.8'!$I$37</c:f>
              <c:strCache>
                <c:ptCount val="1"/>
                <c:pt idx="0">
                  <c:v>Other</c:v>
                </c:pt>
              </c:strCache>
            </c:strRef>
          </c:tx>
          <c:spPr>
            <a:pattFill prst="ltUpDiag">
              <a:fgClr>
                <a:schemeClr val="tx1">
                  <a:lumMod val="50000"/>
                  <a:lumOff val="50000"/>
                </a:schemeClr>
              </a:fgClr>
              <a:bgClr>
                <a:schemeClr val="bg1"/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('A.2.8'!$A$38:$B$39,'A.2.8'!$A$41:$B$42,'A.2.8'!$A$44:$B$45)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('A.2.8'!$I$38:$I$39,'A.2.8'!$I$41:$I$42,'A.2.8'!$I$44:$I$45)</c:f>
              <c:numCache>
                <c:formatCode>0.0</c:formatCode>
                <c:ptCount val="6"/>
                <c:pt idx="0">
                  <c:v>0.29056783555498211</c:v>
                </c:pt>
                <c:pt idx="1">
                  <c:v>4.3157996803343046</c:v>
                </c:pt>
                <c:pt idx="2">
                  <c:v>0.16186637147810104</c:v>
                </c:pt>
                <c:pt idx="3">
                  <c:v>5.8478562204556495</c:v>
                </c:pt>
                <c:pt idx="4">
                  <c:v>0.40664438003281522</c:v>
                </c:pt>
                <c:pt idx="5">
                  <c:v>2.6018092050763775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C4A-434A-A2F9-C2C0576BE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31483008"/>
        <c:axId val="2122537840"/>
      </c:barChart>
      <c:catAx>
        <c:axId val="213148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37840"/>
        <c:crosses val="autoZero"/>
        <c:auto val="1"/>
        <c:lblAlgn val="ctr"/>
        <c:lblOffset val="100"/>
        <c:noMultiLvlLbl val="0"/>
      </c:catAx>
      <c:valAx>
        <c:axId val="2122537840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2">
                        <a:lumMod val="25000"/>
                      </a:schemeClr>
                    </a:solidFill>
                  </a:rPr>
                  <a:t>Distribution of informal and formal</a:t>
                </a:r>
                <a:r>
                  <a:rPr lang="en-US" baseline="0">
                    <a:solidFill>
                      <a:schemeClr val="bg2">
                        <a:lumMod val="25000"/>
                      </a:schemeClr>
                    </a:solidFill>
                  </a:rPr>
                  <a:t> </a:t>
                </a:r>
                <a:r>
                  <a:rPr lang="en-US">
                    <a:solidFill>
                      <a:schemeClr val="bg2">
                        <a:lumMod val="25000"/>
                      </a:schemeClr>
                    </a:solidFill>
                  </a:rPr>
                  <a:t>employment</a:t>
                </a:r>
              </a:p>
            </c:rich>
          </c:tx>
          <c:layout>
            <c:manualLayout>
              <c:xMode val="edge"/>
              <c:yMode val="edge"/>
              <c:x val="0.68662652301210114"/>
              <c:y val="0.727816323460366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crossAx val="2131483008"/>
        <c:crosses val="autoZero"/>
        <c:crossBetween val="between"/>
      </c:valAx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1.8097232065644973E-2"/>
          <c:y val="0.78583563224222286"/>
          <c:w val="0.98050111946869278"/>
          <c:h val="0.214164367757777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177799</xdr:rowOff>
    </xdr:from>
    <xdr:to>
      <xdr:col>9</xdr:col>
      <xdr:colOff>0</xdr:colOff>
      <xdr:row>71</xdr:row>
      <xdr:rowOff>160866</xdr:rowOff>
    </xdr:to>
    <xdr:graphicFrame macro="">
      <xdr:nvGraphicFramePr>
        <xdr:cNvPr id="4" name="Graphique 5">
          <a:extLst>
            <a:ext uri="{FF2B5EF4-FFF2-40B4-BE49-F238E27FC236}">
              <a16:creationId xmlns:a16="http://schemas.microsoft.com/office/drawing/2014/main" id="{20A63425-9A60-4503-92FD-545098667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76BE-7BD7-48B1-B740-4A6190F8FA64}">
  <sheetPr>
    <tabColor rgb="FFC00000"/>
  </sheetPr>
  <dimension ref="A1:Y74"/>
  <sheetViews>
    <sheetView tabSelected="1" zoomScale="90" zoomScaleNormal="90" workbookViewId="0">
      <selection sqref="A1:B1"/>
    </sheetView>
  </sheetViews>
  <sheetFormatPr defaultColWidth="11.5703125" defaultRowHeight="12.75" x14ac:dyDescent="0.2"/>
  <cols>
    <col min="1" max="1" width="14.28515625" style="1" customWidth="1"/>
    <col min="2" max="2" width="22.7109375" style="1" customWidth="1"/>
    <col min="3" max="10" width="12.28515625" style="1" customWidth="1"/>
    <col min="11" max="16384" width="11.5703125" style="1"/>
  </cols>
  <sheetData>
    <row r="1" spans="1:25" ht="15.75" x14ac:dyDescent="0.3">
      <c r="A1" s="33" t="s">
        <v>32</v>
      </c>
      <c r="B1" s="34"/>
    </row>
    <row r="2" spans="1:25" x14ac:dyDescent="0.2">
      <c r="A2" s="19" t="s">
        <v>10</v>
      </c>
      <c r="B2" s="18" t="s">
        <v>21</v>
      </c>
    </row>
    <row r="3" spans="1:25" x14ac:dyDescent="0.2">
      <c r="A3" s="19" t="s">
        <v>11</v>
      </c>
      <c r="B3" s="18" t="s">
        <v>29</v>
      </c>
    </row>
    <row r="4" spans="1:25" x14ac:dyDescent="0.2">
      <c r="A4" s="19" t="s">
        <v>12</v>
      </c>
      <c r="B4" s="18">
        <v>2018</v>
      </c>
    </row>
    <row r="6" spans="1:25" ht="32.25" customHeight="1" x14ac:dyDescent="0.25">
      <c r="A6" s="23" t="s">
        <v>30</v>
      </c>
      <c r="B6" s="28" t="s">
        <v>33</v>
      </c>
      <c r="C6" s="29"/>
      <c r="D6" s="29"/>
      <c r="E6" s="29"/>
      <c r="F6" s="29"/>
      <c r="G6" s="29"/>
      <c r="H6" s="30"/>
      <c r="I6" s="26" t="s">
        <v>34</v>
      </c>
    </row>
    <row r="7" spans="1:25" ht="15" x14ac:dyDescent="0.25">
      <c r="A7" s="24" t="s">
        <v>31</v>
      </c>
      <c r="B7" s="22" t="s">
        <v>35</v>
      </c>
      <c r="C7" s="21"/>
      <c r="D7" s="21"/>
      <c r="E7" s="21"/>
      <c r="F7" s="27"/>
      <c r="G7" s="27"/>
      <c r="H7" s="27"/>
    </row>
    <row r="8" spans="1:25" ht="15" x14ac:dyDescent="0.25">
      <c r="A8" s="25"/>
      <c r="B8" s="22"/>
      <c r="C8" s="21"/>
      <c r="D8" s="21"/>
      <c r="E8" s="21"/>
      <c r="F8" s="27"/>
      <c r="G8" s="27"/>
      <c r="H8" s="27"/>
    </row>
    <row r="9" spans="1:25" ht="15.75" customHeight="1" x14ac:dyDescent="0.25">
      <c r="A9" s="31" t="s">
        <v>36</v>
      </c>
      <c r="B9" s="31"/>
      <c r="C9" s="31"/>
      <c r="D9" s="31"/>
      <c r="E9" s="31"/>
      <c r="F9" s="31"/>
      <c r="G9" s="32"/>
      <c r="H9" s="32"/>
      <c r="I9" s="32"/>
    </row>
    <row r="10" spans="1:25" x14ac:dyDescent="0.2">
      <c r="A10" s="16" t="s">
        <v>13</v>
      </c>
      <c r="C10" s="1" t="s">
        <v>9</v>
      </c>
    </row>
    <row r="11" spans="1:25" s="20" customFormat="1" ht="51.75" customHeight="1" x14ac:dyDescent="0.2">
      <c r="A11" s="17"/>
      <c r="B11" s="17"/>
      <c r="C11" s="17" t="s">
        <v>22</v>
      </c>
      <c r="D11" s="17" t="s">
        <v>2</v>
      </c>
      <c r="E11" s="17" t="s">
        <v>20</v>
      </c>
      <c r="F11" s="17" t="s">
        <v>23</v>
      </c>
      <c r="G11" s="17" t="s">
        <v>24</v>
      </c>
      <c r="H11" s="17" t="s">
        <v>25</v>
      </c>
      <c r="I11" s="17" t="s">
        <v>3</v>
      </c>
      <c r="J11" s="17" t="s">
        <v>26</v>
      </c>
      <c r="K11" s="17" t="s">
        <v>4</v>
      </c>
      <c r="L11" s="17" t="s">
        <v>27</v>
      </c>
      <c r="M11" s="17" t="s">
        <v>28</v>
      </c>
      <c r="N11" s="17" t="s">
        <v>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x14ac:dyDescent="0.2">
      <c r="A12" s="2" t="s">
        <v>0</v>
      </c>
      <c r="B12" s="3" t="s">
        <v>5</v>
      </c>
      <c r="C12" s="3">
        <v>7563</v>
      </c>
      <c r="D12" s="3">
        <v>6615</v>
      </c>
      <c r="E12" s="3">
        <v>7908</v>
      </c>
      <c r="F12" s="3">
        <v>10161</v>
      </c>
      <c r="G12" s="3">
        <v>52173</v>
      </c>
      <c r="H12" s="3">
        <v>109085</v>
      </c>
      <c r="I12" s="3">
        <v>54680</v>
      </c>
      <c r="J12" s="3">
        <v>12476</v>
      </c>
      <c r="K12" s="3">
        <v>141170</v>
      </c>
      <c r="L12" s="3">
        <v>1171</v>
      </c>
      <c r="M12" s="3">
        <v>0</v>
      </c>
      <c r="N12" s="4">
        <v>403004</v>
      </c>
    </row>
    <row r="13" spans="1:25" x14ac:dyDescent="0.2">
      <c r="A13" s="5"/>
      <c r="B13" s="1" t="s">
        <v>6</v>
      </c>
      <c r="C13" s="1">
        <v>28458</v>
      </c>
      <c r="D13" s="1">
        <v>48575</v>
      </c>
      <c r="E13" s="1">
        <v>31523</v>
      </c>
      <c r="F13" s="1">
        <v>30854</v>
      </c>
      <c r="G13" s="1">
        <v>43733</v>
      </c>
      <c r="H13" s="1">
        <v>8175</v>
      </c>
      <c r="I13" s="1">
        <v>34593</v>
      </c>
      <c r="J13" s="1">
        <v>21151</v>
      </c>
      <c r="K13" s="1">
        <v>58850</v>
      </c>
      <c r="L13" s="1">
        <v>13798</v>
      </c>
      <c r="M13" s="1">
        <v>0</v>
      </c>
      <c r="N13" s="6">
        <v>319709</v>
      </c>
    </row>
    <row r="14" spans="1:25" x14ac:dyDescent="0.2">
      <c r="A14" s="5"/>
      <c r="B14" s="1" t="s">
        <v>0</v>
      </c>
      <c r="C14" s="1">
        <v>36021</v>
      </c>
      <c r="D14" s="1">
        <v>55190</v>
      </c>
      <c r="E14" s="1">
        <v>39431</v>
      </c>
      <c r="F14" s="1">
        <v>41015</v>
      </c>
      <c r="G14" s="1">
        <v>95906</v>
      </c>
      <c r="H14" s="1">
        <v>117260</v>
      </c>
      <c r="I14" s="1">
        <v>89274</v>
      </c>
      <c r="J14" s="1">
        <v>33627</v>
      </c>
      <c r="K14" s="1">
        <v>200020</v>
      </c>
      <c r="L14" s="1">
        <v>14969</v>
      </c>
      <c r="M14" s="1">
        <v>0</v>
      </c>
      <c r="N14" s="6">
        <v>722712</v>
      </c>
    </row>
    <row r="15" spans="1:25" x14ac:dyDescent="0.2">
      <c r="A15" s="2" t="s">
        <v>7</v>
      </c>
      <c r="B15" s="3" t="s">
        <v>5</v>
      </c>
      <c r="C15" s="3">
        <v>4210</v>
      </c>
      <c r="D15" s="3">
        <v>3430</v>
      </c>
      <c r="E15" s="3">
        <v>3741</v>
      </c>
      <c r="F15" s="3">
        <v>2546</v>
      </c>
      <c r="G15" s="3">
        <v>14023</v>
      </c>
      <c r="H15" s="3">
        <v>50035</v>
      </c>
      <c r="I15" s="3">
        <v>37612</v>
      </c>
      <c r="J15" s="3">
        <v>11649</v>
      </c>
      <c r="K15" s="3">
        <v>63961</v>
      </c>
      <c r="L15" s="3">
        <v>310</v>
      </c>
      <c r="M15" s="3">
        <v>0</v>
      </c>
      <c r="N15" s="4">
        <v>191516</v>
      </c>
    </row>
    <row r="16" spans="1:25" x14ac:dyDescent="0.2">
      <c r="A16" s="5"/>
      <c r="B16" s="1" t="s">
        <v>6</v>
      </c>
      <c r="C16" s="1">
        <v>16118</v>
      </c>
      <c r="D16" s="1">
        <v>18954</v>
      </c>
      <c r="E16" s="1">
        <v>15518</v>
      </c>
      <c r="F16" s="1">
        <v>8962</v>
      </c>
      <c r="G16" s="1">
        <v>21413</v>
      </c>
      <c r="H16" s="1">
        <v>5784</v>
      </c>
      <c r="I16" s="1">
        <v>26961</v>
      </c>
      <c r="J16" s="1">
        <v>20175</v>
      </c>
      <c r="K16" s="1">
        <v>25057</v>
      </c>
      <c r="L16" s="1">
        <v>9872</v>
      </c>
      <c r="M16" s="1">
        <v>0</v>
      </c>
      <c r="N16" s="6">
        <v>168814</v>
      </c>
    </row>
    <row r="17" spans="1:25" x14ac:dyDescent="0.2">
      <c r="A17" s="7"/>
      <c r="B17" s="8" t="s">
        <v>0</v>
      </c>
      <c r="C17" s="8">
        <v>20328</v>
      </c>
      <c r="D17" s="8">
        <v>22384</v>
      </c>
      <c r="E17" s="8">
        <v>19259</v>
      </c>
      <c r="F17" s="8">
        <v>11508</v>
      </c>
      <c r="G17" s="8">
        <v>35436</v>
      </c>
      <c r="H17" s="8">
        <v>55819</v>
      </c>
      <c r="I17" s="8">
        <v>64573</v>
      </c>
      <c r="J17" s="8">
        <v>31824</v>
      </c>
      <c r="K17" s="8">
        <v>89018</v>
      </c>
      <c r="L17" s="8">
        <v>10182</v>
      </c>
      <c r="M17" s="8">
        <v>0</v>
      </c>
      <c r="N17" s="9">
        <v>360330</v>
      </c>
    </row>
    <row r="18" spans="1:25" x14ac:dyDescent="0.2">
      <c r="A18" s="5" t="s">
        <v>8</v>
      </c>
      <c r="B18" s="1" t="s">
        <v>5</v>
      </c>
      <c r="C18" s="1">
        <v>3353</v>
      </c>
      <c r="D18" s="1">
        <v>3186</v>
      </c>
      <c r="E18" s="1">
        <v>4168</v>
      </c>
      <c r="F18" s="1">
        <v>7615</v>
      </c>
      <c r="G18" s="1">
        <v>38151</v>
      </c>
      <c r="H18" s="1">
        <v>59050</v>
      </c>
      <c r="I18" s="1">
        <v>17069</v>
      </c>
      <c r="J18" s="1">
        <v>828</v>
      </c>
      <c r="K18" s="1">
        <v>77209</v>
      </c>
      <c r="L18" s="1">
        <v>860</v>
      </c>
      <c r="M18" s="1">
        <v>0</v>
      </c>
      <c r="N18" s="6">
        <v>211487</v>
      </c>
    </row>
    <row r="19" spans="1:25" x14ac:dyDescent="0.2">
      <c r="A19" s="5"/>
      <c r="B19" s="1" t="s">
        <v>6</v>
      </c>
      <c r="C19" s="1">
        <v>12340</v>
      </c>
      <c r="D19" s="1">
        <v>29621</v>
      </c>
      <c r="E19" s="1">
        <v>16004</v>
      </c>
      <c r="F19" s="1">
        <v>21893</v>
      </c>
      <c r="G19" s="1">
        <v>22320</v>
      </c>
      <c r="H19" s="1">
        <v>2391</v>
      </c>
      <c r="I19" s="1">
        <v>7632</v>
      </c>
      <c r="J19" s="1">
        <v>976</v>
      </c>
      <c r="K19" s="1">
        <v>33793</v>
      </c>
      <c r="L19" s="1">
        <v>3926</v>
      </c>
      <c r="M19" s="1">
        <v>0</v>
      </c>
      <c r="N19" s="6">
        <v>150895</v>
      </c>
    </row>
    <row r="20" spans="1:25" x14ac:dyDescent="0.2">
      <c r="A20" s="7"/>
      <c r="B20" s="8" t="s">
        <v>0</v>
      </c>
      <c r="C20" s="8">
        <v>15693</v>
      </c>
      <c r="D20" s="8">
        <v>32807</v>
      </c>
      <c r="E20" s="8">
        <v>20172</v>
      </c>
      <c r="F20" s="8">
        <v>29507</v>
      </c>
      <c r="G20" s="8">
        <v>60470</v>
      </c>
      <c r="H20" s="8">
        <v>61441</v>
      </c>
      <c r="I20" s="8">
        <v>24701</v>
      </c>
      <c r="J20" s="8">
        <v>1803</v>
      </c>
      <c r="K20" s="8">
        <v>111001</v>
      </c>
      <c r="L20" s="8">
        <v>4786</v>
      </c>
      <c r="M20" s="8">
        <v>0</v>
      </c>
      <c r="N20" s="9">
        <v>362383</v>
      </c>
    </row>
    <row r="22" spans="1:25" ht="15.75" x14ac:dyDescent="0.25">
      <c r="A22" s="31" t="s">
        <v>37</v>
      </c>
      <c r="B22" s="31"/>
      <c r="C22" s="31"/>
      <c r="D22" s="31"/>
      <c r="E22" s="31"/>
      <c r="F22" s="31"/>
      <c r="G22" s="32"/>
      <c r="H22" s="32"/>
      <c r="I22" s="32"/>
    </row>
    <row r="23" spans="1:25" x14ac:dyDescent="0.2">
      <c r="A23" s="16"/>
      <c r="C23" s="1" t="s">
        <v>9</v>
      </c>
    </row>
    <row r="24" spans="1:25" s="20" customFormat="1" ht="47.25" customHeight="1" x14ac:dyDescent="0.2">
      <c r="A24" s="17"/>
      <c r="B24" s="17"/>
      <c r="C24" s="17" t="str">
        <f>C11</f>
        <v>1 - Legislators, senior officials and managers</v>
      </c>
      <c r="D24" s="17" t="str">
        <f t="shared" ref="D24:N24" si="0">D11</f>
        <v>2 - Professionals</v>
      </c>
      <c r="E24" s="17" t="str">
        <f t="shared" si="0"/>
        <v>3 - Technicians and associate professionals</v>
      </c>
      <c r="F24" s="17" t="str">
        <f t="shared" si="0"/>
        <v>4 - Clerks</v>
      </c>
      <c r="G24" s="17" t="str">
        <f t="shared" si="0"/>
        <v>5 - Service workers and shop and market sales workers</v>
      </c>
      <c r="H24" s="17" t="str">
        <f t="shared" si="0"/>
        <v>6 - Skilled agricultural and fishery workers</v>
      </c>
      <c r="I24" s="17" t="str">
        <f t="shared" si="0"/>
        <v>7 - Craft and related trades workers</v>
      </c>
      <c r="J24" s="17" t="str">
        <f t="shared" si="0"/>
        <v>8 - Plant and machine operators and assemblers</v>
      </c>
      <c r="K24" s="17" t="str">
        <f t="shared" si="0"/>
        <v>9 - Elementary occupations</v>
      </c>
      <c r="L24" s="17" t="str">
        <f t="shared" si="0"/>
        <v>0 - Armed forces</v>
      </c>
      <c r="M24" s="17" t="str">
        <f t="shared" si="0"/>
        <v>11 - Not elsewhere classified</v>
      </c>
      <c r="N24" s="17" t="str">
        <f t="shared" si="0"/>
        <v>Total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x14ac:dyDescent="0.2">
      <c r="A25" s="2" t="s">
        <v>0</v>
      </c>
      <c r="B25" s="3" t="s">
        <v>5</v>
      </c>
      <c r="C25" s="10">
        <f>C12/$N12*100</f>
        <v>1.8766563111036119</v>
      </c>
      <c r="D25" s="10">
        <f t="shared" ref="D25:N25" si="1">D12/$N12*100</f>
        <v>1.6414229139164873</v>
      </c>
      <c r="E25" s="10">
        <f t="shared" si="1"/>
        <v>1.9622634018520908</v>
      </c>
      <c r="F25" s="10">
        <f t="shared" si="1"/>
        <v>2.5213149249138969</v>
      </c>
      <c r="G25" s="10">
        <f t="shared" si="1"/>
        <v>12.946025349624321</v>
      </c>
      <c r="H25" s="10">
        <f t="shared" si="1"/>
        <v>27.067969548689341</v>
      </c>
      <c r="I25" s="10">
        <f t="shared" si="1"/>
        <v>13.568103542396601</v>
      </c>
      <c r="J25" s="10">
        <f t="shared" si="1"/>
        <v>3.0957509106609367</v>
      </c>
      <c r="K25" s="10">
        <f t="shared" si="1"/>
        <v>35.02942898829788</v>
      </c>
      <c r="L25" s="10">
        <f t="shared" si="1"/>
        <v>0.29056783555498211</v>
      </c>
      <c r="M25" s="10">
        <f t="shared" si="1"/>
        <v>0</v>
      </c>
      <c r="N25" s="12">
        <f t="shared" si="1"/>
        <v>100</v>
      </c>
    </row>
    <row r="26" spans="1:25" x14ac:dyDescent="0.2">
      <c r="A26" s="5"/>
      <c r="B26" s="1" t="s">
        <v>6</v>
      </c>
      <c r="C26" s="11">
        <f t="shared" ref="C26:N33" si="2">C13/$N13*100</f>
        <v>8.9012195465251214</v>
      </c>
      <c r="D26" s="11">
        <f t="shared" si="2"/>
        <v>15.193504092784377</v>
      </c>
      <c r="E26" s="11">
        <f t="shared" si="2"/>
        <v>9.8599038500636524</v>
      </c>
      <c r="F26" s="11">
        <f t="shared" si="2"/>
        <v>9.6506510608084231</v>
      </c>
      <c r="G26" s="11">
        <f t="shared" si="2"/>
        <v>13.679001842300343</v>
      </c>
      <c r="H26" s="11">
        <f t="shared" si="2"/>
        <v>2.5570127834999954</v>
      </c>
      <c r="I26" s="11">
        <f t="shared" si="2"/>
        <v>10.820152075793924</v>
      </c>
      <c r="J26" s="11">
        <f t="shared" si="2"/>
        <v>6.6157036555117319</v>
      </c>
      <c r="K26" s="11">
        <f t="shared" si="2"/>
        <v>18.407364196816481</v>
      </c>
      <c r="L26" s="11">
        <f t="shared" si="2"/>
        <v>4.3157996803343046</v>
      </c>
      <c r="M26" s="11">
        <f t="shared" si="2"/>
        <v>0</v>
      </c>
      <c r="N26" s="13">
        <f t="shared" si="2"/>
        <v>100</v>
      </c>
    </row>
    <row r="27" spans="1:25" x14ac:dyDescent="0.2">
      <c r="A27" s="5"/>
      <c r="B27" s="1" t="s">
        <v>0</v>
      </c>
      <c r="C27" s="11">
        <f t="shared" si="2"/>
        <v>4.9841430611363862</v>
      </c>
      <c r="D27" s="11">
        <f t="shared" si="2"/>
        <v>7.6365135766391035</v>
      </c>
      <c r="E27" s="11">
        <f t="shared" si="2"/>
        <v>5.4559769313364104</v>
      </c>
      <c r="F27" s="11">
        <f t="shared" si="2"/>
        <v>5.6751513742680348</v>
      </c>
      <c r="G27" s="11">
        <f t="shared" si="2"/>
        <v>13.270293007449718</v>
      </c>
      <c r="H27" s="11">
        <f t="shared" si="2"/>
        <v>16.224996955910516</v>
      </c>
      <c r="I27" s="11">
        <f t="shared" si="2"/>
        <v>12.352638395377411</v>
      </c>
      <c r="J27" s="11">
        <f t="shared" si="2"/>
        <v>4.6528907780692723</v>
      </c>
      <c r="K27" s="11">
        <f t="shared" si="2"/>
        <v>27.676308128272396</v>
      </c>
      <c r="L27" s="11">
        <f t="shared" si="2"/>
        <v>2.0712261592446231</v>
      </c>
      <c r="M27" s="11">
        <f t="shared" si="2"/>
        <v>0</v>
      </c>
      <c r="N27" s="13">
        <f t="shared" si="2"/>
        <v>100</v>
      </c>
    </row>
    <row r="28" spans="1:25" x14ac:dyDescent="0.2">
      <c r="A28" s="2" t="s">
        <v>7</v>
      </c>
      <c r="B28" s="3" t="s">
        <v>5</v>
      </c>
      <c r="C28" s="10">
        <f t="shared" si="2"/>
        <v>2.1982497545896948</v>
      </c>
      <c r="D28" s="10">
        <f t="shared" si="2"/>
        <v>1.7909730779673763</v>
      </c>
      <c r="E28" s="10">
        <f t="shared" si="2"/>
        <v>1.9533615990308906</v>
      </c>
      <c r="F28" s="10">
        <f t="shared" si="2"/>
        <v>1.3293928444620815</v>
      </c>
      <c r="G28" s="10">
        <f t="shared" si="2"/>
        <v>7.3221036362497136</v>
      </c>
      <c r="H28" s="10">
        <f t="shared" si="2"/>
        <v>26.125754506150923</v>
      </c>
      <c r="I28" s="10">
        <f t="shared" si="2"/>
        <v>19.639090206562376</v>
      </c>
      <c r="J28" s="10">
        <f t="shared" si="2"/>
        <v>6.0825205204787069</v>
      </c>
      <c r="K28" s="10">
        <f t="shared" si="2"/>
        <v>33.397209632615557</v>
      </c>
      <c r="L28" s="10">
        <f t="shared" si="2"/>
        <v>0.16186637147810104</v>
      </c>
      <c r="M28" s="10">
        <f t="shared" si="2"/>
        <v>0</v>
      </c>
      <c r="N28" s="12">
        <f t="shared" si="2"/>
        <v>100</v>
      </c>
    </row>
    <row r="29" spans="1:25" x14ac:dyDescent="0.2">
      <c r="A29" s="5"/>
      <c r="B29" s="1" t="s">
        <v>6</v>
      </c>
      <c r="C29" s="11">
        <f t="shared" si="2"/>
        <v>9.5477863210397231</v>
      </c>
      <c r="D29" s="11">
        <f t="shared" si="2"/>
        <v>11.227741774971269</v>
      </c>
      <c r="E29" s="11">
        <f t="shared" si="2"/>
        <v>9.1923655620979297</v>
      </c>
      <c r="F29" s="11">
        <f t="shared" si="2"/>
        <v>5.3088014027272621</v>
      </c>
      <c r="G29" s="11">
        <f t="shared" si="2"/>
        <v>12.684374518701055</v>
      </c>
      <c r="H29" s="11">
        <f t="shared" si="2"/>
        <v>3.4262561161988931</v>
      </c>
      <c r="I29" s="11">
        <f t="shared" si="2"/>
        <v>15.97083180304951</v>
      </c>
      <c r="J29" s="11">
        <f t="shared" si="2"/>
        <v>11.951023019417821</v>
      </c>
      <c r="K29" s="11">
        <f t="shared" si="2"/>
        <v>14.842963261340882</v>
      </c>
      <c r="L29" s="11">
        <f t="shared" si="2"/>
        <v>5.8478562204556495</v>
      </c>
      <c r="M29" s="11">
        <f t="shared" si="2"/>
        <v>0</v>
      </c>
      <c r="N29" s="13">
        <f t="shared" si="2"/>
        <v>100</v>
      </c>
    </row>
    <row r="30" spans="1:25" x14ac:dyDescent="0.2">
      <c r="A30" s="7"/>
      <c r="B30" s="8" t="s">
        <v>0</v>
      </c>
      <c r="C30" s="14">
        <f t="shared" si="2"/>
        <v>5.6414952959786868</v>
      </c>
      <c r="D30" s="14">
        <f t="shared" si="2"/>
        <v>6.2120833680237562</v>
      </c>
      <c r="E30" s="14">
        <f t="shared" si="2"/>
        <v>5.3448228013210111</v>
      </c>
      <c r="F30" s="14">
        <f t="shared" si="2"/>
        <v>3.1937390725168595</v>
      </c>
      <c r="G30" s="14">
        <f t="shared" si="2"/>
        <v>9.8343185413371081</v>
      </c>
      <c r="H30" s="14">
        <f t="shared" si="2"/>
        <v>15.491077623289762</v>
      </c>
      <c r="I30" s="14">
        <f t="shared" si="2"/>
        <v>17.920517303582827</v>
      </c>
      <c r="J30" s="14">
        <f t="shared" si="2"/>
        <v>8.8319040879194066</v>
      </c>
      <c r="K30" s="14">
        <f t="shared" si="2"/>
        <v>24.704576360558377</v>
      </c>
      <c r="L30" s="14">
        <f t="shared" si="2"/>
        <v>2.825743068853551</v>
      </c>
      <c r="M30" s="14">
        <f t="shared" si="2"/>
        <v>0</v>
      </c>
      <c r="N30" s="15">
        <f t="shared" si="2"/>
        <v>100</v>
      </c>
    </row>
    <row r="31" spans="1:25" x14ac:dyDescent="0.2">
      <c r="A31" s="5" t="s">
        <v>8</v>
      </c>
      <c r="B31" s="1" t="s">
        <v>5</v>
      </c>
      <c r="C31" s="11">
        <f t="shared" si="2"/>
        <v>1.5854402398256158</v>
      </c>
      <c r="D31" s="11">
        <f t="shared" si="2"/>
        <v>1.5064755753308714</v>
      </c>
      <c r="E31" s="11">
        <f t="shared" si="2"/>
        <v>1.9708067162520628</v>
      </c>
      <c r="F31" s="11">
        <f t="shared" si="2"/>
        <v>3.60069413249987</v>
      </c>
      <c r="G31" s="11">
        <f t="shared" si="2"/>
        <v>18.039406677478993</v>
      </c>
      <c r="H31" s="11">
        <f t="shared" si="2"/>
        <v>27.921337954578767</v>
      </c>
      <c r="I31" s="11">
        <f t="shared" si="2"/>
        <v>8.0709452590466544</v>
      </c>
      <c r="J31" s="11">
        <f t="shared" si="2"/>
        <v>0.39151342635717562</v>
      </c>
      <c r="K31" s="11">
        <f t="shared" si="2"/>
        <v>36.507681323201901</v>
      </c>
      <c r="L31" s="11">
        <f t="shared" si="2"/>
        <v>0.40664438003281522</v>
      </c>
      <c r="M31" s="11">
        <f t="shared" si="2"/>
        <v>0</v>
      </c>
      <c r="N31" s="13">
        <f t="shared" si="2"/>
        <v>100</v>
      </c>
    </row>
    <row r="32" spans="1:25" x14ac:dyDescent="0.2">
      <c r="A32" s="5"/>
      <c r="B32" s="1" t="s">
        <v>6</v>
      </c>
      <c r="C32" s="11">
        <f t="shared" si="2"/>
        <v>8.1778720302196888</v>
      </c>
      <c r="D32" s="11">
        <f t="shared" si="2"/>
        <v>19.630206434938202</v>
      </c>
      <c r="E32" s="11">
        <f t="shared" si="2"/>
        <v>10.606050564962391</v>
      </c>
      <c r="F32" s="11">
        <f t="shared" si="2"/>
        <v>14.508764372576957</v>
      </c>
      <c r="G32" s="11">
        <f t="shared" si="2"/>
        <v>14.791742602471917</v>
      </c>
      <c r="H32" s="11">
        <f t="shared" si="2"/>
        <v>1.5845455449153385</v>
      </c>
      <c r="I32" s="11">
        <f t="shared" si="2"/>
        <v>5.0578216640710423</v>
      </c>
      <c r="J32" s="11">
        <f t="shared" si="2"/>
        <v>0.64680738261705162</v>
      </c>
      <c r="K32" s="11">
        <f t="shared" si="2"/>
        <v>22.395042910633222</v>
      </c>
      <c r="L32" s="11">
        <f t="shared" si="2"/>
        <v>2.6018092050763775</v>
      </c>
      <c r="M32" s="11">
        <f t="shared" si="2"/>
        <v>0</v>
      </c>
      <c r="N32" s="13">
        <f t="shared" si="2"/>
        <v>100</v>
      </c>
    </row>
    <row r="33" spans="1:14" x14ac:dyDescent="0.2">
      <c r="A33" s="7"/>
      <c r="B33" s="8" t="s">
        <v>0</v>
      </c>
      <c r="C33" s="14">
        <f t="shared" si="2"/>
        <v>4.3305011548554981</v>
      </c>
      <c r="D33" s="14">
        <f t="shared" si="2"/>
        <v>9.0531288719393572</v>
      </c>
      <c r="E33" s="14">
        <f t="shared" si="2"/>
        <v>5.5664862866083675</v>
      </c>
      <c r="F33" s="14">
        <f t="shared" si="2"/>
        <v>8.142490127848161</v>
      </c>
      <c r="G33" s="14">
        <f t="shared" si="2"/>
        <v>16.686765107634741</v>
      </c>
      <c r="H33" s="14">
        <f t="shared" si="2"/>
        <v>16.954713659305209</v>
      </c>
      <c r="I33" s="14">
        <f t="shared" si="2"/>
        <v>6.8162689750898915</v>
      </c>
      <c r="J33" s="14">
        <f t="shared" si="2"/>
        <v>0.49753989563528095</v>
      </c>
      <c r="K33" s="14">
        <f t="shared" si="2"/>
        <v>30.630851888747539</v>
      </c>
      <c r="L33" s="14">
        <f t="shared" si="2"/>
        <v>1.3207021300668078</v>
      </c>
      <c r="M33" s="14">
        <f t="shared" si="2"/>
        <v>0</v>
      </c>
      <c r="N33" s="15">
        <f t="shared" si="2"/>
        <v>100</v>
      </c>
    </row>
    <row r="36" spans="1:14" ht="15.75" x14ac:dyDescent="0.25">
      <c r="A36" s="31" t="s">
        <v>38</v>
      </c>
      <c r="B36" s="31"/>
      <c r="C36" s="31"/>
      <c r="D36" s="31"/>
      <c r="E36" s="31"/>
      <c r="F36" s="31"/>
      <c r="G36" s="32"/>
      <c r="H36" s="32"/>
      <c r="I36" s="32"/>
    </row>
    <row r="37" spans="1:14" ht="63.75" x14ac:dyDescent="0.2">
      <c r="A37" s="17"/>
      <c r="B37" s="17"/>
      <c r="C37" s="17" t="s">
        <v>18</v>
      </c>
      <c r="D37" s="17" t="s">
        <v>19</v>
      </c>
      <c r="E37" s="17" t="s">
        <v>14</v>
      </c>
      <c r="F37" s="17" t="s">
        <v>15</v>
      </c>
      <c r="G37" s="17" t="s">
        <v>16</v>
      </c>
      <c r="H37" s="17" t="s">
        <v>17</v>
      </c>
      <c r="I37" s="17" t="s">
        <v>1</v>
      </c>
      <c r="J37" s="17" t="s">
        <v>0</v>
      </c>
      <c r="K37" s="17"/>
      <c r="L37" s="17"/>
      <c r="M37" s="17"/>
      <c r="N37" s="17"/>
    </row>
    <row r="38" spans="1:14" x14ac:dyDescent="0.2">
      <c r="A38" s="2" t="s">
        <v>0</v>
      </c>
      <c r="B38" s="3" t="s">
        <v>5</v>
      </c>
      <c r="C38" s="10">
        <f>C25+D25+E25</f>
        <v>5.48034262687219</v>
      </c>
      <c r="D38" s="10">
        <f>F25+G25</f>
        <v>15.467340274538218</v>
      </c>
      <c r="E38" s="10">
        <f>I25</f>
        <v>13.568103542396601</v>
      </c>
      <c r="F38" s="10">
        <f>J25</f>
        <v>3.0957509106609367</v>
      </c>
      <c r="G38" s="10">
        <f>H25</f>
        <v>27.067969548689341</v>
      </c>
      <c r="H38" s="10">
        <f>K25</f>
        <v>35.02942898829788</v>
      </c>
      <c r="I38" s="10">
        <f>L25+M25</f>
        <v>0.29056783555498211</v>
      </c>
      <c r="J38" s="10">
        <f>SUM(C38:I38)</f>
        <v>99.999503727010151</v>
      </c>
      <c r="K38" s="11"/>
      <c r="L38" s="11"/>
      <c r="M38" s="11"/>
      <c r="N38" s="11"/>
    </row>
    <row r="39" spans="1:14" x14ac:dyDescent="0.2">
      <c r="A39" s="5"/>
      <c r="B39" s="1" t="s">
        <v>6</v>
      </c>
      <c r="C39" s="11">
        <f t="shared" ref="C39:C46" si="3">C26+D26+E26</f>
        <v>33.954627489373152</v>
      </c>
      <c r="D39" s="11">
        <f t="shared" ref="D39:D46" si="4">F26+G26</f>
        <v>23.329652903108766</v>
      </c>
      <c r="E39" s="11">
        <f t="shared" ref="E39:F46" si="5">I26</f>
        <v>10.820152075793924</v>
      </c>
      <c r="F39" s="11">
        <f t="shared" si="5"/>
        <v>6.6157036555117319</v>
      </c>
      <c r="G39" s="11">
        <f t="shared" ref="G39:G46" si="6">H26</f>
        <v>2.5570127834999954</v>
      </c>
      <c r="H39" s="11">
        <f t="shared" ref="H39:H46" si="7">K26</f>
        <v>18.407364196816481</v>
      </c>
      <c r="I39" s="11">
        <f t="shared" ref="I39:I46" si="8">L26+M26</f>
        <v>4.3157996803343046</v>
      </c>
      <c r="J39" s="11">
        <f t="shared" ref="J39:J46" si="9">SUM(C39:I39)</f>
        <v>100.00031278443838</v>
      </c>
      <c r="K39" s="11"/>
      <c r="L39" s="11"/>
      <c r="M39" s="11"/>
      <c r="N39" s="11"/>
    </row>
    <row r="40" spans="1:14" x14ac:dyDescent="0.2">
      <c r="A40" s="5"/>
      <c r="B40" s="1" t="s">
        <v>0</v>
      </c>
      <c r="C40" s="11">
        <f t="shared" si="3"/>
        <v>18.076633569111898</v>
      </c>
      <c r="D40" s="11">
        <f t="shared" si="4"/>
        <v>18.945444381717753</v>
      </c>
      <c r="E40" s="11">
        <f t="shared" si="5"/>
        <v>12.352638395377411</v>
      </c>
      <c r="F40" s="11">
        <f t="shared" si="5"/>
        <v>4.6528907780692723</v>
      </c>
      <c r="G40" s="11">
        <f t="shared" si="6"/>
        <v>16.224996955910516</v>
      </c>
      <c r="H40" s="11">
        <f t="shared" si="7"/>
        <v>27.676308128272396</v>
      </c>
      <c r="I40" s="11">
        <f t="shared" si="8"/>
        <v>2.0712261592446231</v>
      </c>
      <c r="J40" s="11">
        <f t="shared" si="9"/>
        <v>100.00013836770387</v>
      </c>
      <c r="K40" s="11"/>
      <c r="L40" s="11"/>
      <c r="M40" s="11"/>
      <c r="N40" s="11"/>
    </row>
    <row r="41" spans="1:14" x14ac:dyDescent="0.2">
      <c r="A41" s="2" t="s">
        <v>7</v>
      </c>
      <c r="B41" s="3" t="s">
        <v>5</v>
      </c>
      <c r="C41" s="10">
        <f t="shared" si="3"/>
        <v>5.9425844315879619</v>
      </c>
      <c r="D41" s="10">
        <f t="shared" si="4"/>
        <v>8.6514964807117956</v>
      </c>
      <c r="E41" s="10">
        <f t="shared" si="5"/>
        <v>19.639090206562376</v>
      </c>
      <c r="F41" s="10">
        <f t="shared" si="5"/>
        <v>6.0825205204787069</v>
      </c>
      <c r="G41" s="10">
        <f t="shared" si="6"/>
        <v>26.125754506150923</v>
      </c>
      <c r="H41" s="10">
        <f t="shared" si="7"/>
        <v>33.397209632615557</v>
      </c>
      <c r="I41" s="10">
        <f t="shared" si="8"/>
        <v>0.16186637147810104</v>
      </c>
      <c r="J41" s="10">
        <f t="shared" si="9"/>
        <v>100.00052214958542</v>
      </c>
      <c r="K41" s="11"/>
      <c r="L41" s="11"/>
      <c r="M41" s="11"/>
      <c r="N41" s="11"/>
    </row>
    <row r="42" spans="1:14" x14ac:dyDescent="0.2">
      <c r="A42" s="5"/>
      <c r="B42" s="1" t="s">
        <v>6</v>
      </c>
      <c r="C42" s="11">
        <f t="shared" si="3"/>
        <v>29.967893658108924</v>
      </c>
      <c r="D42" s="11">
        <f t="shared" si="4"/>
        <v>17.993175921428318</v>
      </c>
      <c r="E42" s="11">
        <f t="shared" si="5"/>
        <v>15.97083180304951</v>
      </c>
      <c r="F42" s="11">
        <f t="shared" si="5"/>
        <v>11.951023019417821</v>
      </c>
      <c r="G42" s="11">
        <f t="shared" si="6"/>
        <v>3.4262561161988931</v>
      </c>
      <c r="H42" s="11">
        <f t="shared" si="7"/>
        <v>14.842963261340882</v>
      </c>
      <c r="I42" s="11">
        <f t="shared" si="8"/>
        <v>5.8478562204556495</v>
      </c>
      <c r="J42" s="11">
        <f t="shared" si="9"/>
        <v>100</v>
      </c>
      <c r="K42" s="11"/>
      <c r="L42" s="11"/>
      <c r="M42" s="11"/>
      <c r="N42" s="11"/>
    </row>
    <row r="43" spans="1:14" x14ac:dyDescent="0.2">
      <c r="A43" s="7"/>
      <c r="B43" s="8" t="s">
        <v>0</v>
      </c>
      <c r="C43" s="14">
        <f t="shared" si="3"/>
        <v>17.198401465323453</v>
      </c>
      <c r="D43" s="14">
        <f t="shared" si="4"/>
        <v>13.028057613853967</v>
      </c>
      <c r="E43" s="14">
        <f t="shared" si="5"/>
        <v>17.920517303582827</v>
      </c>
      <c r="F43" s="14">
        <f t="shared" si="5"/>
        <v>8.8319040879194066</v>
      </c>
      <c r="G43" s="14">
        <f t="shared" si="6"/>
        <v>15.491077623289762</v>
      </c>
      <c r="H43" s="14">
        <f t="shared" si="7"/>
        <v>24.704576360558377</v>
      </c>
      <c r="I43" s="14">
        <f t="shared" si="8"/>
        <v>2.825743068853551</v>
      </c>
      <c r="J43" s="14">
        <f t="shared" si="9"/>
        <v>100.00027752338134</v>
      </c>
      <c r="K43" s="11"/>
      <c r="L43" s="11"/>
      <c r="M43" s="11"/>
      <c r="N43" s="11"/>
    </row>
    <row r="44" spans="1:14" x14ac:dyDescent="0.2">
      <c r="A44" s="5" t="s">
        <v>8</v>
      </c>
      <c r="B44" s="1" t="s">
        <v>5</v>
      </c>
      <c r="C44" s="11">
        <f t="shared" si="3"/>
        <v>5.06272253140855</v>
      </c>
      <c r="D44" s="11">
        <f t="shared" si="4"/>
        <v>21.640100809978865</v>
      </c>
      <c r="E44" s="11">
        <f t="shared" si="5"/>
        <v>8.0709452590466544</v>
      </c>
      <c r="F44" s="11">
        <f t="shared" si="5"/>
        <v>0.39151342635717562</v>
      </c>
      <c r="G44" s="11">
        <f t="shared" si="6"/>
        <v>27.921337954578767</v>
      </c>
      <c r="H44" s="11">
        <f t="shared" si="7"/>
        <v>36.507681323201901</v>
      </c>
      <c r="I44" s="11">
        <f t="shared" si="8"/>
        <v>0.40664438003281522</v>
      </c>
      <c r="J44" s="11">
        <f t="shared" si="9"/>
        <v>100.00094568460473</v>
      </c>
      <c r="K44" s="11"/>
      <c r="L44" s="11"/>
      <c r="M44" s="11"/>
      <c r="N44" s="11"/>
    </row>
    <row r="45" spans="1:14" x14ac:dyDescent="0.2">
      <c r="A45" s="5"/>
      <c r="B45" s="1" t="s">
        <v>6</v>
      </c>
      <c r="C45" s="11">
        <f t="shared" si="3"/>
        <v>38.414129030120279</v>
      </c>
      <c r="D45" s="11">
        <f t="shared" si="4"/>
        <v>29.300506975048876</v>
      </c>
      <c r="E45" s="11">
        <f t="shared" si="5"/>
        <v>5.0578216640710423</v>
      </c>
      <c r="F45" s="11">
        <f t="shared" si="5"/>
        <v>0.64680738261705162</v>
      </c>
      <c r="G45" s="11">
        <f t="shared" si="6"/>
        <v>1.5845455449153385</v>
      </c>
      <c r="H45" s="11">
        <f t="shared" si="7"/>
        <v>22.395042910633222</v>
      </c>
      <c r="I45" s="11">
        <f t="shared" si="8"/>
        <v>2.6018092050763775</v>
      </c>
      <c r="J45" s="11">
        <f t="shared" si="9"/>
        <v>100.0006627124822</v>
      </c>
      <c r="K45" s="11"/>
      <c r="L45" s="11"/>
      <c r="M45" s="11"/>
      <c r="N45" s="11"/>
    </row>
    <row r="46" spans="1:14" x14ac:dyDescent="0.2">
      <c r="A46" s="7"/>
      <c r="B46" s="8" t="s">
        <v>0</v>
      </c>
      <c r="C46" s="14">
        <f t="shared" si="3"/>
        <v>18.950116313403221</v>
      </c>
      <c r="D46" s="14">
        <f t="shared" si="4"/>
        <v>24.829255235482904</v>
      </c>
      <c r="E46" s="14">
        <f t="shared" si="5"/>
        <v>6.8162689750898915</v>
      </c>
      <c r="F46" s="14">
        <f t="shared" si="5"/>
        <v>0.49753989563528095</v>
      </c>
      <c r="G46" s="14">
        <f t="shared" si="6"/>
        <v>16.954713659305209</v>
      </c>
      <c r="H46" s="14">
        <f t="shared" si="7"/>
        <v>30.630851888747539</v>
      </c>
      <c r="I46" s="14">
        <f t="shared" si="8"/>
        <v>1.3207021300668078</v>
      </c>
      <c r="J46" s="14">
        <f t="shared" si="9"/>
        <v>99.999448097730848</v>
      </c>
      <c r="K46" s="11"/>
      <c r="L46" s="11"/>
      <c r="M46" s="11"/>
      <c r="N46" s="11"/>
    </row>
    <row r="49" spans="1:1" x14ac:dyDescent="0.2">
      <c r="A49" s="16" t="s">
        <v>39</v>
      </c>
    </row>
    <row r="73" spans="3:7" x14ac:dyDescent="0.2">
      <c r="C73" s="11"/>
      <c r="D73" s="11"/>
      <c r="E73" s="11"/>
      <c r="F73" s="11"/>
      <c r="G73" s="11"/>
    </row>
    <row r="74" spans="3:7" x14ac:dyDescent="0.2">
      <c r="C74" s="11"/>
      <c r="D74" s="11"/>
      <c r="E74" s="11"/>
      <c r="F74" s="11"/>
      <c r="G74" s="11"/>
    </row>
  </sheetData>
  <mergeCells count="5">
    <mergeCell ref="B6:H6"/>
    <mergeCell ref="A22:I22"/>
    <mergeCell ref="A36:I36"/>
    <mergeCell ref="A1:B1"/>
    <mergeCell ref="A9:I9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A.2.8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Bonnet</dc:creator>
  <cp:lastModifiedBy>Gammarano, Rosina</cp:lastModifiedBy>
  <cp:lastPrinted>2023-04-23T18:20:24Z</cp:lastPrinted>
  <dcterms:created xsi:type="dcterms:W3CDTF">2022-05-26T05:13:18Z</dcterms:created>
  <dcterms:modified xsi:type="dcterms:W3CDTF">2023-10-06T10:01:22Z</dcterms:modified>
</cp:coreProperties>
</file>
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Data\DCR\STAT\cr2024\Tables\PUB\"/>
    </mc:Choice>
  </mc:AlternateContent>
  <xr:revisionPtr revIDLastSave="0" documentId="13_ncr:1_{FDEA42C0-E85E-4C7E-8170-D40E5160E6F6}" xr6:coauthVersionLast="47" xr6:coauthVersionMax="47" xr10:uidLastSave="{00000000-0000-0000-0000-000000000000}"/>
  <bookViews>
    <workbookView xWindow="-108" yWindow="-108" windowWidth="23256" windowHeight="12456" xr2:uid="{409754B4-31C6-46C2-B685-8521EFF82F52}"/>
  </bookViews>
  <sheets>
    <sheet name="TAB29f" sheetId="1" r:id="rId1"/>
  </sheets>
  <definedNames>
    <definedName name="_Regression_Int" localSheetId="0" hidden="1">1</definedName>
    <definedName name="_xlnm.Print_Area" localSheetId="0">TAB29f!$A$1:$Q$66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8" i="1" l="1"/>
  <c r="J55" i="1"/>
  <c r="J51" i="1"/>
  <c r="J50" i="1"/>
  <c r="J49" i="1"/>
  <c r="J48" i="1"/>
  <c r="J47" i="1"/>
  <c r="J46" i="1"/>
  <c r="J45" i="1"/>
  <c r="J44" i="1"/>
  <c r="J43" i="1"/>
  <c r="J42" i="1"/>
  <c r="J41" i="1"/>
  <c r="J40" i="1"/>
  <c r="J38" i="1"/>
  <c r="J37" i="1"/>
  <c r="J36" i="1"/>
  <c r="J35" i="1"/>
  <c r="J34" i="1"/>
  <c r="J33" i="1"/>
  <c r="J32" i="1"/>
  <c r="J31" i="1"/>
  <c r="J30" i="1"/>
  <c r="J29" i="1"/>
  <c r="J28" i="1"/>
  <c r="J27" i="1"/>
  <c r="J26" i="1"/>
  <c r="J24" i="1"/>
  <c r="J23" i="1"/>
  <c r="J22" i="1"/>
  <c r="J21" i="1"/>
  <c r="J20" i="1"/>
  <c r="J19" i="1"/>
  <c r="J18" i="1"/>
  <c r="J17" i="1"/>
  <c r="J16" i="1"/>
  <c r="J14" i="1"/>
  <c r="J13" i="1"/>
  <c r="J12" i="1"/>
  <c r="J11" i="1"/>
  <c r="J10" i="1"/>
  <c r="J9" i="1"/>
  <c r="J8" i="1"/>
  <c r="J7" i="1"/>
  <c r="J6" i="1"/>
</calcChain>
</file>

<file path=xl/sharedStrings.xml><?xml version="1.0" encoding="utf-8"?>
<sst xmlns="http://schemas.openxmlformats.org/spreadsheetml/2006/main" count="81" uniqueCount="67">
  <si>
    <t>Tableau 29.  Ventilation par donneur des versements nets d'APD en faveur de l'Afrique subsaharienne</t>
  </si>
  <si>
    <t>En pourcentage de l'APD pour chaque donneur</t>
  </si>
  <si>
    <t>moyenne</t>
  </si>
  <si>
    <t>CAD BILATERAL</t>
  </si>
  <si>
    <t>Allemagne</t>
  </si>
  <si>
    <t>Australie</t>
  </si>
  <si>
    <t>Autriche</t>
  </si>
  <si>
    <t>Belgique</t>
  </si>
  <si>
    <t>Canada</t>
  </si>
  <si>
    <t>Corée</t>
  </si>
  <si>
    <t>Danemark</t>
  </si>
  <si>
    <t>Espagne</t>
  </si>
  <si>
    <t>Estonie</t>
  </si>
  <si>
    <t>États-Unis</t>
  </si>
  <si>
    <t>Finlande</t>
  </si>
  <si>
    <t>France</t>
  </si>
  <si>
    <t>Grèce</t>
  </si>
  <si>
    <t>Hongrie</t>
  </si>
  <si>
    <t>Irlande</t>
  </si>
  <si>
    <t>Islande</t>
  </si>
  <si>
    <t>Italie</t>
  </si>
  <si>
    <t>Japon</t>
  </si>
  <si>
    <t>Lituanie</t>
  </si>
  <si>
    <t>Luxembourg</t>
  </si>
  <si>
    <t>Norvège</t>
  </si>
  <si>
    <t>Nouvelle-Zélande</t>
  </si>
  <si>
    <t>Pays-Bas</t>
  </si>
  <si>
    <t>Pologne</t>
  </si>
  <si>
    <t>Portugal</t>
  </si>
  <si>
    <t>République slovaque</t>
  </si>
  <si>
    <t>Royaume-Uni</t>
  </si>
  <si>
    <t>Slovénie</t>
  </si>
  <si>
    <t>Suède</t>
  </si>
  <si>
    <t>Suisse</t>
  </si>
  <si>
    <t>Tchèquie</t>
  </si>
  <si>
    <t>TOTAL DU CAD</t>
  </si>
  <si>
    <r>
      <t>ORGANISMES</t>
    </r>
    <r>
      <rPr>
        <b/>
        <sz val="10"/>
        <color indexed="9"/>
        <rFont val="Helvetica"/>
        <family val="2"/>
      </rPr>
      <t xml:space="preserve"> </t>
    </r>
    <r>
      <rPr>
        <b/>
        <sz val="10"/>
        <rFont val="Helvetica"/>
        <family val="2"/>
      </rPr>
      <t xml:space="preserve">MULTILATERAUX </t>
    </r>
    <r>
      <rPr>
        <b/>
        <vertAlign val="superscript"/>
        <sz val="10"/>
        <rFont val="Helvetica"/>
        <family val="2"/>
      </rPr>
      <t>a</t>
    </r>
  </si>
  <si>
    <t>BAFD</t>
  </si>
  <si>
    <t>Institutions de l'UE</t>
  </si>
  <si>
    <t>GAVI</t>
  </si>
  <si>
    <t>Fonds mondial</t>
  </si>
  <si>
    <t>IDA</t>
  </si>
  <si>
    <t>FIDA</t>
  </si>
  <si>
    <t>HCR</t>
  </si>
  <si>
    <t>OMS</t>
  </si>
  <si>
    <t>PAM</t>
  </si>
  <si>
    <t>PNUD</t>
  </si>
  <si>
    <t>UNFPA</t>
  </si>
  <si>
    <t>UNICEF</t>
  </si>
  <si>
    <r>
      <t>Autres ONU</t>
    </r>
    <r>
      <rPr>
        <vertAlign val="superscript"/>
        <sz val="10"/>
        <rFont val="Helvetica"/>
        <family val="2"/>
      </rPr>
      <t xml:space="preserve"> b</t>
    </r>
  </si>
  <si>
    <r>
      <t xml:space="preserve">Autres ONU </t>
    </r>
    <r>
      <rPr>
        <vertAlign val="superscript"/>
        <sz val="10"/>
        <rFont val="Helvetica"/>
      </rPr>
      <t>b</t>
    </r>
  </si>
  <si>
    <r>
      <t xml:space="preserve">Agences arabes </t>
    </r>
    <r>
      <rPr>
        <vertAlign val="superscript"/>
        <sz val="10"/>
        <rFont val="Helvetica"/>
      </rPr>
      <t>c</t>
    </r>
  </si>
  <si>
    <r>
      <t xml:space="preserve">Autres organismes multilatéraux </t>
    </r>
    <r>
      <rPr>
        <vertAlign val="superscript"/>
        <sz val="10"/>
        <rFont val="Helvetica"/>
      </rPr>
      <t>d</t>
    </r>
  </si>
  <si>
    <t>TOTAL 
ORGANISMES MULTILATÉRAUX</t>
  </si>
  <si>
    <r>
      <t xml:space="preserve">Autres pays </t>
    </r>
    <r>
      <rPr>
        <vertAlign val="superscript"/>
        <sz val="10"/>
        <rFont val="Helvetica"/>
        <family val="2"/>
      </rPr>
      <t>e</t>
    </r>
  </si>
  <si>
    <t>TOTAL GÉNÉRAL</t>
  </si>
  <si>
    <r>
      <t xml:space="preserve">TOTAL GÉNÉRAL </t>
    </r>
    <r>
      <rPr>
        <b/>
        <vertAlign val="superscript"/>
        <sz val="10"/>
        <rFont val="Helvetica"/>
      </rPr>
      <t>f</t>
    </r>
  </si>
  <si>
    <t>a) Les agences des Nations Unies ont révisé leur données afin d'inclure uniquement leurs dépenses budgétaires courantes. Ceci a conduit à des révisions des données du PNUD depuis 1990, le PAM et le HCR ont révisé leurs données à partir de 1996 tandis que l'UNICEF a révisé ses données à partir de 1997. Depuis 2000, le HCR est doté d'un budget de programme annuel regroupant les opérations au niveau des pays, les opérations d'envergure mondiale et les frais administratifs. Cependant, les données pour le HCR à partir de 2004 comprennent uniquement les dépenses provenant de fonds non restreints ou alloués de manière large. Avant 2004, les données du UNFPA comprennent des dépenses budgétaires courantes et autres dépenses.</t>
  </si>
  <si>
    <r>
      <t>b)</t>
    </r>
    <r>
      <rPr>
        <sz val="10"/>
        <rFont val="Helvetica"/>
        <family val="2"/>
      </rPr>
      <t xml:space="preserve"> Comprend l'AIEA et le Fonds de consolidation de la paix-ON); l'ONUSIDA; l'ATNU (seulement pour 2006/07); l'OIT (seulement pour 2018-2022); la FAO (seulement pour 2017-2022); le PNUE et l'OMT (seulement pour 2016); le CNUCED, le UN Capital Development Fund, le Centre du commerce international de l'OMC, l'ONUDI (seulement pour 2020 et 2021)</t>
    </r>
  </si>
  <si>
    <r>
      <t>c)</t>
    </r>
    <r>
      <rPr>
        <sz val="10"/>
        <rFont val="Helvetica"/>
        <family val="2"/>
      </rPr>
      <t xml:space="preserve"> Comprend la Banque de développement islamique et le Fonds OPEP pour le développement international (toutes les années); le Fonds arabe (toutes les années sauf 2004/05); la Banque Arabe pour le Développement Économique en Afrique (seulement pour 2006/07, 20011/12)</t>
    </r>
  </si>
  <si>
    <r>
      <t>d)</t>
    </r>
    <r>
      <rPr>
        <sz val="10"/>
        <rFont val="Helvetica"/>
        <family val="2"/>
      </rPr>
      <t xml:space="preserve"> Comprend fonds pour l'environnement mondial, le Fonds nordique du développement et le FMI - le fonds fiduciaires concessionnels (toutes les années); l'Institut mondial de la croissance vert et le Fonds vert pour le climat (toutes 2018-2022); le Fonds d'adaptation (toutes les années sauf 2006/07); le Fonds d'investissement climatique (seulement pour 2018, 2020-2022); le Fonds central d'intervention pour les urgences humanitaires (seulement pour 2017-2022)</t>
    </r>
  </si>
  <si>
    <r>
      <t>e)</t>
    </r>
    <r>
      <rPr>
        <sz val="10"/>
        <rFont val="Helvetica"/>
        <family val="2"/>
      </rPr>
      <t xml:space="preserve"> Comprend des donneurs non-membres du CAD listés dans le Tableau 33 qui ont versés l'APD vers l'Afrique sub-saharienne pendant l'année donnée</t>
    </r>
  </si>
  <si>
    <r>
      <t>d)</t>
    </r>
    <r>
      <rPr>
        <sz val="10"/>
        <rFont val="Helvetica"/>
        <family val="2"/>
      </rPr>
      <t xml:space="preserve"> Comprend seulement l'APD nette totale des donneurs actifs en Afrique sub-saharienne pendant l'année donnée</t>
    </r>
  </si>
  <si>
    <t>En millions de USD, aux prix et taux de change de 2022</t>
  </si>
  <si>
    <t>2007-2008</t>
  </si>
  <si>
    <t>2012-2013</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</si>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</sst>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_)"/>
    <numFmt numFmtId="165" formatCode="###0_m;\-###0_m;&quot;-&quot;_m"/>
    <numFmt numFmtId="166" formatCode="#\ ##0_m;\-#\ ##0_m;&quot;-&quot;_m"/>
    <numFmt numFmtId="167" formatCode="#\ ##0.0_m;\-#\ ##0.0_m;&quot;-&quot;_m"/>
    <numFmt numFmtId="168" formatCode=".\ #_m;\-.\ #_m;&quot;-&quot;_⵭"/>
  </numFmts>
  <fonts count="15">
    <font>
      <sz val="10"/>
      <name val="Arial"/>
    </font>
    <font>
      <sz val="10"/>
      <name val="Courier"/>
      <family val="3"/>
    </font>
    <font>
      <sz val="10"/>
      <name val="Helvetica"/>
      <family val="2"/>
    </font>
    <font>
      <sz val="12"/>
      <name val="Helv"/>
    </font>
    <font>
      <b/>
      <sz val="10"/>
      <name val="Helvetica"/>
      <family val="2"/>
    </font>
    <font>
      <b/>
      <sz val="10"/>
      <color indexed="9"/>
      <name val="Helvetica"/>
      <family val="2"/>
    </font>
    <font>
      <b/>
      <vertAlign val="superscript"/>
      <sz val="10"/>
      <name val="Helvetica"/>
      <family val="2"/>
    </font>
    <font>
      <vertAlign val="superscript"/>
      <sz val="10"/>
      <name val="Helvetica"/>
      <family val="2"/>
    </font>
    <font>
      <vertAlign val="superscript"/>
      <sz val="10"/>
      <name val="Helvetica"/>
    </font>
    <font>
      <b/>
      <vertAlign val="superscript"/>
      <sz val="10"/>
      <name val="Helvetica"/>
    </font>
    <font>
      <sz val="9"/>
      <name val="Helvetica"/>
      <family val="2"/>
    </font>
    <font>
      <sz val="10"/>
      <name val="Arial"/>
      <family val="2"/>
    </font>
    <font>
      <sz val="10"/>
      <name val="Novarese Medium"/>
      <family val="1"/>
    </font>
    <font>
      <i/>
      <sz val="10"/>
      <name val="Helvetica"/>
      <family val="2"/>
    </font>
    <font>
      <sz val="9"/>
      <name val="Novarese Medium"/>
      <family val="1"/>
    </font>
  </fonts>
  <fills count="3">
    <fill>
      <patternFill patternType="none"/>
    </fill>
    <fill>
      <patternFill patternType="gray125"/>
    </fill>
    <fill>
      <patternFill patternType="solid">
        <fgColor indexed="41"/>
        <bgColor indexed="64"/>
      </patternFill>
    </fill>
  </fills>
  <borders count="2">
    <border>
      <left/>
      <right/>
      <top/>
      <bottom/>
      <diagonal/>
    </border>
    <border>
      <left/>
      <right/>
      <top/>
      <bottom style="thin">
        <color indexed="64"/>
      </bottom>
      <diagonal/>
    </border>
  </borders>
  <cellStyleXfs count="5">
    <xf numFmtId="0" fontId="0" fillId="0" borderId="0"/>
    <xf numFmtId="164" fontId="1" fillId="0" borderId="0"/>
    <xf numFmtId="164" fontId="3" fillId="0" borderId="0"/>
    <xf numFmtId="164" fontId="1" fillId="0" borderId="0"/>
    <xf numFmtId="164" fontId="3" fillId="0" borderId="0"/>
  </cellStyleXfs>
  <cellXfs count="37">
    <xf numFmtId="0" fontId="0" fillId="0" borderId="0" xfId="0"/>
    <xf numFmtId="164" fontId="2" fillId="0" borderId="0" xfId="1" applyFont="1"/>
    <xf numFmtId="164" fontId="4" fillId="0" borderId="0" xfId="2" applyFont="1" applyAlignment="1">
      <alignment horizontal="left"/>
    </xf>
    <xf numFmtId="164" fontId="2" fillId="0" borderId="0" xfId="1" applyFont="1" applyAlignment="1">
      <alignment horizontal="left"/>
    </xf>
    <xf numFmtId="0" fontId="2" fillId="0" borderId="0" xfId="0" applyFont="1" applyAlignment="1">
      <alignment horizontal="center"/>
    </xf>
    <xf numFmtId="164" fontId="4" fillId="2" borderId="0" xfId="2"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164" fontId="2" fillId="0" borderId="0" xfId="1" applyFont="1" applyAlignment="1">
      <alignment vertical="top" wrapText="1"/>
    </xf>
    <xf numFmtId="165" fontId="4" fillId="2" borderId="0" xfId="3" applyNumberFormat="1" applyFont="1" applyFill="1" applyAlignment="1">
      <alignment horizontal="right" wrapText="1"/>
    </xf>
    <xf numFmtId="165" fontId="4" fillId="0" borderId="0" xfId="3" applyNumberFormat="1" applyFont="1" applyAlignment="1">
      <alignment horizontal="right" wrapText="1"/>
    </xf>
    <xf numFmtId="165" fontId="4" fillId="0" borderId="0" xfId="3" applyNumberFormat="1" applyFont="1" applyAlignment="1">
      <alignment horizontal="right"/>
    </xf>
    <xf numFmtId="1" fontId="4" fillId="2" borderId="0" xfId="1" applyNumberFormat="1" applyFont="1" applyFill="1" applyAlignment="1">
      <alignment horizontal="center"/>
    </xf>
    <xf numFmtId="166" fontId="2" fillId="0" borderId="0" xfId="3" applyNumberFormat="1" applyFont="1" applyAlignment="1">
      <alignment horizontal="right"/>
    </xf>
    <xf numFmtId="166" fontId="2" fillId="0" borderId="0" xfId="3" applyNumberFormat="1" applyFont="1" applyAlignment="1">
      <alignment horizontal="left"/>
    </xf>
    <xf numFmtId="167" fontId="2" fillId="0" borderId="0" xfId="3" applyNumberFormat="1" applyFont="1" applyAlignment="1">
      <alignment horizontal="right"/>
    </xf>
    <xf numFmtId="166" fontId="4" fillId="2" borderId="0" xfId="3" applyNumberFormat="1" applyFont="1" applyFill="1" applyAlignment="1">
      <alignment horizontal="right"/>
    </xf>
    <xf numFmtId="166" fontId="4" fillId="0" borderId="0" xfId="3" applyNumberFormat="1" applyFont="1" applyAlignment="1">
      <alignment horizontal="right"/>
    </xf>
    <xf numFmtId="167" fontId="4" fillId="2" borderId="0" xfId="3" applyNumberFormat="1" applyFont="1" applyFill="1" applyAlignment="1">
      <alignment horizontal="right"/>
    </xf>
    <xf numFmtId="164" fontId="4" fillId="0" borderId="0" xfId="2" applyFont="1" applyAlignment="1">
      <alignment horizontal="left" wrapText="1"/>
    </xf>
    <xf numFmtId="166" fontId="2" fillId="0" borderId="0" xfId="1" applyNumberFormat="1" applyFont="1"/>
    <xf numFmtId="168" fontId="2" fillId="0" borderId="0" xfId="1" applyNumberFormat="1" applyFont="1"/>
    <xf numFmtId="164" fontId="2" fillId="0" borderId="0" xfId="2" applyFont="1" applyAlignment="1">
      <alignment horizontal="left"/>
    </xf>
    <xf numFmtId="166" fontId="4" fillId="0" borderId="0" xfId="3" applyNumberFormat="1" applyFont="1" applyAlignment="1">
      <alignment horizontal="left"/>
    </xf>
    <xf numFmtId="167" fontId="4" fillId="0" borderId="0" xfId="3" applyNumberFormat="1" applyFont="1" applyAlignment="1">
      <alignment horizontal="right"/>
    </xf>
    <xf numFmtId="164" fontId="10" fillId="0" borderId="0" xfId="4" applyFont="1" applyAlignment="1">
      <alignment horizontal="left"/>
    </xf>
    <xf numFmtId="164" fontId="12" fillId="0" borderId="0" xfId="1" applyFont="1"/>
    <xf numFmtId="164" fontId="14" fillId="0" borderId="0" xfId="1" applyFont="1"/>
    <xf numFmtId="164" fontId="13" fillId="0" borderId="0" xfId="1" applyFont="1" applyAlignment="1">
      <alignment horizontal="left" vertical="center" wrapText="1"/>
    </xf>
    <xf numFmtId="164" fontId="4" fillId="2" borderId="1" xfId="2" applyFont="1" applyFill="1" applyBorder="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164" fontId="2" fillId="0" borderId="0" xfId="1" applyFont="1" applyAlignment="1">
      <alignment horizontal="justify" vertical="top" wrapText="1"/>
    </xf>
    <xf numFmtId="0" fontId="11" fillId="0" borderId="0" xfId="0" applyFont="1" applyAlignment="1">
      <alignment horizontal="justify" vertical="top" wrapText="1"/>
    </xf>
    <xf numFmtId="164" fontId="4" fillId="0" borderId="0" xfId="1" applyFont="1" applyAlignment="1">
      <alignment horizontal="justify" vertical="top" wrapText="1"/>
    </xf>
    <xf numFmtId="0" fontId="0" fillId="0" borderId="0" xfId="0" applyAlignment="1">
      <alignment horizontal="justify" vertical="top" wrapText="1"/>
    </xf>
    <xf numFmtId="164" fontId="13" fillId="0" borderId="0" xfId="1" applyFont="1" applyAlignment="1">
      <alignment horizontal="left" wrapText="1"/>
    </xf>
  </cellXfs>
  <cellStyles count="5">
    <cellStyle name="Normal" xfId="0" builtinId="0"/>
    <cellStyle name="Normal_TAB25F" xfId="4" xr:uid="{991F1405-E5EF-4373-9CA5-D842F8B17558}"/>
    <cellStyle name="Normal_Tab37" xfId="1" xr:uid="{84DFB7F9-CA16-4923-AFA2-35B46D86ACC9}"/>
    <cellStyle name="Normal_TAB37F" xfId="2" xr:uid="{EA63D5B6-5290-4AED-82F1-C8CDF772EEFE}"/>
    <cellStyle name="Normal_Tab39" xfId="3" xr:uid="{2822467B-F713-43ED-BD00-6DA542A0CE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DEC7E-14C7-4CED-AB02-552DDDFAE697}">
  <sheetPr syncVertical="1" syncRef="A1" transitionEvaluation="1"/>
  <dimension ref="A1:Q67"/>
  <sheetViews>
    <sheetView tabSelected="1" zoomScale="75" zoomScaleNormal="75" zoomScaleSheetLayoutView="70" workbookViewId="0"/>
  </sheetViews>
  <sheetFormatPr defaultColWidth="11" defaultRowHeight="12.75" customHeight="1"/>
  <cols>
    <col min="1" max="1" width="38.21875" style="1" customWidth="1"/>
    <col min="2" max="8" width="13.77734375" style="1" customWidth="1"/>
    <col min="9" max="9" width="14.77734375" style="1" customWidth="1"/>
    <col min="10" max="10" width="36.5546875" style="1" customWidth="1"/>
    <col min="11" max="11" width="15.21875" style="1" customWidth="1"/>
    <col min="12" max="12" width="16.21875" style="1" customWidth="1"/>
    <col min="13" max="17" width="15.21875" style="1" customWidth="1"/>
    <col min="18" max="16384" width="11" style="1"/>
  </cols>
  <sheetData>
    <row r="1" spans="1:17" ht="12.75" customHeight="1">
      <c r="A1" s="2" t="s">
        <v>0</v>
      </c>
    </row>
    <row r="2" spans="1:17" ht="11.25" customHeight="1">
      <c r="A2" s="3"/>
    </row>
    <row r="3" spans="1:17" ht="16.5" customHeight="1">
      <c r="B3" s="29" t="s">
        <v>63</v>
      </c>
      <c r="C3" s="30"/>
      <c r="D3" s="30"/>
      <c r="E3" s="30"/>
      <c r="F3" s="30"/>
      <c r="G3" s="30"/>
      <c r="H3" s="30"/>
      <c r="I3" s="4"/>
      <c r="J3" s="4"/>
      <c r="K3" s="29" t="s">
        <v>1</v>
      </c>
      <c r="L3" s="31"/>
      <c r="M3" s="31"/>
      <c r="N3" s="31"/>
      <c r="O3" s="31"/>
      <c r="P3" s="31"/>
      <c r="Q3" s="31"/>
    </row>
    <row r="4" spans="1:17" ht="16.5" customHeight="1">
      <c r="B4" s="5" t="s">
        <v>2</v>
      </c>
      <c r="C4" s="5" t="s">
        <v>2</v>
      </c>
      <c r="D4" s="6"/>
      <c r="E4" s="6"/>
      <c r="F4" s="6"/>
      <c r="G4" s="6"/>
      <c r="H4" s="6"/>
      <c r="I4" s="4"/>
      <c r="J4" s="4"/>
      <c r="K4" s="5" t="s">
        <v>2</v>
      </c>
      <c r="L4" s="5" t="s">
        <v>2</v>
      </c>
      <c r="M4" s="7"/>
      <c r="N4" s="7"/>
      <c r="O4" s="7"/>
      <c r="P4" s="7"/>
      <c r="Q4" s="7"/>
    </row>
    <row r="5" spans="1:17" s="8" customFormat="1" ht="15" customHeight="1">
      <c r="B5" s="9" t="s">
        <v>64</v>
      </c>
      <c r="C5" s="9" t="s">
        <v>65</v>
      </c>
      <c r="D5" s="9">
        <v>2019</v>
      </c>
      <c r="E5" s="9">
        <v>2020</v>
      </c>
      <c r="F5" s="9">
        <v>2021</v>
      </c>
      <c r="G5" s="9">
        <v>2022</v>
      </c>
      <c r="H5" s="9">
        <v>2023</v>
      </c>
      <c r="I5" s="10"/>
      <c r="J5" s="11"/>
      <c r="K5" s="12" t="s">
        <v>64</v>
      </c>
      <c r="L5" s="12" t="s">
        <v>65</v>
      </c>
      <c r="M5" s="12">
        <v>2019</v>
      </c>
      <c r="N5" s="12">
        <v>2020</v>
      </c>
      <c r="O5" s="12">
        <v>2021</v>
      </c>
      <c r="P5" s="12">
        <v>2022</v>
      </c>
      <c r="Q5" s="12">
        <v>2023</v>
      </c>
    </row>
    <row r="6" spans="1:17" ht="12.75" customHeight="1">
      <c r="A6" s="2" t="s">
        <v>3</v>
      </c>
      <c r="J6" s="2" t="str">
        <f>A6</f>
        <v>CAD BILATERAL</v>
      </c>
    </row>
    <row r="7" spans="1:17" ht="12.75" customHeight="1">
      <c r="A7" s="3" t="s">
        <v>4</v>
      </c>
      <c r="B7" s="13">
        <v>2077.8603330000001</v>
      </c>
      <c r="C7" s="13">
        <v>1940.358588004812</v>
      </c>
      <c r="D7" s="13">
        <v>3300.4934598884515</v>
      </c>
      <c r="E7" s="13">
        <v>4085.3251200005411</v>
      </c>
      <c r="F7" s="13">
        <v>3914.9181992656618</v>
      </c>
      <c r="G7" s="13">
        <v>3541.4939023645911</v>
      </c>
      <c r="H7" s="13">
        <v>3559.3786403105391</v>
      </c>
      <c r="I7" s="13"/>
      <c r="J7" s="14" t="str">
        <f>A7</f>
        <v>Allemagne</v>
      </c>
      <c r="K7" s="15">
        <v>24.709957347551239</v>
      </c>
      <c r="L7" s="15">
        <v>21.568429820548232</v>
      </c>
      <c r="M7" s="15">
        <v>17.18413183040612</v>
      </c>
      <c r="N7" s="15">
        <v>17.960407272572155</v>
      </c>
      <c r="O7" s="15">
        <v>17.453710137569907</v>
      </c>
      <c r="P7" s="15">
        <v>12.160574114275223</v>
      </c>
      <c r="Q7" s="15">
        <v>15.527440369536249</v>
      </c>
    </row>
    <row r="8" spans="1:17" ht="12.75" customHeight="1">
      <c r="A8" s="3" t="s">
        <v>5</v>
      </c>
      <c r="B8" s="13">
        <v>79.562689499999976</v>
      </c>
      <c r="C8" s="13">
        <v>298.33684449999998</v>
      </c>
      <c r="D8" s="13">
        <v>75.321029090119566</v>
      </c>
      <c r="E8" s="13">
        <v>59.572179464723035</v>
      </c>
      <c r="F8" s="13">
        <v>47.799037043499574</v>
      </c>
      <c r="G8" s="13">
        <v>50.930359528781402</v>
      </c>
      <c r="H8" s="13">
        <v>66.84220066779578</v>
      </c>
      <c r="I8" s="13"/>
      <c r="J8" s="14" t="str">
        <f t="shared" ref="J8:J58" si="0">A8</f>
        <v>Australie</v>
      </c>
      <c r="K8" s="15">
        <v>2.6721672538953691</v>
      </c>
      <c r="L8" s="15">
        <v>7.7928041104279808</v>
      </c>
      <c r="M8" s="15">
        <v>2.9548203882983572</v>
      </c>
      <c r="N8" s="15">
        <v>2.2378745079587778</v>
      </c>
      <c r="O8" s="15">
        <v>1.5632283940895608</v>
      </c>
      <c r="P8" s="15">
        <v>1.9457167647095506</v>
      </c>
      <c r="Q8" s="15">
        <v>2.441088062893912</v>
      </c>
    </row>
    <row r="9" spans="1:17" ht="12.75" customHeight="1">
      <c r="A9" s="3" t="s">
        <v>6</v>
      </c>
      <c r="B9" s="13">
        <v>264.66195349999998</v>
      </c>
      <c r="C9" s="13">
        <v>122.66373182112707</v>
      </c>
      <c r="D9" s="13">
        <v>70.641079451080159</v>
      </c>
      <c r="E9" s="13">
        <v>65.998314634094882</v>
      </c>
      <c r="F9" s="13">
        <v>93.592917746156573</v>
      </c>
      <c r="G9" s="13">
        <v>101.87124944789147</v>
      </c>
      <c r="H9" s="13">
        <v>100.58724581737172</v>
      </c>
      <c r="I9" s="13"/>
      <c r="J9" s="14" t="str">
        <f t="shared" si="0"/>
        <v>Autriche</v>
      </c>
      <c r="K9" s="15">
        <v>20.549679215787787</v>
      </c>
      <c r="L9" s="15">
        <v>22.847937508089906</v>
      </c>
      <c r="M9" s="15">
        <v>15.352815027753152</v>
      </c>
      <c r="N9" s="15">
        <v>11.856185514491607</v>
      </c>
      <c r="O9" s="15">
        <v>14.104150471425662</v>
      </c>
      <c r="P9" s="15">
        <v>9.5321116701911244</v>
      </c>
      <c r="Q9" s="15">
        <v>12.312825332020694</v>
      </c>
    </row>
    <row r="10" spans="1:17" ht="12.75" customHeight="1">
      <c r="A10" s="3" t="s">
        <v>7</v>
      </c>
      <c r="B10" s="13">
        <v>606.41044249999993</v>
      </c>
      <c r="C10" s="13">
        <v>648.27728250000007</v>
      </c>
      <c r="D10" s="13">
        <v>423.53531824274114</v>
      </c>
      <c r="E10" s="13">
        <v>437.1735776341348</v>
      </c>
      <c r="F10" s="13">
        <v>475.72496494860701</v>
      </c>
      <c r="G10" s="13">
        <v>438.16936642128502</v>
      </c>
      <c r="H10" s="13">
        <v>402.071791616957</v>
      </c>
      <c r="I10" s="13"/>
      <c r="J10" s="14" t="str">
        <f t="shared" si="0"/>
        <v>Belgique</v>
      </c>
      <c r="K10" s="15">
        <v>46.878509637245635</v>
      </c>
      <c r="L10" s="15">
        <v>47.892468102413545</v>
      </c>
      <c r="M10" s="15">
        <v>35.741617009675835</v>
      </c>
      <c r="N10" s="15">
        <v>37.346975454337503</v>
      </c>
      <c r="O10" s="15">
        <v>37.366937587272261</v>
      </c>
      <c r="P10" s="15">
        <v>33.430510415234558</v>
      </c>
      <c r="Q10" s="15">
        <v>30.72269343801284</v>
      </c>
    </row>
    <row r="11" spans="1:17" ht="12.75" customHeight="1">
      <c r="A11" s="3" t="s">
        <v>8</v>
      </c>
      <c r="B11" s="13">
        <v>1141.3267949999997</v>
      </c>
      <c r="C11" s="13">
        <v>1534.1050497391152</v>
      </c>
      <c r="D11" s="13">
        <v>951.17649061460202</v>
      </c>
      <c r="E11" s="13">
        <v>1079.291203067698</v>
      </c>
      <c r="F11" s="13">
        <v>1159.12769002031</v>
      </c>
      <c r="G11" s="13">
        <v>1297.242698010295</v>
      </c>
      <c r="H11" s="13">
        <v>1168.3899669362952</v>
      </c>
      <c r="I11" s="13"/>
      <c r="J11" s="14" t="str">
        <f t="shared" si="0"/>
        <v>Canada</v>
      </c>
      <c r="K11" s="15">
        <v>30.987196219938379</v>
      </c>
      <c r="L11" s="15">
        <v>41.195496688404546</v>
      </c>
      <c r="M11" s="15">
        <v>26.309876855879477</v>
      </c>
      <c r="N11" s="15">
        <v>24.32973223147037</v>
      </c>
      <c r="O11" s="15">
        <v>22.985594352188869</v>
      </c>
      <c r="P11" s="15">
        <v>18.311854445008407</v>
      </c>
      <c r="Q11" s="15">
        <v>16.026721004536512</v>
      </c>
    </row>
    <row r="12" spans="1:17" ht="12.75" customHeight="1">
      <c r="A12" s="3" t="s">
        <v>9</v>
      </c>
      <c r="B12" s="13">
        <v>71.278966999999994</v>
      </c>
      <c r="C12" s="13">
        <v>237.80406875460224</v>
      </c>
      <c r="D12" s="13">
        <v>396.87125942544412</v>
      </c>
      <c r="E12" s="13">
        <v>385.47204968654637</v>
      </c>
      <c r="F12" s="13">
        <v>425.18691664444435</v>
      </c>
      <c r="G12" s="13">
        <v>517.55635499999994</v>
      </c>
      <c r="H12" s="13">
        <v>397.71199112377604</v>
      </c>
      <c r="I12" s="13"/>
      <c r="J12" s="14" t="str">
        <f t="shared" si="0"/>
        <v>Corée</v>
      </c>
      <c r="K12" s="15">
        <v>13.681360807636558</v>
      </c>
      <c r="L12" s="15">
        <v>19.330616735254612</v>
      </c>
      <c r="M12" s="15">
        <v>21.774048913185954</v>
      </c>
      <c r="N12" s="15">
        <v>22.589987794049168</v>
      </c>
      <c r="O12" s="15">
        <v>20.656249715180156</v>
      </c>
      <c r="P12" s="15">
        <v>22.330305195602758</v>
      </c>
      <c r="Q12" s="15">
        <v>16.289228762172186</v>
      </c>
    </row>
    <row r="13" spans="1:17" ht="12.75" customHeight="1">
      <c r="A13" s="3" t="s">
        <v>10</v>
      </c>
      <c r="B13" s="13">
        <v>825.93997200000013</v>
      </c>
      <c r="C13" s="13">
        <v>664.96316115181185</v>
      </c>
      <c r="D13" s="13">
        <v>449.40587941991805</v>
      </c>
      <c r="E13" s="13">
        <v>519.48573097087308</v>
      </c>
      <c r="F13" s="13">
        <v>590.61261444835702</v>
      </c>
      <c r="G13" s="13">
        <v>428.71348511907297</v>
      </c>
      <c r="H13" s="13">
        <v>482.06749282614453</v>
      </c>
      <c r="I13" s="13"/>
      <c r="J13" s="14" t="str">
        <f t="shared" si="0"/>
        <v>Danemark</v>
      </c>
      <c r="K13" s="15">
        <v>48.070130328808112</v>
      </c>
      <c r="L13" s="15">
        <v>33.811895046544876</v>
      </c>
      <c r="M13" s="15">
        <v>23.711812459571835</v>
      </c>
      <c r="N13" s="15">
        <v>29.956479635218731</v>
      </c>
      <c r="O13" s="15">
        <v>30.652688969847432</v>
      </c>
      <c r="P13" s="15">
        <v>21.362569522382362</v>
      </c>
      <c r="Q13" s="15">
        <v>23.342245888909879</v>
      </c>
    </row>
    <row r="14" spans="1:17" ht="12.75" customHeight="1">
      <c r="A14" s="3" t="s">
        <v>11</v>
      </c>
      <c r="B14" s="13">
        <v>516.38935700000002</v>
      </c>
      <c r="C14" s="13">
        <v>284.20444250000003</v>
      </c>
      <c r="D14" s="13">
        <v>113.70868331365291</v>
      </c>
      <c r="E14" s="13">
        <v>105.61735784867187</v>
      </c>
      <c r="F14" s="13">
        <v>187.97834958063063</v>
      </c>
      <c r="G14" s="13">
        <v>152.77665545290674</v>
      </c>
      <c r="H14" s="13">
        <v>136.70860333831877</v>
      </c>
      <c r="I14" s="13"/>
      <c r="J14" s="14" t="str">
        <f t="shared" si="0"/>
        <v>Espagne</v>
      </c>
      <c r="K14" s="15">
        <v>14.812504116200129</v>
      </c>
      <c r="L14" s="15">
        <v>32.221970754822578</v>
      </c>
      <c r="M14" s="15">
        <v>13.953142762090993</v>
      </c>
      <c r="N14" s="15">
        <v>14.547298526158894</v>
      </c>
      <c r="O14" s="15">
        <v>17.338514317080417</v>
      </c>
      <c r="P14" s="15">
        <v>7.7257122211032803</v>
      </c>
      <c r="Q14" s="15">
        <v>11.48679367459494</v>
      </c>
    </row>
    <row r="15" spans="1:17" ht="12.75" customHeight="1">
      <c r="A15" s="3" t="s">
        <v>12</v>
      </c>
      <c r="B15" s="13">
        <v>6.1968500000000003E-2</v>
      </c>
      <c r="C15" s="13">
        <v>0.68840339259345806</v>
      </c>
      <c r="D15" s="13">
        <v>0.23881625428188935</v>
      </c>
      <c r="E15" s="13">
        <v>1.2360429447715184</v>
      </c>
      <c r="F15" s="13">
        <v>5.4396376682456635</v>
      </c>
      <c r="G15" s="13">
        <v>1.4996319276474916</v>
      </c>
      <c r="H15" s="13">
        <v>1.9966144475208554</v>
      </c>
      <c r="I15" s="13"/>
      <c r="J15" s="3" t="s">
        <v>12</v>
      </c>
      <c r="K15" s="15">
        <v>3.4482806591122066</v>
      </c>
      <c r="L15" s="15">
        <v>5.7821271853784317</v>
      </c>
      <c r="M15" s="15">
        <v>1.2420174640939059</v>
      </c>
      <c r="N15" s="15">
        <v>6.5369674045083634</v>
      </c>
      <c r="O15" s="15">
        <v>21.257504768272302</v>
      </c>
      <c r="P15" s="15">
        <v>0.95833333333333293</v>
      </c>
      <c r="Q15" s="15">
        <v>3.7541359124459146</v>
      </c>
    </row>
    <row r="16" spans="1:17" ht="12.75" customHeight="1">
      <c r="A16" s="3" t="s">
        <v>13</v>
      </c>
      <c r="B16" s="13">
        <v>7610.4452665000008</v>
      </c>
      <c r="C16" s="13">
        <v>11242.4460535</v>
      </c>
      <c r="D16" s="13">
        <v>10661.218566684242</v>
      </c>
      <c r="E16" s="13">
        <v>12642.873991919731</v>
      </c>
      <c r="F16" s="13">
        <v>14338.453427056749</v>
      </c>
      <c r="G16" s="13">
        <v>12444.572019000001</v>
      </c>
      <c r="H16" s="13">
        <v>14428.975575499002</v>
      </c>
      <c r="I16" s="13"/>
      <c r="J16" s="14" t="str">
        <f t="shared" si="0"/>
        <v>États-Unis</v>
      </c>
      <c r="K16" s="15">
        <v>26.581163415250586</v>
      </c>
      <c r="L16" s="15">
        <v>34.592291679820164</v>
      </c>
      <c r="M16" s="15">
        <v>32.620079815212769</v>
      </c>
      <c r="N16" s="15">
        <v>38.059648398906589</v>
      </c>
      <c r="O16" s="15">
        <v>35.039342565917693</v>
      </c>
      <c r="P16" s="15">
        <v>23.930963564555359</v>
      </c>
      <c r="Q16" s="15">
        <v>25.418043485125114</v>
      </c>
    </row>
    <row r="17" spans="1:17" ht="12.75" customHeight="1">
      <c r="A17" s="3" t="s">
        <v>14</v>
      </c>
      <c r="B17" s="13">
        <v>212.27366749999996</v>
      </c>
      <c r="C17" s="13">
        <v>263.232542660489</v>
      </c>
      <c r="D17" s="13">
        <v>143.32849055413126</v>
      </c>
      <c r="E17" s="13">
        <v>150.94762255112389</v>
      </c>
      <c r="F17" s="13">
        <v>153.80231443014429</v>
      </c>
      <c r="G17" s="13">
        <v>142.42200360687559</v>
      </c>
      <c r="H17" s="13">
        <v>139.53925122453029</v>
      </c>
      <c r="I17" s="13"/>
      <c r="J17" s="14" t="str">
        <f t="shared" si="0"/>
        <v>Finlande</v>
      </c>
      <c r="K17" s="15">
        <v>33.581883280118433</v>
      </c>
      <c r="L17" s="15">
        <v>33.825395654079685</v>
      </c>
      <c r="M17" s="15">
        <v>23.175664829253812</v>
      </c>
      <c r="N17" s="15">
        <v>23.1740735132651</v>
      </c>
      <c r="O17" s="15">
        <v>23.374397332783538</v>
      </c>
      <c r="P17" s="15">
        <v>13.977262568183136</v>
      </c>
      <c r="Q17" s="15">
        <v>16.706742302341116</v>
      </c>
    </row>
    <row r="18" spans="1:17" ht="12.75" customHeight="1">
      <c r="A18" s="3" t="s">
        <v>15</v>
      </c>
      <c r="B18" s="13">
        <v>2422.7490724999998</v>
      </c>
      <c r="C18" s="13">
        <v>2381.3423779999998</v>
      </c>
      <c r="D18" s="13">
        <v>2355.3164392648182</v>
      </c>
      <c r="E18" s="13">
        <v>3363.7069379749018</v>
      </c>
      <c r="F18" s="13">
        <v>2568.1176217174093</v>
      </c>
      <c r="G18" s="13">
        <v>3388.3498509637534</v>
      </c>
      <c r="H18" s="13">
        <v>2669.1752690303897</v>
      </c>
      <c r="I18" s="13"/>
      <c r="J18" s="14" t="str">
        <f t="shared" si="0"/>
        <v>France</v>
      </c>
      <c r="K18" s="15">
        <v>42.144908687184184</v>
      </c>
      <c r="L18" s="15">
        <v>35.375079457962265</v>
      </c>
      <c r="M18" s="15">
        <v>31.363310026204243</v>
      </c>
      <c r="N18" s="15">
        <v>32.711200779189909</v>
      </c>
      <c r="O18" s="15">
        <v>27.201094901511297</v>
      </c>
      <c r="P18" s="15">
        <v>32.167482184339647</v>
      </c>
      <c r="Q18" s="15">
        <v>31.115336894996805</v>
      </c>
    </row>
    <row r="19" spans="1:17" ht="12.75" customHeight="1">
      <c r="A19" s="3" t="s">
        <v>16</v>
      </c>
      <c r="B19" s="13">
        <v>16.974223500000004</v>
      </c>
      <c r="C19" s="13">
        <v>3.1149569512786837</v>
      </c>
      <c r="D19" s="13">
        <v>0.41357295797816523</v>
      </c>
      <c r="E19" s="13">
        <v>3.8465226036091635E-2</v>
      </c>
      <c r="F19" s="13">
        <v>9.0093859936648002</v>
      </c>
      <c r="G19" s="13">
        <v>16.402503557682191</v>
      </c>
      <c r="H19" s="13">
        <v>0.19059845977433734</v>
      </c>
      <c r="I19" s="13"/>
      <c r="J19" s="14" t="str">
        <f t="shared" si="0"/>
        <v>Grèce</v>
      </c>
      <c r="K19" s="15">
        <v>7.402090409762037</v>
      </c>
      <c r="L19" s="15">
        <v>4.8631898505295341</v>
      </c>
      <c r="M19" s="15">
        <v>0.28326497568017994</v>
      </c>
      <c r="N19" s="15">
        <v>4.4757620621856051E-2</v>
      </c>
      <c r="O19" s="15">
        <v>12.638452755315003</v>
      </c>
      <c r="P19" s="15">
        <v>16.408520022731444</v>
      </c>
      <c r="Q19" s="15">
        <v>0.36130641303459582</v>
      </c>
    </row>
    <row r="20" spans="1:17" ht="12.75" customHeight="1">
      <c r="A20" s="3" t="s">
        <v>17</v>
      </c>
      <c r="B20" s="13">
        <v>8.5174579999999978</v>
      </c>
      <c r="C20" s="13">
        <v>0.77989649999999999</v>
      </c>
      <c r="D20" s="13">
        <v>21.16155270413655</v>
      </c>
      <c r="E20" s="13">
        <v>12.429868941432231</v>
      </c>
      <c r="F20" s="13">
        <v>45.035390822455376</v>
      </c>
      <c r="G20" s="13">
        <v>24.56955126568025</v>
      </c>
      <c r="H20" s="13">
        <v>20.187013937480241</v>
      </c>
      <c r="I20" s="13"/>
      <c r="J20" s="14" t="str">
        <f t="shared" si="0"/>
        <v>Hongrie</v>
      </c>
      <c r="K20" s="15">
        <v>37.962394157715828</v>
      </c>
      <c r="L20" s="15">
        <v>2.8605119499440805</v>
      </c>
      <c r="M20" s="15">
        <v>13.195503287477544</v>
      </c>
      <c r="N20" s="15">
        <v>5.4610826604340268</v>
      </c>
      <c r="O20" s="15">
        <v>19.090208489399689</v>
      </c>
      <c r="P20" s="15">
        <v>8.34794927101842</v>
      </c>
      <c r="Q20" s="15">
        <v>11.880679752919116</v>
      </c>
    </row>
    <row r="21" spans="1:17" ht="12.75" customHeight="1">
      <c r="A21" s="3" t="s">
        <v>18</v>
      </c>
      <c r="B21" s="13">
        <v>491.02907500000003</v>
      </c>
      <c r="C21" s="13">
        <v>348.80564800000002</v>
      </c>
      <c r="D21" s="13">
        <v>262.6925795116606</v>
      </c>
      <c r="E21" s="13">
        <v>262.21039864765947</v>
      </c>
      <c r="F21" s="13">
        <v>267.16336411935924</v>
      </c>
      <c r="G21" s="13">
        <v>291.46935427399416</v>
      </c>
      <c r="H21" s="13">
        <v>269.9317762010952</v>
      </c>
      <c r="I21" s="13"/>
      <c r="J21" s="14" t="str">
        <f t="shared" si="0"/>
        <v>Irlande</v>
      </c>
      <c r="K21" s="15">
        <v>61.981717884605878</v>
      </c>
      <c r="L21" s="15">
        <v>64.072448601164993</v>
      </c>
      <c r="M21" s="15">
        <v>46.033216156427777</v>
      </c>
      <c r="N21" s="15">
        <v>50.747838716433911</v>
      </c>
      <c r="O21" s="15">
        <v>45.290706722460293</v>
      </c>
      <c r="P21" s="15">
        <v>15.975376295294868</v>
      </c>
      <c r="Q21" s="15">
        <v>13.398344686615951</v>
      </c>
    </row>
    <row r="22" spans="1:17" ht="12.75" customHeight="1">
      <c r="A22" s="3" t="s">
        <v>19</v>
      </c>
      <c r="B22" s="13">
        <v>16.381553</v>
      </c>
      <c r="C22" s="13">
        <v>17.118395</v>
      </c>
      <c r="D22" s="13">
        <v>21.087463556997793</v>
      </c>
      <c r="E22" s="13">
        <v>20.693968414520135</v>
      </c>
      <c r="F22" s="13">
        <v>21.217232818633253</v>
      </c>
      <c r="G22" s="13">
        <v>26.45509112341</v>
      </c>
      <c r="H22" s="13">
        <v>26.078767065259157</v>
      </c>
      <c r="I22" s="13"/>
      <c r="J22" s="14" t="str">
        <f t="shared" si="0"/>
        <v>Islande</v>
      </c>
      <c r="K22" s="15">
        <v>39.241573967336883</v>
      </c>
      <c r="L22" s="15">
        <v>49.832424218721265</v>
      </c>
      <c r="M22" s="15">
        <v>37.543830159268701</v>
      </c>
      <c r="N22" s="15">
        <v>38.638892472871497</v>
      </c>
      <c r="O22" s="15">
        <v>36.052575221163629</v>
      </c>
      <c r="P22" s="15">
        <v>36.535698590627604</v>
      </c>
      <c r="Q22" s="15">
        <v>31.358483520074508</v>
      </c>
    </row>
    <row r="23" spans="1:17" ht="12.75" customHeight="1">
      <c r="A23" s="3" t="s">
        <v>20</v>
      </c>
      <c r="B23" s="13">
        <v>263.35931799999997</v>
      </c>
      <c r="C23" s="13">
        <v>98.112598500000018</v>
      </c>
      <c r="D23" s="13">
        <v>261.4531654474398</v>
      </c>
      <c r="E23" s="13">
        <v>226.74776067494767</v>
      </c>
      <c r="F23" s="13">
        <v>787.44824820700615</v>
      </c>
      <c r="G23" s="13">
        <v>334.9051440754024</v>
      </c>
      <c r="H23" s="13">
        <v>297.34678238014988</v>
      </c>
      <c r="I23" s="13"/>
      <c r="J23" s="14" t="str">
        <f t="shared" si="0"/>
        <v>Italie</v>
      </c>
      <c r="K23" s="15">
        <v>18.838345643703583</v>
      </c>
      <c r="L23" s="15">
        <v>14.541515028496743</v>
      </c>
      <c r="M23" s="15">
        <v>19.869321053574598</v>
      </c>
      <c r="N23" s="15">
        <v>18.081280909035875</v>
      </c>
      <c r="O23" s="15">
        <v>34.559631751745705</v>
      </c>
      <c r="P23" s="15">
        <v>9.9304546490341945</v>
      </c>
      <c r="Q23" s="15">
        <v>12.047152400369653</v>
      </c>
    </row>
    <row r="24" spans="1:17" ht="12.75" customHeight="1">
      <c r="A24" s="3" t="s">
        <v>21</v>
      </c>
      <c r="B24" s="13">
        <v>1259.1755815000001</v>
      </c>
      <c r="C24" s="13">
        <v>1318.6938804999998</v>
      </c>
      <c r="D24" s="13">
        <v>1117.4541300403944</v>
      </c>
      <c r="E24" s="13">
        <v>977.82499916992106</v>
      </c>
      <c r="F24" s="13">
        <v>1344.1541410580237</v>
      </c>
      <c r="G24" s="13">
        <v>1401.4171400133682</v>
      </c>
      <c r="H24" s="13">
        <v>1474.882331760635</v>
      </c>
      <c r="I24" s="13"/>
      <c r="J24" s="14" t="str">
        <f t="shared" si="0"/>
        <v>Japon</v>
      </c>
      <c r="K24" s="15">
        <v>23.84980644630733</v>
      </c>
      <c r="L24" s="15">
        <v>24.452148799858001</v>
      </c>
      <c r="M24" s="15">
        <v>17.833677532985433</v>
      </c>
      <c r="N24" s="15">
        <v>11.745138842161492</v>
      </c>
      <c r="O24" s="15">
        <v>13.809206254054452</v>
      </c>
      <c r="P24" s="15">
        <v>9.9215827878456349</v>
      </c>
      <c r="Q24" s="15">
        <v>9.4925022130135019</v>
      </c>
    </row>
    <row r="25" spans="1:17" ht="12.75" customHeight="1">
      <c r="A25" s="3" t="s">
        <v>22</v>
      </c>
      <c r="B25" s="13">
        <v>0.29247649999999997</v>
      </c>
      <c r="C25" s="13">
        <v>0</v>
      </c>
      <c r="D25" s="13">
        <v>0.21550292278351371</v>
      </c>
      <c r="E25" s="13">
        <v>0.48613918933355821</v>
      </c>
      <c r="F25" s="13">
        <v>0.62815523732084777</v>
      </c>
      <c r="G25" s="13">
        <v>1.8542328320538441</v>
      </c>
      <c r="H25" s="13">
        <v>1.4416155467695542</v>
      </c>
      <c r="I25" s="13"/>
      <c r="J25" s="3" t="s">
        <v>22</v>
      </c>
      <c r="K25" s="15">
        <v>1.2192213835180998</v>
      </c>
      <c r="L25" s="15" t="s">
        <v>66</v>
      </c>
      <c r="M25" s="15">
        <v>1.5105818080775724</v>
      </c>
      <c r="N25" s="15">
        <v>3.5663093963434145</v>
      </c>
      <c r="O25" s="15">
        <v>3.1418913255267995</v>
      </c>
      <c r="P25" s="15">
        <v>1.3182193799533977</v>
      </c>
      <c r="Q25" s="15">
        <v>1.2884605309141344</v>
      </c>
    </row>
    <row r="26" spans="1:17" ht="12.75" customHeight="1">
      <c r="A26" s="3" t="s">
        <v>23</v>
      </c>
      <c r="B26" s="13">
        <v>137.553493</v>
      </c>
      <c r="C26" s="13">
        <v>112.96909756120198</v>
      </c>
      <c r="D26" s="13">
        <v>169.64484322075941</v>
      </c>
      <c r="E26" s="13">
        <v>140.68157884328002</v>
      </c>
      <c r="F26" s="13">
        <v>162.4221104135529</v>
      </c>
      <c r="G26" s="13">
        <v>170.07089925333887</v>
      </c>
      <c r="H26" s="13">
        <v>150.4341244045863</v>
      </c>
      <c r="I26" s="13"/>
      <c r="J26" s="14" t="str">
        <f t="shared" si="0"/>
        <v>Luxembourg</v>
      </c>
      <c r="K26" s="15">
        <v>45.87106404188421</v>
      </c>
      <c r="L26" s="15">
        <v>37.983777570640683</v>
      </c>
      <c r="M26" s="15">
        <v>42.939818680232491</v>
      </c>
      <c r="N26" s="15">
        <v>44.866811563845651</v>
      </c>
      <c r="O26" s="15">
        <v>47.205193422410446</v>
      </c>
      <c r="P26" s="15">
        <v>45.564126530557452</v>
      </c>
      <c r="Q26" s="15">
        <v>39.641925427202871</v>
      </c>
    </row>
    <row r="27" spans="1:17" ht="12.75" customHeight="1">
      <c r="A27" s="3" t="s">
        <v>24</v>
      </c>
      <c r="B27" s="13">
        <v>995.34433149999995</v>
      </c>
      <c r="C27" s="13">
        <v>856.67675949113823</v>
      </c>
      <c r="D27" s="13">
        <v>956.01262034820661</v>
      </c>
      <c r="E27" s="13">
        <v>1019.2237116252088</v>
      </c>
      <c r="F27" s="13">
        <v>870.79916863294807</v>
      </c>
      <c r="G27" s="13">
        <v>743.88485050296993</v>
      </c>
      <c r="H27" s="13">
        <v>1073.5063061823614</v>
      </c>
      <c r="I27" s="13"/>
      <c r="J27" s="14" t="str">
        <f t="shared" si="0"/>
        <v>Norvège</v>
      </c>
      <c r="K27" s="15">
        <v>29.954315406296733</v>
      </c>
      <c r="L27" s="15">
        <v>22.928436138582743</v>
      </c>
      <c r="M27" s="15">
        <v>21.61078876735111</v>
      </c>
      <c r="N27" s="15">
        <v>22.330312797972272</v>
      </c>
      <c r="O27" s="15">
        <v>21.844146049469142</v>
      </c>
      <c r="P27" s="15">
        <v>18.108188044949738</v>
      </c>
      <c r="Q27" s="15">
        <v>20.632904440469765</v>
      </c>
    </row>
    <row r="28" spans="1:17" ht="12.75" customHeight="1">
      <c r="A28" s="3" t="s">
        <v>25</v>
      </c>
      <c r="B28" s="13">
        <v>15.167624</v>
      </c>
      <c r="C28" s="13">
        <v>5.0828999999999995</v>
      </c>
      <c r="D28" s="13">
        <v>13.140297255379224</v>
      </c>
      <c r="E28" s="13">
        <v>10.844268477448875</v>
      </c>
      <c r="F28" s="13">
        <v>14.334930862169582</v>
      </c>
      <c r="G28" s="13">
        <v>8.1991352072506043</v>
      </c>
      <c r="H28" s="13">
        <v>14.248687739520587</v>
      </c>
      <c r="I28" s="13"/>
      <c r="J28" s="14" t="str">
        <f t="shared" si="0"/>
        <v>Nouvelle-Zélande</v>
      </c>
      <c r="K28" s="15">
        <v>4.6650948770273812</v>
      </c>
      <c r="L28" s="15">
        <v>1.4523065358024254</v>
      </c>
      <c r="M28" s="15">
        <v>2.7036082363972618</v>
      </c>
      <c r="N28" s="15">
        <v>2.3578766619704017</v>
      </c>
      <c r="O28" s="15">
        <v>2.6186952099726728</v>
      </c>
      <c r="P28" s="15">
        <v>1.9736200636155061</v>
      </c>
      <c r="Q28" s="15">
        <v>2.2832881121346031</v>
      </c>
    </row>
    <row r="29" spans="1:17" ht="12.75" customHeight="1">
      <c r="A29" s="3" t="s">
        <v>26</v>
      </c>
      <c r="B29" s="13">
        <v>1443.5406064999997</v>
      </c>
      <c r="C29" s="13">
        <v>743.77274539554571</v>
      </c>
      <c r="D29" s="13">
        <v>678.12229976135086</v>
      </c>
      <c r="E29" s="13">
        <v>670.83297940393072</v>
      </c>
      <c r="F29" s="13">
        <v>711.88389835976091</v>
      </c>
      <c r="G29" s="13">
        <v>668.11652959140713</v>
      </c>
      <c r="H29" s="13">
        <v>709.06558510351203</v>
      </c>
      <c r="I29" s="13"/>
      <c r="J29" s="14" t="str">
        <f t="shared" si="0"/>
        <v>Pays-Bas</v>
      </c>
      <c r="K29" s="15">
        <v>31.014928516843565</v>
      </c>
      <c r="L29" s="15">
        <v>20.347068725070024</v>
      </c>
      <c r="M29" s="15">
        <v>19.226413773510941</v>
      </c>
      <c r="N29" s="15">
        <v>18.257314430784742</v>
      </c>
      <c r="O29" s="15">
        <v>20.122714672976052</v>
      </c>
      <c r="P29" s="15">
        <v>15.597081713810271</v>
      </c>
      <c r="Q29" s="15">
        <v>15.642099588764854</v>
      </c>
    </row>
    <row r="30" spans="1:17" ht="12.75" customHeight="1">
      <c r="A30" s="3" t="s">
        <v>27</v>
      </c>
      <c r="B30" s="13">
        <v>6.9072054999999999</v>
      </c>
      <c r="C30" s="13">
        <v>21.513678500000008</v>
      </c>
      <c r="D30" s="13">
        <v>23.451273143902114</v>
      </c>
      <c r="E30" s="13">
        <v>18.059322806210734</v>
      </c>
      <c r="F30" s="13">
        <v>19.405472545544317</v>
      </c>
      <c r="G30" s="13">
        <v>7.1355405840309354</v>
      </c>
      <c r="H30" s="13">
        <v>4.3190525794863817</v>
      </c>
      <c r="I30" s="13"/>
      <c r="J30" s="14" t="str">
        <f t="shared" si="0"/>
        <v>Pologne</v>
      </c>
      <c r="K30" s="15">
        <v>6.4556723724579417</v>
      </c>
      <c r="L30" s="15">
        <v>19.110473744300357</v>
      </c>
      <c r="M30" s="15">
        <v>10.803475428320878</v>
      </c>
      <c r="N30" s="15">
        <v>8.5439973149853241</v>
      </c>
      <c r="O30" s="15">
        <v>7.1550777971544468</v>
      </c>
      <c r="P30" s="15">
        <v>0.26944722690403383</v>
      </c>
      <c r="Q30" s="15">
        <v>0.29977110037516891</v>
      </c>
    </row>
    <row r="31" spans="1:17" ht="12.75" customHeight="1">
      <c r="A31" s="3" t="s">
        <v>28</v>
      </c>
      <c r="B31" s="13">
        <v>127.9218405</v>
      </c>
      <c r="C31" s="13">
        <v>259.38806350985061</v>
      </c>
      <c r="D31" s="13">
        <v>65.138893738572435</v>
      </c>
      <c r="E31" s="13">
        <v>64.546430784330624</v>
      </c>
      <c r="F31" s="13">
        <v>91.409007204389155</v>
      </c>
      <c r="G31" s="13">
        <v>25.313260658323692</v>
      </c>
      <c r="H31" s="13">
        <v>47.2338235390515</v>
      </c>
      <c r="I31" s="13"/>
      <c r="J31" s="14" t="str">
        <f t="shared" si="0"/>
        <v>Portugal</v>
      </c>
      <c r="K31" s="15">
        <v>42.694044099996788</v>
      </c>
      <c r="L31" s="15">
        <v>75.594110641648413</v>
      </c>
      <c r="M31" s="15">
        <v>54.311068575914746</v>
      </c>
      <c r="N31" s="15">
        <v>39.190092376579386</v>
      </c>
      <c r="O31" s="15">
        <v>63.125990096867589</v>
      </c>
      <c r="P31" s="15">
        <v>19.815046092078454</v>
      </c>
      <c r="Q31" s="15">
        <v>36.438568254020247</v>
      </c>
    </row>
    <row r="32" spans="1:17" ht="12.75" customHeight="1">
      <c r="A32" s="3" t="s">
        <v>29</v>
      </c>
      <c r="B32" s="13">
        <v>21.449329000000002</v>
      </c>
      <c r="C32" s="13">
        <v>2.4426889999999997</v>
      </c>
      <c r="D32" s="13">
        <v>3.4670139956595736</v>
      </c>
      <c r="E32" s="13">
        <v>2.9648304746217846</v>
      </c>
      <c r="F32" s="13">
        <v>7.4437402793535998</v>
      </c>
      <c r="G32" s="13">
        <v>2.1528762219999997</v>
      </c>
      <c r="H32" s="13">
        <v>1.4052561681055584</v>
      </c>
      <c r="I32" s="13"/>
      <c r="J32" s="14" t="str">
        <f t="shared" si="0"/>
        <v>République slovaque</v>
      </c>
      <c r="K32" s="15">
        <v>63.806140469671021</v>
      </c>
      <c r="L32" s="15">
        <v>14.559334517341313</v>
      </c>
      <c r="M32" s="15">
        <v>15.219581951755949</v>
      </c>
      <c r="N32" s="15">
        <v>7.8171288908119942</v>
      </c>
      <c r="O32" s="15">
        <v>21.28451945061547</v>
      </c>
      <c r="P32" s="15">
        <v>5.2997471511867635</v>
      </c>
      <c r="Q32" s="15">
        <v>4.1206180522810438</v>
      </c>
    </row>
    <row r="33" spans="1:17" ht="12.75" customHeight="1">
      <c r="A33" s="3" t="s">
        <v>30</v>
      </c>
      <c r="B33" s="13">
        <v>2074.4754459999999</v>
      </c>
      <c r="C33" s="13">
        <v>3255.073668614702</v>
      </c>
      <c r="D33" s="13">
        <v>3406.8267609827089</v>
      </c>
      <c r="E33" s="13">
        <v>2843.7389739211649</v>
      </c>
      <c r="F33" s="13">
        <v>1819.1279577318744</v>
      </c>
      <c r="G33" s="13">
        <v>1211.1270257279705</v>
      </c>
      <c r="H33" s="13">
        <v>1111.4835644475388</v>
      </c>
      <c r="I33" s="13"/>
      <c r="J33" s="14" t="str">
        <f t="shared" si="0"/>
        <v>Royaume-Uni</v>
      </c>
      <c r="K33" s="15">
        <v>36.333535055204862</v>
      </c>
      <c r="L33" s="15">
        <v>35.255445832468219</v>
      </c>
      <c r="M33" s="15">
        <v>24.108397825893466</v>
      </c>
      <c r="N33" s="15">
        <v>23.071544335867728</v>
      </c>
      <c r="O33" s="15">
        <v>19.640344077863563</v>
      </c>
      <c r="P33" s="15">
        <v>10.192420502536956</v>
      </c>
      <c r="Q33" s="15">
        <v>9.9898279223387387</v>
      </c>
    </row>
    <row r="34" spans="1:17" ht="12.75" customHeight="1">
      <c r="A34" s="3" t="s">
        <v>31</v>
      </c>
      <c r="B34" s="13">
        <v>0.34152599999999994</v>
      </c>
      <c r="C34" s="13">
        <v>1.0076835</v>
      </c>
      <c r="D34" s="13">
        <v>0.52221188706931154</v>
      </c>
      <c r="E34" s="13">
        <v>0.25688053637671732</v>
      </c>
      <c r="F34" s="13">
        <v>8.2370845045223735</v>
      </c>
      <c r="G34" s="13">
        <v>23.019242770007356</v>
      </c>
      <c r="H34" s="13">
        <v>1.8718551942877903</v>
      </c>
      <c r="I34" s="13"/>
      <c r="J34" s="14" t="str">
        <f t="shared" si="0"/>
        <v>Slovénie</v>
      </c>
      <c r="K34" s="15">
        <v>2.525581863812949</v>
      </c>
      <c r="L34" s="15">
        <v>5.2183199950348245</v>
      </c>
      <c r="M34" s="15">
        <v>1.6175972689393758</v>
      </c>
      <c r="N34" s="15">
        <v>0.84314758303937565</v>
      </c>
      <c r="O34" s="15">
        <v>18.880345092048159</v>
      </c>
      <c r="P34" s="15">
        <v>26.345354450389074</v>
      </c>
      <c r="Q34" s="15">
        <v>3.083484366607482</v>
      </c>
    </row>
    <row r="35" spans="1:17" ht="12.75" customHeight="1">
      <c r="A35" s="3" t="s">
        <v>32</v>
      </c>
      <c r="B35" s="13">
        <v>844.78944150000007</v>
      </c>
      <c r="C35" s="13">
        <v>849.19360684997457</v>
      </c>
      <c r="D35" s="13">
        <v>1089.0046011218417</v>
      </c>
      <c r="E35" s="13">
        <v>1083.9970262495026</v>
      </c>
      <c r="F35" s="13">
        <v>1233.2264296365749</v>
      </c>
      <c r="G35" s="13">
        <v>1018.9379373023535</v>
      </c>
      <c r="H35" s="13">
        <v>979.90820864880016</v>
      </c>
      <c r="I35" s="13"/>
      <c r="J35" s="14" t="str">
        <f t="shared" si="0"/>
        <v>Suède</v>
      </c>
      <c r="K35" s="15">
        <v>30.849222539838262</v>
      </c>
      <c r="L35" s="15">
        <v>27.165653025703314</v>
      </c>
      <c r="M35" s="15">
        <v>30.263520144125412</v>
      </c>
      <c r="N35" s="15">
        <v>30.696365921321522</v>
      </c>
      <c r="O35" s="15">
        <v>35.007908248890416</v>
      </c>
      <c r="P35" s="15">
        <v>29.212312326841989</v>
      </c>
      <c r="Q35" s="15">
        <v>30.719738667115905</v>
      </c>
    </row>
    <row r="36" spans="1:17" ht="12.75" customHeight="1">
      <c r="A36" s="3" t="s">
        <v>33</v>
      </c>
      <c r="B36" s="13">
        <v>344.56490200000002</v>
      </c>
      <c r="C36" s="13">
        <v>455.20153900000003</v>
      </c>
      <c r="D36" s="13">
        <v>529.4694162213051</v>
      </c>
      <c r="E36" s="13">
        <v>558.67764468384541</v>
      </c>
      <c r="F36" s="13">
        <v>567.24837645987463</v>
      </c>
      <c r="G36" s="13">
        <v>569.26212049858589</v>
      </c>
      <c r="H36" s="13">
        <v>582.51728998243425</v>
      </c>
      <c r="I36" s="13"/>
      <c r="J36" s="14" t="str">
        <f t="shared" si="0"/>
        <v>Suisse</v>
      </c>
      <c r="K36" s="15">
        <v>20.015675258477415</v>
      </c>
      <c r="L36" s="15">
        <v>18.663459137921805</v>
      </c>
      <c r="M36" s="15">
        <v>21.042492593755185</v>
      </c>
      <c r="N36" s="15">
        <v>19.262033169664548</v>
      </c>
      <c r="O36" s="15">
        <v>19.601966976468855</v>
      </c>
      <c r="P36" s="15">
        <v>15.526720951949169</v>
      </c>
      <c r="Q36" s="15">
        <v>15.07446272587406</v>
      </c>
    </row>
    <row r="37" spans="1:17" ht="12.75" customHeight="1">
      <c r="A37" s="3" t="s">
        <v>34</v>
      </c>
      <c r="B37" s="13">
        <v>8.8729244999999999</v>
      </c>
      <c r="C37" s="13">
        <v>7.6604702259069413</v>
      </c>
      <c r="D37" s="13">
        <v>15.23684348447461</v>
      </c>
      <c r="E37" s="13">
        <v>13.719553076175325</v>
      </c>
      <c r="F37" s="13">
        <v>16.800982724599717</v>
      </c>
      <c r="G37" s="13">
        <v>15.757512526444719</v>
      </c>
      <c r="H37" s="13">
        <v>11.875177951342019</v>
      </c>
      <c r="I37" s="13"/>
      <c r="J37" s="14" t="str">
        <f t="shared" si="0"/>
        <v>Tchèquie</v>
      </c>
      <c r="K37" s="15">
        <v>8.1237466532978164</v>
      </c>
      <c r="L37" s="15">
        <v>11.121941517801961</v>
      </c>
      <c r="M37" s="15">
        <v>13.836263614271916</v>
      </c>
      <c r="N37" s="15">
        <v>16.926921836605601</v>
      </c>
      <c r="O37" s="15">
        <v>18.834342745566527</v>
      </c>
      <c r="P37" s="15">
        <v>2.1443431458061277</v>
      </c>
      <c r="Q37" s="15">
        <v>2.7454804893328664</v>
      </c>
    </row>
    <row r="38" spans="1:17" ht="12.75" customHeight="1">
      <c r="A38" s="2" t="s">
        <v>35</v>
      </c>
      <c r="B38" s="16">
        <v>23905.618839999996</v>
      </c>
      <c r="C38" s="16">
        <v>27975.030823624151</v>
      </c>
      <c r="D38" s="16">
        <v>27575.770554506104</v>
      </c>
      <c r="E38" s="16">
        <v>30824.674929843757</v>
      </c>
      <c r="F38" s="16">
        <v>31957.748768181846</v>
      </c>
      <c r="G38" s="16">
        <v>29065.647524829372</v>
      </c>
      <c r="H38" s="16">
        <v>30331.372460130831</v>
      </c>
      <c r="I38" s="17"/>
      <c r="J38" s="2" t="str">
        <f t="shared" si="0"/>
        <v>TOTAL DU CAD</v>
      </c>
      <c r="K38" s="18">
        <v>27.955870217168265</v>
      </c>
      <c r="L38" s="18">
        <v>30.186174833306694</v>
      </c>
      <c r="M38" s="18">
        <v>24.957987523805166</v>
      </c>
      <c r="N38" s="18">
        <v>25.972491870365971</v>
      </c>
      <c r="O38" s="18">
        <v>25.313248598263854</v>
      </c>
      <c r="P38" s="18">
        <v>17.831442057214865</v>
      </c>
      <c r="Q38" s="18">
        <v>19.140983581581988</v>
      </c>
    </row>
    <row r="39" spans="1:17" ht="15.6">
      <c r="A39" s="19" t="s">
        <v>36</v>
      </c>
      <c r="B39" s="20"/>
      <c r="C39" s="20"/>
      <c r="D39" s="20"/>
      <c r="E39" s="20"/>
      <c r="F39" s="20"/>
      <c r="G39" s="20"/>
      <c r="H39" s="20"/>
      <c r="I39" s="20"/>
      <c r="J39" s="19" t="s">
        <v>36</v>
      </c>
      <c r="K39" s="21"/>
      <c r="L39" s="21"/>
      <c r="M39" s="21"/>
      <c r="N39" s="21"/>
      <c r="O39" s="21"/>
      <c r="P39" s="21"/>
      <c r="Q39" s="21"/>
    </row>
    <row r="40" spans="1:17" ht="12.75" customHeight="1">
      <c r="A40" s="22" t="s">
        <v>37</v>
      </c>
      <c r="B40" s="13">
        <v>1665.744471</v>
      </c>
      <c r="C40" s="13">
        <v>2219.8879547769602</v>
      </c>
      <c r="D40" s="13">
        <v>1420.7974586714195</v>
      </c>
      <c r="E40" s="13">
        <v>1962.7840936829684</v>
      </c>
      <c r="F40" s="13">
        <v>1048.3040791243229</v>
      </c>
      <c r="G40" s="13">
        <v>586.15135643759515</v>
      </c>
      <c r="H40" s="13">
        <v>892.86185570565783</v>
      </c>
      <c r="I40" s="13"/>
      <c r="J40" s="14" t="str">
        <f>A40</f>
        <v>BAFD</v>
      </c>
      <c r="K40" s="15">
        <v>99.645169536961845</v>
      </c>
      <c r="L40" s="15">
        <v>92.649060258920386</v>
      </c>
      <c r="M40" s="15">
        <v>81.269868820971254</v>
      </c>
      <c r="N40" s="15">
        <v>78.898682262696383</v>
      </c>
      <c r="O40" s="15">
        <v>54.62029340290524</v>
      </c>
      <c r="P40" s="15">
        <v>65.962661169319645</v>
      </c>
      <c r="Q40" s="15">
        <v>73.236301214457498</v>
      </c>
    </row>
    <row r="41" spans="1:17" ht="12.75" customHeight="1">
      <c r="A41" s="22" t="s">
        <v>38</v>
      </c>
      <c r="B41" s="13">
        <v>4239.8960465</v>
      </c>
      <c r="C41" s="13">
        <v>4454.9747343277049</v>
      </c>
      <c r="D41" s="13">
        <v>5104.2888210850097</v>
      </c>
      <c r="E41" s="13">
        <v>5324.3102532748835</v>
      </c>
      <c r="F41" s="13">
        <v>4046.3245539218487</v>
      </c>
      <c r="G41" s="13">
        <v>3963.5710589967393</v>
      </c>
      <c r="H41" s="13">
        <v>4076.7387206028789</v>
      </c>
      <c r="I41" s="13"/>
      <c r="J41" s="14" t="str">
        <f t="shared" si="0"/>
        <v>Institutions de l'UE</v>
      </c>
      <c r="K41" s="15">
        <v>37.540990082972392</v>
      </c>
      <c r="L41" s="15">
        <v>28.469869825908795</v>
      </c>
      <c r="M41" s="15">
        <v>33.429917737114508</v>
      </c>
      <c r="N41" s="15">
        <v>25.922282467811648</v>
      </c>
      <c r="O41" s="15">
        <v>21.110272225794102</v>
      </c>
      <c r="P41" s="15">
        <v>14.599207346728061</v>
      </c>
      <c r="Q41" s="15">
        <v>11.823000891519856</v>
      </c>
    </row>
    <row r="42" spans="1:17" ht="12.75" customHeight="1">
      <c r="A42" s="22" t="s">
        <v>39</v>
      </c>
      <c r="B42" s="13">
        <v>345.87923800000004</v>
      </c>
      <c r="C42" s="13">
        <v>728.97148162026406</v>
      </c>
      <c r="D42" s="13">
        <v>1208.6316899436742</v>
      </c>
      <c r="E42" s="13">
        <v>923.22843407664459</v>
      </c>
      <c r="F42" s="13">
        <v>831.59605442259749</v>
      </c>
      <c r="G42" s="13">
        <v>923.99752449999994</v>
      </c>
      <c r="H42" s="13">
        <v>1159.2512148380072</v>
      </c>
      <c r="I42" s="13"/>
      <c r="J42" s="14" t="str">
        <f t="shared" si="0"/>
        <v>GAVI</v>
      </c>
      <c r="K42" s="15">
        <v>40.111993261272339</v>
      </c>
      <c r="L42" s="15">
        <v>55.707787643269121</v>
      </c>
      <c r="M42" s="15">
        <v>55.28936201449104</v>
      </c>
      <c r="N42" s="15">
        <v>46.068576765321176</v>
      </c>
      <c r="O42" s="15">
        <v>53.47884689428367</v>
      </c>
      <c r="P42" s="15">
        <v>48.624679615733577</v>
      </c>
      <c r="Q42" s="15">
        <v>60.277842565473769</v>
      </c>
    </row>
    <row r="43" spans="1:17" ht="12.75" customHeight="1">
      <c r="A43" s="22" t="s">
        <v>40</v>
      </c>
      <c r="B43" s="13">
        <v>1224.569872</v>
      </c>
      <c r="C43" s="13">
        <v>2343.0588024934714</v>
      </c>
      <c r="D43" s="13">
        <v>2706.401397727429</v>
      </c>
      <c r="E43" s="13">
        <v>3164.2180832977297</v>
      </c>
      <c r="F43" s="13">
        <v>3614.0280608419021</v>
      </c>
      <c r="G43" s="13">
        <v>3830.7496323100004</v>
      </c>
      <c r="H43" s="13">
        <v>3447.6068765301538</v>
      </c>
      <c r="I43" s="13"/>
      <c r="J43" s="14" t="str">
        <f t="shared" si="0"/>
        <v>Fonds mondial</v>
      </c>
      <c r="K43" s="15">
        <v>62.33061282179758</v>
      </c>
      <c r="L43" s="15">
        <v>64.451399301352865</v>
      </c>
      <c r="M43" s="15">
        <v>72.915522586960861</v>
      </c>
      <c r="N43" s="15">
        <v>73.243397225182179</v>
      </c>
      <c r="O43" s="15">
        <v>74.092661438381057</v>
      </c>
      <c r="P43" s="15">
        <v>73.294013822816652</v>
      </c>
      <c r="Q43" s="15">
        <v>71.778360849387852</v>
      </c>
    </row>
    <row r="44" spans="1:17" ht="12.75" customHeight="1">
      <c r="A44" s="22" t="s">
        <v>41</v>
      </c>
      <c r="B44" s="13">
        <v>0</v>
      </c>
      <c r="C44" s="13">
        <v>5492.1411820636295</v>
      </c>
      <c r="D44" s="13">
        <v>11265.172274047822</v>
      </c>
      <c r="E44" s="13">
        <v>12436.853727477786</v>
      </c>
      <c r="F44" s="13">
        <v>10173.884445157524</v>
      </c>
      <c r="G44" s="13">
        <v>14819.899019999999</v>
      </c>
      <c r="H44" s="13">
        <v>14164.85563401828</v>
      </c>
      <c r="I44" s="13"/>
      <c r="J44" s="14" t="str">
        <f t="shared" si="0"/>
        <v>IDA</v>
      </c>
      <c r="K44" s="15" t="s">
        <v>66</v>
      </c>
      <c r="L44" s="15">
        <v>72.599894219966956</v>
      </c>
      <c r="M44" s="15">
        <v>83.932774496462599</v>
      </c>
      <c r="N44" s="15">
        <v>78.072998522703202</v>
      </c>
      <c r="O44" s="15">
        <v>77.329513445042835</v>
      </c>
      <c r="P44" s="15">
        <v>90.809889658982129</v>
      </c>
      <c r="Q44" s="15">
        <v>82.171404946276468</v>
      </c>
    </row>
    <row r="45" spans="1:17" ht="12.75" customHeight="1">
      <c r="A45" s="22" t="s">
        <v>42</v>
      </c>
      <c r="B45" s="13">
        <v>198.99716549999994</v>
      </c>
      <c r="C45" s="13">
        <v>284.80449050000004</v>
      </c>
      <c r="D45" s="13">
        <v>367.20901797778771</v>
      </c>
      <c r="E45" s="13">
        <v>313.7747558006306</v>
      </c>
      <c r="F45" s="13">
        <v>253.81637285201202</v>
      </c>
      <c r="G45" s="13">
        <v>366.98105000000004</v>
      </c>
      <c r="H45" s="13">
        <v>391.83147120469351</v>
      </c>
      <c r="I45" s="13"/>
      <c r="J45" s="14" t="str">
        <f t="shared" si="0"/>
        <v>FIDA</v>
      </c>
      <c r="K45" s="15">
        <v>57.289971103476987</v>
      </c>
      <c r="L45" s="15">
        <v>64.400239864046824</v>
      </c>
      <c r="M45" s="15">
        <v>67.160821357249333</v>
      </c>
      <c r="N45" s="15">
        <v>73.78836903712309</v>
      </c>
      <c r="O45" s="15">
        <v>69.303886308139667</v>
      </c>
      <c r="P45" s="15">
        <v>73.825643432255376</v>
      </c>
      <c r="Q45" s="15">
        <v>80.814715736780087</v>
      </c>
    </row>
    <row r="46" spans="1:17" ht="12.75" customHeight="1">
      <c r="A46" s="22" t="s">
        <v>43</v>
      </c>
      <c r="B46" s="13">
        <v>58.523423999999991</v>
      </c>
      <c r="C46" s="13">
        <v>141.37947167197518</v>
      </c>
      <c r="D46" s="13">
        <v>231.48323481410424</v>
      </c>
      <c r="E46" s="13">
        <v>186.55834978611421</v>
      </c>
      <c r="F46" s="13">
        <v>359.25943765879236</v>
      </c>
      <c r="G46" s="13">
        <v>215.48209999999997</v>
      </c>
      <c r="H46" s="13">
        <v>223.6962699654712</v>
      </c>
      <c r="I46" s="13"/>
      <c r="J46" s="14" t="str">
        <f t="shared" si="0"/>
        <v>HCR</v>
      </c>
      <c r="K46" s="15">
        <v>21.074385361467726</v>
      </c>
      <c r="L46" s="15">
        <v>33.512690126586584</v>
      </c>
      <c r="M46" s="15">
        <v>32.662944379452647</v>
      </c>
      <c r="N46" s="15">
        <v>28.826329377691458</v>
      </c>
      <c r="O46" s="15">
        <v>62.039502071897644</v>
      </c>
      <c r="P46" s="15">
        <v>34.18982657891975</v>
      </c>
      <c r="Q46" s="15">
        <v>29.21991204669812</v>
      </c>
    </row>
    <row r="47" spans="1:17" ht="12.75" customHeight="1">
      <c r="A47" s="22" t="s">
        <v>44</v>
      </c>
      <c r="B47" s="13">
        <v>0</v>
      </c>
      <c r="C47" s="13">
        <v>66.295977522037091</v>
      </c>
      <c r="D47" s="13">
        <v>79.895781952879318</v>
      </c>
      <c r="E47" s="13">
        <v>55.150196706270705</v>
      </c>
      <c r="F47" s="13">
        <v>129.43918220067667</v>
      </c>
      <c r="G47" s="13">
        <v>101.87535937238898</v>
      </c>
      <c r="H47" s="13">
        <v>126.6566195232471</v>
      </c>
      <c r="I47" s="13"/>
      <c r="J47" s="14" t="str">
        <f t="shared" si="0"/>
        <v>OMS</v>
      </c>
      <c r="K47" s="15" t="s">
        <v>66</v>
      </c>
      <c r="L47" s="15">
        <v>15.190954088821259</v>
      </c>
      <c r="M47" s="15">
        <v>13.768309878755813</v>
      </c>
      <c r="N47" s="15">
        <v>19.50510256109909</v>
      </c>
      <c r="O47" s="15">
        <v>21.877848902590262</v>
      </c>
      <c r="P47" s="15">
        <v>21.875543760732945</v>
      </c>
      <c r="Q47" s="15">
        <v>20.86069266546842</v>
      </c>
    </row>
    <row r="48" spans="1:17" ht="12.75" customHeight="1">
      <c r="A48" s="22" t="s">
        <v>45</v>
      </c>
      <c r="B48" s="13">
        <v>163.9035725</v>
      </c>
      <c r="C48" s="13">
        <v>230.90674611593289</v>
      </c>
      <c r="D48" s="13">
        <v>149.8367103296535</v>
      </c>
      <c r="E48" s="13">
        <v>156.36582237934076</v>
      </c>
      <c r="F48" s="13">
        <v>225.84115841428255</v>
      </c>
      <c r="G48" s="13">
        <v>186.92999306010228</v>
      </c>
      <c r="H48" s="13">
        <v>240.15354213816457</v>
      </c>
      <c r="I48" s="13"/>
      <c r="J48" s="14" t="str">
        <f t="shared" si="0"/>
        <v>PAM</v>
      </c>
      <c r="K48" s="15">
        <v>57.663409703752954</v>
      </c>
      <c r="L48" s="15">
        <v>64.1264719055131</v>
      </c>
      <c r="M48" s="15">
        <v>46.470533558232319</v>
      </c>
      <c r="N48" s="15">
        <v>47.241245456298373</v>
      </c>
      <c r="O48" s="15">
        <v>67.738478246139849</v>
      </c>
      <c r="P48" s="15">
        <v>51.091401183092756</v>
      </c>
      <c r="Q48" s="15">
        <v>58.518413039430961</v>
      </c>
    </row>
    <row r="49" spans="1:17" ht="12.75" customHeight="1">
      <c r="A49" s="22" t="s">
        <v>46</v>
      </c>
      <c r="B49" s="13">
        <v>263.94322349999999</v>
      </c>
      <c r="C49" s="13">
        <v>215.04068641779605</v>
      </c>
      <c r="D49" s="13">
        <v>253.54310757176546</v>
      </c>
      <c r="E49" s="13">
        <v>287.73085856050807</v>
      </c>
      <c r="F49" s="13">
        <v>256.75916428428383</v>
      </c>
      <c r="G49" s="13">
        <v>273.21977275</v>
      </c>
      <c r="H49" s="13">
        <v>0</v>
      </c>
      <c r="I49" s="13"/>
      <c r="J49" s="14" t="str">
        <f t="shared" si="0"/>
        <v>PNUD</v>
      </c>
      <c r="K49" s="15">
        <v>54.427009983422614</v>
      </c>
      <c r="L49" s="15">
        <v>45.197838133833869</v>
      </c>
      <c r="M49" s="15">
        <v>64.526484474621299</v>
      </c>
      <c r="N49" s="15">
        <v>70.25952586461807</v>
      </c>
      <c r="O49" s="15">
        <v>65.346146262411338</v>
      </c>
      <c r="P49" s="15">
        <v>63.150775741190671</v>
      </c>
      <c r="Q49" s="15" t="s">
        <v>66</v>
      </c>
    </row>
    <row r="50" spans="1:17" ht="12.75" customHeight="1">
      <c r="A50" s="22" t="s">
        <v>47</v>
      </c>
      <c r="B50" s="13">
        <v>124.05387699999997</v>
      </c>
      <c r="C50" s="13">
        <v>149.98001684945461</v>
      </c>
      <c r="D50" s="13">
        <v>154.21463986578343</v>
      </c>
      <c r="E50" s="13">
        <v>159.68263096586929</v>
      </c>
      <c r="F50" s="13">
        <v>140.42912230041813</v>
      </c>
      <c r="G50" s="13">
        <v>171.34532000000004</v>
      </c>
      <c r="H50" s="13">
        <v>165.10286897682835</v>
      </c>
      <c r="I50" s="13"/>
      <c r="J50" s="14" t="str">
        <f t="shared" si="0"/>
        <v>UNFPA</v>
      </c>
      <c r="K50" s="15">
        <v>48.888090695171037</v>
      </c>
      <c r="L50" s="15">
        <v>43.599933291352706</v>
      </c>
      <c r="M50" s="15">
        <v>34.94107744599475</v>
      </c>
      <c r="N50" s="15">
        <v>36.140122019206331</v>
      </c>
      <c r="O50" s="15">
        <v>43.875453447385041</v>
      </c>
      <c r="P50" s="15">
        <v>33.026747693215746</v>
      </c>
      <c r="Q50" s="15">
        <v>34.626425135097669</v>
      </c>
    </row>
    <row r="51" spans="1:17" ht="12.75" customHeight="1">
      <c r="A51" s="22" t="s">
        <v>48</v>
      </c>
      <c r="B51" s="13">
        <v>473.34358950000001</v>
      </c>
      <c r="C51" s="13">
        <v>434.05843689868811</v>
      </c>
      <c r="D51" s="13">
        <v>609.09585301464267</v>
      </c>
      <c r="E51" s="13">
        <v>563.15320733324404</v>
      </c>
      <c r="F51" s="13">
        <v>507.70937200363272</v>
      </c>
      <c r="G51" s="13">
        <v>517.35399999999981</v>
      </c>
      <c r="H51" s="13">
        <v>508.58256924541058</v>
      </c>
      <c r="I51" s="13"/>
      <c r="J51" s="14" t="str">
        <f t="shared" si="0"/>
        <v>UNICEF</v>
      </c>
      <c r="K51" s="15">
        <v>46.364044915667826</v>
      </c>
      <c r="L51" s="15">
        <v>36.532098020010501</v>
      </c>
      <c r="M51" s="15">
        <v>56.877631204102322</v>
      </c>
      <c r="N51" s="15">
        <v>56.695514316374862</v>
      </c>
      <c r="O51" s="15">
        <v>58.601981399608384</v>
      </c>
      <c r="P51" s="15">
        <v>57.639211518171777</v>
      </c>
      <c r="Q51" s="15">
        <v>59.10775783334892</v>
      </c>
    </row>
    <row r="52" spans="1:17" ht="12.75" customHeight="1">
      <c r="A52" s="22" t="s">
        <v>49</v>
      </c>
      <c r="B52" s="13">
        <v>144.63777099999999</v>
      </c>
      <c r="C52" s="13">
        <v>135.50060279496111</v>
      </c>
      <c r="D52" s="13">
        <v>236.58120249863435</v>
      </c>
      <c r="E52" s="13">
        <v>215.02314516781459</v>
      </c>
      <c r="F52" s="13">
        <v>220.03503689199692</v>
      </c>
      <c r="G52" s="13">
        <v>208.92529480513238</v>
      </c>
      <c r="H52" s="13">
        <v>232.47800310461514</v>
      </c>
      <c r="I52" s="13"/>
      <c r="J52" s="22" t="s">
        <v>50</v>
      </c>
      <c r="K52" s="15">
        <v>16.425548405305442</v>
      </c>
      <c r="L52" s="15">
        <v>15.670224443977649</v>
      </c>
      <c r="M52" s="15">
        <v>20.34180330229783</v>
      </c>
      <c r="N52" s="15">
        <v>22.211125416885274</v>
      </c>
      <c r="O52" s="15">
        <v>22.468553127106468</v>
      </c>
      <c r="P52" s="15">
        <v>19.03025554099451</v>
      </c>
      <c r="Q52" s="15">
        <v>18.983281046096227</v>
      </c>
    </row>
    <row r="53" spans="1:17" ht="12.75" customHeight="1">
      <c r="A53" s="22" t="s">
        <v>51</v>
      </c>
      <c r="B53" s="13">
        <v>445.09321450000004</v>
      </c>
      <c r="C53" s="13">
        <v>324.51317389454971</v>
      </c>
      <c r="D53" s="13">
        <v>97.199784184172856</v>
      </c>
      <c r="E53" s="13">
        <v>64.625782057679913</v>
      </c>
      <c r="F53" s="13">
        <v>23.446820792051337</v>
      </c>
      <c r="G53" s="13">
        <v>42.059785572258072</v>
      </c>
      <c r="H53" s="13">
        <v>203.29354626253547</v>
      </c>
      <c r="I53" s="13"/>
      <c r="J53" s="14" t="s">
        <v>51</v>
      </c>
      <c r="K53" s="15">
        <v>57.198357661688974</v>
      </c>
      <c r="L53" s="15">
        <v>46.675134690799538</v>
      </c>
      <c r="M53" s="15">
        <v>25.675147957732769</v>
      </c>
      <c r="N53" s="15">
        <v>11.156033856892099</v>
      </c>
      <c r="O53" s="15">
        <v>4.0075073157513348</v>
      </c>
      <c r="P53" s="15">
        <v>10.214920273892442</v>
      </c>
      <c r="Q53" s="15">
        <v>40.772480520024736</v>
      </c>
    </row>
    <row r="54" spans="1:17" ht="12.75" customHeight="1">
      <c r="A54" s="22" t="s">
        <v>52</v>
      </c>
      <c r="B54" s="13">
        <v>522.49499199999991</v>
      </c>
      <c r="C54" s="13">
        <v>859.10736570214601</v>
      </c>
      <c r="D54" s="13">
        <v>530.30471119441711</v>
      </c>
      <c r="E54" s="13">
        <v>7759.7428283199552</v>
      </c>
      <c r="F54" s="13">
        <v>4078.6495297205479</v>
      </c>
      <c r="G54" s="13">
        <v>1599.8697405226001</v>
      </c>
      <c r="H54" s="13">
        <v>2219.5324312963421</v>
      </c>
      <c r="I54" s="13"/>
      <c r="J54" s="14" t="s">
        <v>52</v>
      </c>
      <c r="K54" s="15">
        <v>66.395148189990536</v>
      </c>
      <c r="L54" s="15">
        <v>55.709214136053752</v>
      </c>
      <c r="M54" s="15">
        <v>36.14908827819248</v>
      </c>
      <c r="N54" s="15">
        <v>68.11367393750956</v>
      </c>
      <c r="O54" s="15">
        <v>73.406749951074914</v>
      </c>
      <c r="P54" s="15">
        <v>43.584568310697364</v>
      </c>
      <c r="Q54" s="15">
        <v>60.165784466524784</v>
      </c>
    </row>
    <row r="55" spans="1:17" ht="12.6" customHeight="1">
      <c r="A55" s="2" t="s">
        <v>53</v>
      </c>
      <c r="B55" s="16">
        <v>9871.0804569999982</v>
      </c>
      <c r="C55" s="16">
        <v>18080.621123649573</v>
      </c>
      <c r="D55" s="16">
        <v>24465.844379978134</v>
      </c>
      <c r="E55" s="16">
        <v>33637.221106459983</v>
      </c>
      <c r="F55" s="16">
        <v>26060.221874317638</v>
      </c>
      <c r="G55" s="16">
        <v>27939.049356517669</v>
      </c>
      <c r="H55" s="16">
        <v>28167.166603087422</v>
      </c>
      <c r="I55" s="17"/>
      <c r="J55" s="23" t="str">
        <f t="shared" si="0"/>
        <v>TOTAL 
ORGANISMES MULTILATÉRAUX</v>
      </c>
      <c r="K55" s="18">
        <v>47.213714666529711</v>
      </c>
      <c r="L55" s="18">
        <v>48.442908412651214</v>
      </c>
      <c r="M55" s="18">
        <v>56.170417199329506</v>
      </c>
      <c r="N55" s="18">
        <v>54.299421163252106</v>
      </c>
      <c r="O55" s="18">
        <v>50.25322624083546</v>
      </c>
      <c r="P55" s="18">
        <v>45.804082715172875</v>
      </c>
      <c r="Q55" s="18">
        <v>40.766785453963941</v>
      </c>
    </row>
    <row r="56" spans="1:17" ht="5.0999999999999996" customHeight="1">
      <c r="A56" s="2"/>
      <c r="B56" s="17"/>
      <c r="C56" s="17"/>
      <c r="D56" s="17"/>
      <c r="E56" s="17"/>
      <c r="F56" s="17"/>
      <c r="G56" s="17"/>
      <c r="H56" s="17"/>
      <c r="I56" s="17"/>
      <c r="J56" s="23"/>
      <c r="K56" s="24"/>
      <c r="L56" s="24"/>
      <c r="M56" s="24"/>
      <c r="N56" s="24"/>
      <c r="O56" s="24"/>
      <c r="P56" s="24"/>
      <c r="Q56" s="24"/>
    </row>
    <row r="57" spans="1:17" ht="15" customHeight="1">
      <c r="A57" s="22" t="s">
        <v>54</v>
      </c>
      <c r="B57" s="13">
        <v>306.31595350000009</v>
      </c>
      <c r="C57" s="13">
        <v>332.48860514170758</v>
      </c>
      <c r="D57" s="13">
        <v>1723.9470820773686</v>
      </c>
      <c r="E57" s="13">
        <v>1753.8247309592125</v>
      </c>
      <c r="F57" s="13">
        <v>747.54739252986508</v>
      </c>
      <c r="G57" s="13">
        <v>835.67889300095317</v>
      </c>
      <c r="H57" s="13">
        <v>867.84861441341513</v>
      </c>
      <c r="I57" s="13"/>
      <c r="J57" s="22" t="s">
        <v>54</v>
      </c>
      <c r="K57" s="15">
        <v>10.875427445768214</v>
      </c>
      <c r="L57" s="15">
        <v>6.0845218271405832</v>
      </c>
      <c r="M57" s="15">
        <v>11.157384612376935</v>
      </c>
      <c r="N57" s="15">
        <v>11.977253654691776</v>
      </c>
      <c r="O57" s="15">
        <v>4.3419933241903896</v>
      </c>
      <c r="P57" s="15">
        <v>5.06226144375331</v>
      </c>
      <c r="Q57" s="15">
        <v>5.9457631740602572</v>
      </c>
    </row>
    <row r="58" spans="1:17" ht="6" customHeight="1">
      <c r="A58" s="22"/>
      <c r="B58" s="20"/>
      <c r="C58" s="20"/>
      <c r="D58" s="20"/>
      <c r="E58" s="20"/>
      <c r="F58" s="20"/>
      <c r="G58" s="20"/>
      <c r="H58" s="20"/>
      <c r="I58" s="20"/>
      <c r="J58" s="14">
        <f t="shared" si="0"/>
        <v>0</v>
      </c>
      <c r="K58" s="21"/>
      <c r="L58" s="21"/>
      <c r="M58" s="21"/>
      <c r="N58" s="21"/>
      <c r="O58" s="21"/>
      <c r="P58" s="21"/>
      <c r="Q58" s="21"/>
    </row>
    <row r="59" spans="1:17" ht="12.75" customHeight="1">
      <c r="A59" s="2" t="s">
        <v>55</v>
      </c>
      <c r="B59" s="16">
        <v>34083.015250499993</v>
      </c>
      <c r="C59" s="16">
        <v>46388.140552415425</v>
      </c>
      <c r="D59" s="16">
        <v>53765.562016561591</v>
      </c>
      <c r="E59" s="16">
        <v>66215.720767262945</v>
      </c>
      <c r="F59" s="16">
        <v>58753.440395933765</v>
      </c>
      <c r="G59" s="16">
        <v>57837.218774348003</v>
      </c>
      <c r="H59" s="16">
        <v>59358.257041968616</v>
      </c>
      <c r="I59" s="17"/>
      <c r="J59" s="23" t="s">
        <v>56</v>
      </c>
      <c r="K59" s="18">
        <v>31.201323041437302</v>
      </c>
      <c r="L59" s="18">
        <v>34.244130057731766</v>
      </c>
      <c r="M59" s="18">
        <v>31.720770727564769</v>
      </c>
      <c r="N59" s="18">
        <v>33.909370928556328</v>
      </c>
      <c r="O59" s="18">
        <v>30.082977773114639</v>
      </c>
      <c r="P59" s="18">
        <v>24.0487985815329</v>
      </c>
      <c r="Q59" s="18">
        <v>24.513866259074497</v>
      </c>
    </row>
    <row r="60" spans="1:17" ht="14.55" customHeight="1">
      <c r="A60" s="25"/>
    </row>
    <row r="61" spans="1:17" ht="65.55" customHeight="1">
      <c r="A61" s="32" t="s">
        <v>57</v>
      </c>
      <c r="B61" s="33"/>
      <c r="C61" s="33"/>
      <c r="D61" s="33"/>
      <c r="E61" s="33"/>
      <c r="F61" s="33"/>
      <c r="G61" s="33"/>
      <c r="H61" s="33"/>
      <c r="J61" s="34"/>
      <c r="K61" s="35"/>
      <c r="L61" s="35"/>
      <c r="M61" s="35"/>
      <c r="N61" s="35"/>
      <c r="O61" s="35"/>
      <c r="P61" s="35"/>
      <c r="Q61" s="35"/>
    </row>
    <row r="62" spans="1:17" s="26" customFormat="1" ht="39.6" customHeight="1">
      <c r="A62" s="36" t="s">
        <v>58</v>
      </c>
      <c r="B62" s="36"/>
      <c r="C62" s="36"/>
      <c r="D62" s="36"/>
      <c r="E62" s="36"/>
      <c r="F62" s="36"/>
      <c r="G62" s="36"/>
      <c r="H62" s="36"/>
    </row>
    <row r="63" spans="1:17" ht="28.05" customHeight="1">
      <c r="A63" s="28" t="s">
        <v>59</v>
      </c>
      <c r="B63" s="28"/>
      <c r="C63" s="28"/>
      <c r="D63" s="28"/>
      <c r="E63" s="28"/>
      <c r="F63" s="28"/>
      <c r="G63" s="28"/>
      <c r="H63" s="28"/>
    </row>
    <row r="64" spans="1:17" s="27" customFormat="1" ht="50.55" customHeight="1">
      <c r="A64" s="28" t="s">
        <v>60</v>
      </c>
      <c r="B64" s="28"/>
      <c r="C64" s="28"/>
      <c r="D64" s="28"/>
      <c r="E64" s="28"/>
      <c r="F64" s="28"/>
      <c r="G64" s="28"/>
      <c r="H64" s="28"/>
    </row>
    <row r="65" spans="1:8" s="27" customFormat="1" ht="20.100000000000001" customHeight="1">
      <c r="A65" s="28" t="s">
        <v>61</v>
      </c>
      <c r="B65" s="28"/>
      <c r="C65" s="28"/>
      <c r="D65" s="28"/>
      <c r="E65" s="28"/>
      <c r="F65" s="28"/>
      <c r="G65" s="28"/>
      <c r="H65" s="28"/>
    </row>
    <row r="66" spans="1:8" ht="12" customHeight="1">
      <c r="A66" s="28" t="s">
        <v>62</v>
      </c>
      <c r="B66" s="28"/>
      <c r="C66" s="28"/>
      <c r="D66" s="28"/>
      <c r="E66" s="28"/>
      <c r="F66" s="28"/>
      <c r="G66" s="28"/>
      <c r="H66" s="28"/>
    </row>
    <row r="67" spans="1:8" ht="12.75" customHeight="1">
      <c r="A67" s="22"/>
    </row>
  </sheetData>
  <mergeCells count="9">
    <mergeCell ref="A64:H64"/>
    <mergeCell ref="A65:H65"/>
    <mergeCell ref="A66:H66"/>
    <mergeCell ref="B3:H3"/>
    <mergeCell ref="K3:Q3"/>
    <mergeCell ref="A61:H61"/>
    <mergeCell ref="J61:Q61"/>
    <mergeCell ref="A62:H62"/>
    <mergeCell ref="A63:H63"/>
  </mergeCells>
  <pageMargins left="0.23622047244094491" right="0.47244094488188981" top="0.23622047244094491" bottom="0.23622047244094491" header="0.19685039370078741" footer="0.23622047244094491"/>
  <pageSetup paperSize="9" scale="65" orientation="portrait" r:id="rId1"/>
  <headerFooter alignWithMargins="0">
    <oddFooter>&amp;C_x000D_&amp;1#&amp;"Calibri"&amp;10&amp;K0000FF Restricted Use - À usage restreint</oddFooter>
  </headerFooter>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TAB29f</vt:lpstr>
      <vt:lpstr>TAB29f!Print_Area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DESAI Harsh, DCD/FSD</dc:creator>
  <cp:lastModifiedBy>AHMAD Yasmin, DCD/FSD</cp:lastModifiedBy>
  <dcterms:created xsi:type="dcterms:W3CDTF">2024-12-24T07:56:03Z</dcterms:created>
  <dcterms:modified xsi:type="dcterms:W3CDTF">2024-12-24T09:31:35Z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2024-12-24T07:56:05Z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7d6cf9b4-9162-42b7-a2b3-f825a281e194</vt:lpwstr>
  </property>
  <property fmtid="{D5CDD505-2E9C-101B-9397-08002B2CF9AE}" pid="8" name="MSIP_Label_0e5510b0-e729-4ef0-a3dd-4ba0dfe56c99_ContentBits">
    <vt:lpwstr>2</vt:lpwstr>
  </property>
</Properties>
</file>
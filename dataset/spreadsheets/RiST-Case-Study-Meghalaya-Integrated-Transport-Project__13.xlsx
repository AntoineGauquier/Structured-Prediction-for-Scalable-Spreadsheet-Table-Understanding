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7.xml" ContentType="application/vnd.openxmlformats-officedocument.drawing+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https://worldbankgroup-my.sharepoint.com/personal/dbarne_worldbankgroup_org/Documents/Documents/Climate/RIST/"/>
    </mc:Choice>
  </mc:AlternateContent>
  <xr:revisionPtr revIDLastSave="0" documentId="8_{BC6273C0-DC4F-4CB6-9FFC-1B90BCC4A0A6}" xr6:coauthVersionLast="45" xr6:coauthVersionMax="45" xr10:uidLastSave="{00000000-0000-0000-0000-000000000000}"/>
  <bookViews>
    <workbookView xWindow="-110" yWindow="-110" windowWidth="19420" windowHeight="10420" tabRatio="944" xr2:uid="{00000000-000D-0000-FFFF-FFFF00000000}"/>
  </bookViews>
  <sheets>
    <sheet name="OVERVIEW" sheetId="29" r:id="rId1"/>
    <sheet name="Excel Sheet Navigation" sheetId="27" r:id="rId2"/>
    <sheet name="Calculations &gt;&gt;" sheetId="17" r:id="rId3"/>
    <sheet name="Net Benefit Calculations" sheetId="24" r:id="rId4"/>
    <sheet name="Floods and Landslides " sheetId="26" r:id="rId5"/>
    <sheet name="Input &gt;&gt;" sheetId="19" r:id="rId6"/>
    <sheet name="Parameters_Results" sheetId="2" r:id="rId7"/>
    <sheet name="Baseline scenario" sheetId="20" r:id="rId8"/>
    <sheet name="Climate impacts" sheetId="16" r:id="rId9"/>
    <sheet name="Extrapolation disasters" sheetId="5" r:id="rId10"/>
    <sheet name="Extrapolation average con." sheetId="3" r:id="rId11"/>
    <sheet name="Expected flows" sheetId="7" r:id="rId12"/>
    <sheet name="Tables" sheetId="10" r:id="rId13"/>
  </sheets>
  <definedNames>
    <definedName name="_ftn1" localSheetId="0">OVERVIEW!#REF!</definedName>
    <definedName name="_ftnref1" localSheetId="0">OVERVIEW!$B$3</definedName>
  </definedNames>
  <calcPr calcId="191029"/>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D24" i="2" l="1"/>
  <c r="D23" i="2"/>
  <c r="D22" i="2"/>
  <c r="D21" i="2"/>
  <c r="D20" i="2"/>
  <c r="D19" i="2"/>
  <c r="D18" i="2"/>
  <c r="D17" i="2"/>
  <c r="D16" i="2"/>
  <c r="D201" i="2" l="1"/>
  <c r="G214" i="2" s="1"/>
  <c r="D194" i="2"/>
  <c r="G213" i="2" s="1"/>
  <c r="J48" i="16"/>
  <c r="I48" i="16"/>
  <c r="J42" i="16"/>
  <c r="I42" i="16"/>
  <c r="J36" i="16"/>
  <c r="I36" i="16"/>
  <c r="O48" i="16"/>
  <c r="N48" i="16"/>
  <c r="O42" i="16"/>
  <c r="N42" i="16"/>
  <c r="O36" i="16"/>
  <c r="N36" i="16"/>
  <c r="D187" i="2" l="1"/>
  <c r="G212" i="2" s="1"/>
  <c r="D180" i="2"/>
  <c r="G211" i="2" s="1"/>
  <c r="K31" i="5" l="1"/>
  <c r="K30" i="5"/>
  <c r="K29" i="5"/>
  <c r="K28" i="5"/>
  <c r="K25" i="5"/>
  <c r="K24" i="5"/>
  <c r="K23" i="5"/>
  <c r="K22" i="5"/>
  <c r="K19" i="5"/>
  <c r="K18" i="5"/>
  <c r="K17" i="5"/>
  <c r="K16" i="5"/>
  <c r="K13" i="5"/>
  <c r="K12" i="5"/>
  <c r="K11" i="5"/>
  <c r="K10" i="5"/>
  <c r="M27" i="5"/>
  <c r="N27" i="5"/>
  <c r="N21" i="5"/>
  <c r="L27" i="5"/>
  <c r="L21" i="5"/>
  <c r="M21" i="5"/>
  <c r="M15" i="5"/>
  <c r="N15" i="5"/>
  <c r="N9" i="5"/>
  <c r="L15" i="5"/>
  <c r="L9" i="5"/>
  <c r="M9" i="5"/>
  <c r="G27" i="5"/>
  <c r="G40" i="26"/>
  <c r="D40" i="26"/>
  <c r="E40" i="26"/>
  <c r="F40" i="26"/>
  <c r="D31" i="5" l="1"/>
  <c r="D30" i="5"/>
  <c r="D29" i="5"/>
  <c r="D28" i="5"/>
  <c r="D24" i="5"/>
  <c r="D25" i="5"/>
  <c r="D22" i="5"/>
  <c r="D23" i="5"/>
  <c r="D18" i="5"/>
  <c r="D19" i="5"/>
  <c r="D17" i="5"/>
  <c r="E17" i="5"/>
  <c r="D16" i="5"/>
  <c r="F13" i="5"/>
  <c r="G13" i="5"/>
  <c r="D13" i="5"/>
  <c r="E13" i="5"/>
  <c r="F12" i="5"/>
  <c r="G12" i="5"/>
  <c r="D12" i="5"/>
  <c r="E12" i="5"/>
  <c r="F11" i="5"/>
  <c r="G11" i="5"/>
  <c r="D11" i="5"/>
  <c r="E11" i="5"/>
  <c r="F10" i="5"/>
  <c r="G10" i="5"/>
  <c r="D10" i="5"/>
  <c r="E10" i="5"/>
  <c r="E27" i="5"/>
  <c r="F27" i="5"/>
  <c r="E21" i="5"/>
  <c r="G21" i="5"/>
  <c r="F21" i="5"/>
  <c r="F15" i="5"/>
  <c r="G15" i="5"/>
  <c r="G9" i="5"/>
  <c r="E15" i="5"/>
  <c r="E9" i="5"/>
  <c r="F9" i="5"/>
  <c r="G41" i="26"/>
  <c r="F41" i="26"/>
  <c r="G33" i="26"/>
  <c r="F33" i="26"/>
  <c r="E41" i="26"/>
  <c r="D41" i="26"/>
  <c r="E33" i="26"/>
  <c r="E34" i="26" s="1"/>
  <c r="E35" i="26" s="1"/>
  <c r="D33" i="26"/>
  <c r="D36" i="26" s="1"/>
  <c r="D37" i="26" s="1"/>
  <c r="M53" i="16"/>
  <c r="M54" i="16"/>
  <c r="M55" i="16"/>
  <c r="M56" i="16"/>
  <c r="H53" i="16"/>
  <c r="H54" i="16"/>
  <c r="H55" i="16"/>
  <c r="H56" i="16"/>
  <c r="C53" i="16"/>
  <c r="C54" i="16"/>
  <c r="C55" i="16"/>
  <c r="C56" i="16"/>
  <c r="F34" i="26" l="1"/>
  <c r="F35" i="26" s="1"/>
  <c r="G34" i="26"/>
  <c r="G35" i="26" s="1"/>
  <c r="E36" i="26"/>
  <c r="E37" i="26" s="1"/>
  <c r="G36" i="26"/>
  <c r="G37" i="26" s="1"/>
  <c r="F36" i="26"/>
  <c r="F37" i="26" s="1"/>
  <c r="D34" i="26"/>
  <c r="D35" i="26" s="1"/>
  <c r="E20" i="26"/>
  <c r="E16" i="26" s="1"/>
  <c r="AA18" i="24"/>
  <c r="AA25" i="24"/>
  <c r="G19" i="26"/>
  <c r="G11" i="26" s="1"/>
  <c r="D24" i="16"/>
  <c r="B5" i="24"/>
  <c r="E12" i="26" l="1"/>
  <c r="G15" i="26"/>
  <c r="G7" i="26" s="1"/>
  <c r="G3" i="26" s="1"/>
  <c r="B25" i="24" l="1"/>
  <c r="B18" i="24"/>
  <c r="Y83" i="16" l="1"/>
  <c r="Z83" i="16"/>
  <c r="AA83" i="16"/>
  <c r="AB83" i="16"/>
  <c r="AC83" i="16"/>
  <c r="AD83" i="16"/>
  <c r="Y77" i="16"/>
  <c r="Z77" i="16"/>
  <c r="AA77" i="16"/>
  <c r="AB77" i="16"/>
  <c r="AC77" i="16"/>
  <c r="AD77" i="16"/>
  <c r="Y71" i="16"/>
  <c r="Z71" i="16"/>
  <c r="AA71" i="16"/>
  <c r="AB71" i="16"/>
  <c r="AC71" i="16"/>
  <c r="AD71" i="16"/>
  <c r="Y65" i="16"/>
  <c r="Z65" i="16"/>
  <c r="AA65" i="16"/>
  <c r="AB65" i="16"/>
  <c r="AC65" i="16"/>
  <c r="AD65" i="16"/>
  <c r="O83" i="16"/>
  <c r="P83" i="16"/>
  <c r="Q83" i="16"/>
  <c r="R83" i="16"/>
  <c r="S83" i="16"/>
  <c r="T83" i="16"/>
  <c r="N29" i="5" s="1"/>
  <c r="O77" i="16"/>
  <c r="P77" i="16"/>
  <c r="Q77" i="16"/>
  <c r="R77" i="16"/>
  <c r="M23" i="5" s="1"/>
  <c r="S77" i="16"/>
  <c r="T77" i="16"/>
  <c r="O71" i="16"/>
  <c r="P71" i="16"/>
  <c r="L17" i="5" s="1"/>
  <c r="Q71" i="16"/>
  <c r="R71" i="16"/>
  <c r="M17" i="5" s="1"/>
  <c r="S71" i="16"/>
  <c r="T71" i="16"/>
  <c r="N17" i="5" s="1"/>
  <c r="O65" i="16"/>
  <c r="P65" i="16"/>
  <c r="L11" i="5" s="1"/>
  <c r="Q65" i="16"/>
  <c r="R65" i="16"/>
  <c r="M11" i="5" s="1"/>
  <c r="S65" i="16"/>
  <c r="T65" i="16"/>
  <c r="N11" i="5" s="1"/>
  <c r="F83" i="16"/>
  <c r="G83" i="16"/>
  <c r="E29" i="5" s="1"/>
  <c r="H83" i="16"/>
  <c r="I83" i="16"/>
  <c r="F29" i="5" s="1"/>
  <c r="J83" i="16"/>
  <c r="K83" i="16"/>
  <c r="G29" i="5" s="1"/>
  <c r="F77" i="16"/>
  <c r="G77" i="16"/>
  <c r="E23" i="5" s="1"/>
  <c r="H77" i="16"/>
  <c r="I77" i="16"/>
  <c r="F23" i="5" s="1"/>
  <c r="J77" i="16"/>
  <c r="K77" i="16"/>
  <c r="G23" i="5" s="1"/>
  <c r="F71" i="16"/>
  <c r="G71" i="16"/>
  <c r="H71" i="16"/>
  <c r="I71" i="16"/>
  <c r="F17" i="5" s="1"/>
  <c r="J71" i="16"/>
  <c r="K71" i="16"/>
  <c r="G17" i="5" s="1"/>
  <c r="F65" i="16"/>
  <c r="G65" i="16"/>
  <c r="H65" i="16"/>
  <c r="I65" i="16"/>
  <c r="J65" i="16"/>
  <c r="K65" i="16"/>
  <c r="M29" i="5" l="1"/>
  <c r="L29" i="5"/>
  <c r="L23" i="5"/>
  <c r="N23" i="5"/>
  <c r="S64" i="16"/>
  <c r="T64" i="16"/>
  <c r="N10" i="5" s="1"/>
  <c r="S66" i="16"/>
  <c r="T66" i="16"/>
  <c r="N12" i="5" s="1"/>
  <c r="S67" i="16"/>
  <c r="T67" i="16"/>
  <c r="S70" i="16"/>
  <c r="T70" i="16"/>
  <c r="S72" i="16"/>
  <c r="T72" i="16"/>
  <c r="N18" i="5" s="1"/>
  <c r="S73" i="16"/>
  <c r="T73" i="16"/>
  <c r="N19" i="5" s="1"/>
  <c r="S76" i="16"/>
  <c r="T76" i="16"/>
  <c r="S78" i="16"/>
  <c r="T78" i="16"/>
  <c r="S79" i="16"/>
  <c r="T79" i="16"/>
  <c r="S82" i="16"/>
  <c r="T82" i="16"/>
  <c r="N28" i="5" s="1"/>
  <c r="S84" i="16"/>
  <c r="T84" i="16"/>
  <c r="S85" i="16"/>
  <c r="T85" i="16"/>
  <c r="N31" i="5" s="1"/>
  <c r="Y64" i="16"/>
  <c r="Z64" i="16"/>
  <c r="AA64" i="16"/>
  <c r="AB64" i="16"/>
  <c r="AC64" i="16"/>
  <c r="AD64" i="16"/>
  <c r="Y66" i="16"/>
  <c r="Z66" i="16"/>
  <c r="AA66" i="16"/>
  <c r="AB66" i="16"/>
  <c r="AC66" i="16"/>
  <c r="AD66" i="16"/>
  <c r="Y67" i="16"/>
  <c r="Z67" i="16"/>
  <c r="AA67" i="16"/>
  <c r="AB67" i="16"/>
  <c r="AC67" i="16"/>
  <c r="AD67" i="16"/>
  <c r="Y70" i="16"/>
  <c r="Z70" i="16"/>
  <c r="S16" i="5" s="1"/>
  <c r="AA70" i="16"/>
  <c r="AB70" i="16"/>
  <c r="T16" i="5" s="1"/>
  <c r="AC70" i="16"/>
  <c r="AD70" i="16"/>
  <c r="U16" i="5" s="1"/>
  <c r="Y72" i="16"/>
  <c r="Z72" i="16"/>
  <c r="AA72" i="16"/>
  <c r="AB72" i="16"/>
  <c r="AC72" i="16"/>
  <c r="AD72" i="16"/>
  <c r="Y73" i="16"/>
  <c r="Z73" i="16"/>
  <c r="S19" i="5" s="1"/>
  <c r="AA73" i="16"/>
  <c r="AB73" i="16"/>
  <c r="T19" i="5" s="1"/>
  <c r="AC73" i="16"/>
  <c r="AD73" i="16"/>
  <c r="U19" i="5" s="1"/>
  <c r="Y76" i="16"/>
  <c r="Z76" i="16"/>
  <c r="AA76" i="16"/>
  <c r="AB76" i="16"/>
  <c r="AC76" i="16"/>
  <c r="AD76" i="16"/>
  <c r="U22" i="5" s="1"/>
  <c r="Y78" i="16"/>
  <c r="Z78" i="16"/>
  <c r="AA78" i="16"/>
  <c r="AB78" i="16"/>
  <c r="AC78" i="16"/>
  <c r="AD78" i="16"/>
  <c r="Y79" i="16"/>
  <c r="Z79" i="16"/>
  <c r="AA79" i="16"/>
  <c r="AB79" i="16"/>
  <c r="AC79" i="16"/>
  <c r="AD79" i="16"/>
  <c r="U25" i="5" s="1"/>
  <c r="Y82" i="16"/>
  <c r="Z82" i="16"/>
  <c r="AA82" i="16"/>
  <c r="AB82" i="16"/>
  <c r="AC82" i="16"/>
  <c r="AD82" i="16"/>
  <c r="U28" i="5" s="1"/>
  <c r="Y84" i="16"/>
  <c r="Z84" i="16"/>
  <c r="AA84" i="16"/>
  <c r="AB84" i="16"/>
  <c r="AC84" i="16"/>
  <c r="AD84" i="16"/>
  <c r="Y85" i="16"/>
  <c r="Z85" i="16"/>
  <c r="AA85" i="16"/>
  <c r="AB85" i="16"/>
  <c r="AC85" i="16"/>
  <c r="AD85" i="16"/>
  <c r="U31" i="5" s="1"/>
  <c r="M81" i="16"/>
  <c r="M75" i="16"/>
  <c r="M69" i="16"/>
  <c r="M63" i="16"/>
  <c r="N24" i="5" l="1"/>
  <c r="N16" i="5"/>
  <c r="N13" i="5"/>
  <c r="N30" i="5"/>
  <c r="N22" i="5"/>
  <c r="N25" i="5"/>
  <c r="U23" i="5"/>
  <c r="U24" i="5"/>
  <c r="U18" i="5"/>
  <c r="U17" i="5"/>
  <c r="T18" i="5"/>
  <c r="T17" i="5"/>
  <c r="U29" i="5"/>
  <c r="U30" i="5"/>
  <c r="S18" i="5"/>
  <c r="S17" i="5"/>
  <c r="T11" i="5"/>
  <c r="BI38" i="5"/>
  <c r="BJ38" i="5"/>
  <c r="BK38" i="5"/>
  <c r="BL38" i="5"/>
  <c r="BM38" i="5"/>
  <c r="BN38" i="5"/>
  <c r="BO38" i="5"/>
  <c r="BP38" i="5"/>
  <c r="BQ38" i="5"/>
  <c r="BR38" i="5"/>
  <c r="BS38" i="5"/>
  <c r="BT38" i="5"/>
  <c r="BU38" i="5"/>
  <c r="BV38" i="5"/>
  <c r="BW38" i="5"/>
  <c r="BX38" i="5"/>
  <c r="BY38" i="5"/>
  <c r="BZ38" i="5"/>
  <c r="CA38" i="5"/>
  <c r="CB38" i="5"/>
  <c r="CC38" i="5"/>
  <c r="CD38" i="5"/>
  <c r="CE38" i="5"/>
  <c r="CF38" i="5"/>
  <c r="BH38" i="5"/>
  <c r="BH32" i="5"/>
  <c r="AG38" i="5"/>
  <c r="AH38" i="5"/>
  <c r="AI38" i="5"/>
  <c r="AJ38" i="5"/>
  <c r="AK38" i="5"/>
  <c r="AL38" i="5"/>
  <c r="AM38" i="5"/>
  <c r="AN38" i="5"/>
  <c r="AO38" i="5"/>
  <c r="AP38" i="5"/>
  <c r="AQ38" i="5"/>
  <c r="AR38" i="5"/>
  <c r="AS38" i="5"/>
  <c r="AT38" i="5"/>
  <c r="AU38" i="5"/>
  <c r="AV38" i="5"/>
  <c r="AW38" i="5"/>
  <c r="AX38" i="5"/>
  <c r="AY38" i="5"/>
  <c r="AZ38" i="5"/>
  <c r="BA38" i="5"/>
  <c r="BB38" i="5"/>
  <c r="BC38" i="5"/>
  <c r="BD38" i="5"/>
  <c r="AF38" i="5"/>
  <c r="AF32" i="5"/>
  <c r="K20" i="26"/>
  <c r="I19" i="26"/>
  <c r="H20" i="26"/>
  <c r="H19" i="26"/>
  <c r="D19" i="26"/>
  <c r="D20" i="26"/>
  <c r="D21" i="26"/>
  <c r="D17" i="26" s="1"/>
  <c r="J19" i="26"/>
  <c r="K19" i="26"/>
  <c r="I20" i="26"/>
  <c r="J20" i="26"/>
  <c r="H21" i="26"/>
  <c r="I21" i="26"/>
  <c r="J21" i="26"/>
  <c r="K21" i="26"/>
  <c r="E19" i="26"/>
  <c r="F19" i="26"/>
  <c r="F20" i="26"/>
  <c r="G20" i="26"/>
  <c r="E21" i="26"/>
  <c r="E17" i="26" s="1"/>
  <c r="F21" i="26"/>
  <c r="G21" i="26"/>
  <c r="C25" i="26"/>
  <c r="C24" i="26"/>
  <c r="C23" i="26"/>
  <c r="C21" i="26"/>
  <c r="C20" i="26"/>
  <c r="C19" i="26"/>
  <c r="C9" i="26"/>
  <c r="C8" i="26"/>
  <c r="C7" i="26"/>
  <c r="H17" i="26" l="1"/>
  <c r="H13" i="26"/>
  <c r="H15" i="26"/>
  <c r="H11" i="26"/>
  <c r="H16" i="26"/>
  <c r="H12" i="26"/>
  <c r="F16" i="26"/>
  <c r="F12" i="26"/>
  <c r="I16" i="26"/>
  <c r="I12" i="26"/>
  <c r="I15" i="26"/>
  <c r="I11" i="26"/>
  <c r="G16" i="26"/>
  <c r="G12" i="26"/>
  <c r="K11" i="26"/>
  <c r="K15" i="26"/>
  <c r="K16" i="26"/>
  <c r="K12" i="26"/>
  <c r="J16" i="26"/>
  <c r="J12" i="26"/>
  <c r="F15" i="26"/>
  <c r="F11" i="26"/>
  <c r="J11" i="26"/>
  <c r="J15" i="26"/>
  <c r="G13" i="26"/>
  <c r="G17" i="26"/>
  <c r="J17" i="26"/>
  <c r="J13" i="26"/>
  <c r="K17" i="26"/>
  <c r="K13" i="26"/>
  <c r="F17" i="26"/>
  <c r="F13" i="26"/>
  <c r="I17" i="26"/>
  <c r="I13" i="26"/>
  <c r="D11" i="26"/>
  <c r="D15" i="26"/>
  <c r="D16" i="26"/>
  <c r="D12" i="26"/>
  <c r="E15" i="26"/>
  <c r="E11" i="26"/>
  <c r="D13" i="26"/>
  <c r="D9" i="26" s="1"/>
  <c r="D5" i="26" s="1"/>
  <c r="E13" i="26"/>
  <c r="E8" i="26"/>
  <c r="E4" i="26" s="1"/>
  <c r="B7" i="26"/>
  <c r="B8" i="26"/>
  <c r="S23" i="5"/>
  <c r="R23" i="5"/>
  <c r="T23" i="5"/>
  <c r="R17" i="5"/>
  <c r="S29" i="5"/>
  <c r="T29" i="5"/>
  <c r="R29" i="5"/>
  <c r="S11" i="5"/>
  <c r="BZ42" i="5" s="1"/>
  <c r="R11" i="5"/>
  <c r="U11" i="5"/>
  <c r="J8" i="26" l="1"/>
  <c r="J4" i="26" s="1"/>
  <c r="J9" i="26"/>
  <c r="J5" i="26" s="1"/>
  <c r="I7" i="26"/>
  <c r="I3" i="26" s="1"/>
  <c r="H7" i="26"/>
  <c r="H3" i="26" s="1"/>
  <c r="I9" i="26"/>
  <c r="I5" i="26" s="1"/>
  <c r="K8" i="26"/>
  <c r="K4" i="26" s="1"/>
  <c r="F9" i="26"/>
  <c r="F5" i="26" s="1"/>
  <c r="F8" i="26"/>
  <c r="F4" i="26" s="1"/>
  <c r="K9" i="26"/>
  <c r="K5" i="26" s="1"/>
  <c r="F7" i="26"/>
  <c r="F3" i="26" s="1"/>
  <c r="G8" i="26"/>
  <c r="G4" i="26" s="1"/>
  <c r="I8" i="26"/>
  <c r="I4" i="26" s="1"/>
  <c r="J7" i="26"/>
  <c r="J3" i="26" s="1"/>
  <c r="K7" i="26"/>
  <c r="K3" i="26" s="1"/>
  <c r="H8" i="26"/>
  <c r="H4" i="26" s="1"/>
  <c r="D7" i="26"/>
  <c r="D3" i="26" s="1"/>
  <c r="G9" i="26"/>
  <c r="G5" i="26" s="1"/>
  <c r="H9" i="26"/>
  <c r="H5" i="26" s="1"/>
  <c r="E7" i="26"/>
  <c r="E3" i="26" s="1"/>
  <c r="D8" i="26"/>
  <c r="D4" i="26" s="1"/>
  <c r="E9" i="26"/>
  <c r="E5" i="26" s="1"/>
  <c r="BU60" i="5"/>
  <c r="CC60" i="5"/>
  <c r="BV60" i="5"/>
  <c r="CD60" i="5"/>
  <c r="BW60" i="5"/>
  <c r="CE60" i="5"/>
  <c r="BX60" i="5"/>
  <c r="CF60" i="5"/>
  <c r="BY60" i="5"/>
  <c r="BR60" i="5"/>
  <c r="BZ60" i="5"/>
  <c r="BS60" i="5"/>
  <c r="CA60" i="5"/>
  <c r="BT60" i="5"/>
  <c r="CB60" i="5"/>
  <c r="BM60" i="5"/>
  <c r="BN60" i="5"/>
  <c r="BO60" i="5"/>
  <c r="BH60" i="5"/>
  <c r="BP60" i="5"/>
  <c r="BI60" i="5"/>
  <c r="BQ60" i="5"/>
  <c r="BJ60" i="5"/>
  <c r="BK60" i="5"/>
  <c r="BL60" i="5"/>
  <c r="BV54" i="5"/>
  <c r="CD54" i="5"/>
  <c r="BW54" i="5"/>
  <c r="CE54" i="5"/>
  <c r="BX54" i="5"/>
  <c r="CF54" i="5"/>
  <c r="BY54" i="5"/>
  <c r="BR54" i="5"/>
  <c r="BZ54" i="5"/>
  <c r="BS54" i="5"/>
  <c r="CA54" i="5"/>
  <c r="BT54" i="5"/>
  <c r="CB54" i="5"/>
  <c r="BU54" i="5"/>
  <c r="CC54" i="5"/>
  <c r="BN54" i="5"/>
  <c r="BO54" i="5"/>
  <c r="BH54" i="5"/>
  <c r="BP54" i="5"/>
  <c r="BI54" i="5"/>
  <c r="BQ54" i="5"/>
  <c r="BJ54" i="5"/>
  <c r="BK54" i="5"/>
  <c r="BL54" i="5"/>
  <c r="BM54" i="5"/>
  <c r="BR48" i="5"/>
  <c r="BZ48" i="5"/>
  <c r="CF48" i="5"/>
  <c r="BS48" i="5"/>
  <c r="CA48" i="5"/>
  <c r="BT48" i="5"/>
  <c r="CB48" i="5"/>
  <c r="BU48" i="5"/>
  <c r="CC48" i="5"/>
  <c r="BV48" i="5"/>
  <c r="CD48" i="5"/>
  <c r="CE48" i="5"/>
  <c r="BW48" i="5"/>
  <c r="BX48" i="5"/>
  <c r="BY48" i="5"/>
  <c r="BJ48" i="5"/>
  <c r="BL48" i="5"/>
  <c r="BO48" i="5"/>
  <c r="BK48" i="5"/>
  <c r="BM48" i="5"/>
  <c r="BH48" i="5"/>
  <c r="BN48" i="5"/>
  <c r="BP48" i="5"/>
  <c r="BI48" i="5"/>
  <c r="BQ48" i="5"/>
  <c r="CF42" i="5"/>
  <c r="BS42" i="5"/>
  <c r="BU42" i="5"/>
  <c r="CD42" i="5"/>
  <c r="BY42" i="5"/>
  <c r="CC42" i="5"/>
  <c r="BR42" i="5"/>
  <c r="BV42" i="5"/>
  <c r="BN42" i="5"/>
  <c r="BO42" i="5"/>
  <c r="BH42" i="5"/>
  <c r="BP42" i="5"/>
  <c r="BI42" i="5"/>
  <c r="BQ42" i="5"/>
  <c r="BJ42" i="5"/>
  <c r="BK42" i="5"/>
  <c r="BL42" i="5"/>
  <c r="BM42" i="5"/>
  <c r="BW42" i="5"/>
  <c r="CA42" i="5"/>
  <c r="CE42" i="5"/>
  <c r="BT42" i="5"/>
  <c r="BX42" i="5"/>
  <c r="CB42" i="5"/>
  <c r="Z25" i="24" l="1"/>
  <c r="Y25" i="24"/>
  <c r="X25" i="24"/>
  <c r="W25" i="24"/>
  <c r="V25" i="24"/>
  <c r="U25" i="24"/>
  <c r="T25" i="24"/>
  <c r="S25" i="24"/>
  <c r="R25" i="24"/>
  <c r="Q25" i="24"/>
  <c r="P25" i="24"/>
  <c r="O25" i="24"/>
  <c r="O27" i="24" s="1"/>
  <c r="N25" i="24"/>
  <c r="M25" i="24"/>
  <c r="L25" i="24"/>
  <c r="K25" i="24"/>
  <c r="J25" i="24"/>
  <c r="I25" i="24"/>
  <c r="H25" i="24"/>
  <c r="G25" i="24"/>
  <c r="G27" i="24" s="1"/>
  <c r="F25" i="24"/>
  <c r="E25" i="24"/>
  <c r="D25" i="24"/>
  <c r="C25" i="24"/>
  <c r="C27" i="24" s="1"/>
  <c r="Z18" i="24"/>
  <c r="Y18" i="24"/>
  <c r="X18" i="24"/>
  <c r="W18" i="24"/>
  <c r="V18" i="24"/>
  <c r="V27" i="24" s="1"/>
  <c r="U18" i="24"/>
  <c r="T18" i="24"/>
  <c r="S18" i="24"/>
  <c r="R18" i="24"/>
  <c r="Q18" i="24"/>
  <c r="P18" i="24"/>
  <c r="O18" i="24"/>
  <c r="N18" i="24"/>
  <c r="N27" i="24" s="1"/>
  <c r="M18" i="24"/>
  <c r="L18" i="24"/>
  <c r="K18" i="24"/>
  <c r="J18" i="24"/>
  <c r="I18" i="24"/>
  <c r="H18" i="24"/>
  <c r="G18" i="24"/>
  <c r="F18" i="24"/>
  <c r="E18" i="24"/>
  <c r="D18" i="24"/>
  <c r="C18" i="24"/>
  <c r="Y27" i="24"/>
  <c r="Q27" i="24"/>
  <c r="P27" i="24"/>
  <c r="I27" i="24"/>
  <c r="D30" i="20"/>
  <c r="D39" i="20" s="1"/>
  <c r="F27" i="24"/>
  <c r="D40" i="20" l="1"/>
  <c r="W27" i="24"/>
  <c r="B27" i="24"/>
  <c r="R27" i="24"/>
  <c r="Z27" i="24"/>
  <c r="J27" i="24"/>
  <c r="X27" i="24"/>
  <c r="H27" i="24"/>
  <c r="K27" i="24"/>
  <c r="S27" i="24"/>
  <c r="D27" i="24"/>
  <c r="L27" i="24"/>
  <c r="T27" i="24"/>
  <c r="U27" i="24"/>
  <c r="E27" i="24"/>
  <c r="M27" i="24"/>
  <c r="R64" i="16" l="1"/>
  <c r="Q64" i="16"/>
  <c r="P64" i="16"/>
  <c r="O64" i="16"/>
  <c r="F66" i="16"/>
  <c r="I64" i="16"/>
  <c r="H64" i="16"/>
  <c r="G64" i="16"/>
  <c r="F64" i="16"/>
  <c r="L10" i="5" l="1"/>
  <c r="M10" i="5"/>
  <c r="F69" i="2"/>
  <c r="E6" i="3"/>
  <c r="C10" i="3"/>
  <c r="BF75" i="5"/>
  <c r="AD75" i="5"/>
  <c r="B75" i="5"/>
  <c r="E38" i="5"/>
  <c r="F38" i="5"/>
  <c r="G38" i="5"/>
  <c r="H38" i="5"/>
  <c r="I38" i="5"/>
  <c r="J38" i="5"/>
  <c r="K38" i="5"/>
  <c r="L38" i="5"/>
  <c r="M38" i="5"/>
  <c r="N38" i="5"/>
  <c r="O38" i="5"/>
  <c r="P38" i="5"/>
  <c r="Q38" i="5"/>
  <c r="R38" i="5"/>
  <c r="S38" i="5"/>
  <c r="T38" i="5"/>
  <c r="U38" i="5"/>
  <c r="V38" i="5"/>
  <c r="W38" i="5"/>
  <c r="X38" i="5"/>
  <c r="Y38" i="5"/>
  <c r="Z38" i="5"/>
  <c r="AA38" i="5"/>
  <c r="AB38" i="5"/>
  <c r="D38" i="5"/>
  <c r="N24" i="16"/>
  <c r="I24" i="16"/>
  <c r="R85" i="16"/>
  <c r="Q85" i="16"/>
  <c r="Q84" i="16"/>
  <c r="R84" i="16"/>
  <c r="R82" i="16"/>
  <c r="M28" i="5" s="1"/>
  <c r="Q82" i="16"/>
  <c r="P79" i="16"/>
  <c r="P78" i="16"/>
  <c r="P76" i="16"/>
  <c r="W81" i="16"/>
  <c r="W75" i="16"/>
  <c r="W69" i="16"/>
  <c r="W63" i="16"/>
  <c r="U27" i="5"/>
  <c r="U12" i="5"/>
  <c r="T28" i="5"/>
  <c r="X85" i="16"/>
  <c r="X84" i="16"/>
  <c r="X82" i="16"/>
  <c r="X79" i="16"/>
  <c r="X78" i="16"/>
  <c r="X76" i="16"/>
  <c r="X73" i="16"/>
  <c r="X72" i="16"/>
  <c r="X70" i="16"/>
  <c r="X67" i="16"/>
  <c r="X66" i="16"/>
  <c r="X64" i="16"/>
  <c r="W84" i="16"/>
  <c r="W85" i="16"/>
  <c r="W82" i="16"/>
  <c r="W78" i="16"/>
  <c r="W79" i="16"/>
  <c r="W76" i="16"/>
  <c r="W72" i="16"/>
  <c r="W73" i="16"/>
  <c r="W70" i="16"/>
  <c r="W66" i="16"/>
  <c r="W67" i="16"/>
  <c r="W64" i="16"/>
  <c r="N84" i="16"/>
  <c r="N85" i="16"/>
  <c r="N82" i="16"/>
  <c r="N78" i="16"/>
  <c r="N79" i="16"/>
  <c r="N76" i="16"/>
  <c r="N72" i="16"/>
  <c r="N73" i="16"/>
  <c r="N70" i="16"/>
  <c r="N66" i="16"/>
  <c r="N67" i="16"/>
  <c r="N64" i="16"/>
  <c r="M84" i="16"/>
  <c r="M85" i="16"/>
  <c r="M82" i="16"/>
  <c r="M78" i="16"/>
  <c r="M79" i="16"/>
  <c r="M76" i="16"/>
  <c r="M72" i="16"/>
  <c r="M73" i="16"/>
  <c r="M70" i="16"/>
  <c r="M66" i="16"/>
  <c r="M67" i="16"/>
  <c r="M64" i="16"/>
  <c r="M80" i="16"/>
  <c r="R78" i="16"/>
  <c r="R79" i="16"/>
  <c r="R76" i="16"/>
  <c r="R72" i="16"/>
  <c r="R73" i="16"/>
  <c r="R70" i="16"/>
  <c r="R66" i="16"/>
  <c r="R67" i="16"/>
  <c r="Q78" i="16"/>
  <c r="Q79" i="16"/>
  <c r="Q76" i="16"/>
  <c r="Q72" i="16"/>
  <c r="Q73" i="16"/>
  <c r="Q70" i="16"/>
  <c r="Q66" i="16"/>
  <c r="Q67" i="16"/>
  <c r="P84" i="16"/>
  <c r="P85" i="16"/>
  <c r="P82" i="16"/>
  <c r="P72" i="16"/>
  <c r="P73" i="16"/>
  <c r="P70" i="16"/>
  <c r="O70" i="16"/>
  <c r="P66" i="16"/>
  <c r="P67" i="16"/>
  <c r="O82" i="16"/>
  <c r="O84" i="16"/>
  <c r="O85" i="16"/>
  <c r="O78" i="16"/>
  <c r="O79" i="16"/>
  <c r="O76" i="16"/>
  <c r="O72" i="16"/>
  <c r="O73" i="16"/>
  <c r="O66" i="16"/>
  <c r="O67" i="16"/>
  <c r="S30" i="5"/>
  <c r="R30" i="5"/>
  <c r="T24" i="5"/>
  <c r="T22" i="5"/>
  <c r="T25" i="5"/>
  <c r="T21" i="5"/>
  <c r="R18" i="5"/>
  <c r="R19" i="5"/>
  <c r="U15" i="5"/>
  <c r="S15" i="5"/>
  <c r="R15" i="5"/>
  <c r="T12" i="5"/>
  <c r="R13" i="5"/>
  <c r="E83" i="2"/>
  <c r="U9" i="5"/>
  <c r="R9" i="5"/>
  <c r="R27" i="5"/>
  <c r="R21" i="5"/>
  <c r="T9" i="5"/>
  <c r="S9" i="5"/>
  <c r="R28" i="5"/>
  <c r="R16" i="5"/>
  <c r="K27" i="5"/>
  <c r="K21" i="5"/>
  <c r="K15" i="5"/>
  <c r="K9" i="5"/>
  <c r="D27" i="5"/>
  <c r="D7" i="5"/>
  <c r="D21" i="5"/>
  <c r="D15" i="5"/>
  <c r="D9" i="5"/>
  <c r="D11" i="20"/>
  <c r="E85" i="16"/>
  <c r="D85" i="16"/>
  <c r="E84" i="16"/>
  <c r="D84" i="16"/>
  <c r="E82" i="16"/>
  <c r="D82" i="16"/>
  <c r="E79" i="16"/>
  <c r="D79" i="16"/>
  <c r="E78" i="16"/>
  <c r="D78" i="16"/>
  <c r="E76" i="16"/>
  <c r="D76" i="16"/>
  <c r="E73" i="16"/>
  <c r="D73" i="16"/>
  <c r="E72" i="16"/>
  <c r="D72" i="16"/>
  <c r="E70" i="16"/>
  <c r="D70" i="16"/>
  <c r="D66" i="16"/>
  <c r="E66" i="16"/>
  <c r="D67" i="16"/>
  <c r="E67" i="16"/>
  <c r="E64" i="16"/>
  <c r="D64" i="16"/>
  <c r="D81" i="16"/>
  <c r="D75" i="16"/>
  <c r="D69" i="16"/>
  <c r="D63" i="16"/>
  <c r="D80" i="2"/>
  <c r="D69" i="2"/>
  <c r="F97" i="2"/>
  <c r="D98" i="2"/>
  <c r="D100" i="2"/>
  <c r="D99" i="2"/>
  <c r="G97" i="2"/>
  <c r="E97" i="2"/>
  <c r="D97" i="2"/>
  <c r="D95" i="2"/>
  <c r="D93" i="2"/>
  <c r="E92" i="2"/>
  <c r="D94" i="2"/>
  <c r="G92" i="2"/>
  <c r="G87" i="2"/>
  <c r="F92" i="2"/>
  <c r="E87" i="2"/>
  <c r="D88" i="2"/>
  <c r="D90" i="2"/>
  <c r="D89" i="2"/>
  <c r="F87" i="2"/>
  <c r="D92" i="2"/>
  <c r="D87" i="2"/>
  <c r="D84" i="2"/>
  <c r="D85" i="2"/>
  <c r="D83" i="2"/>
  <c r="G82" i="2"/>
  <c r="E82" i="2"/>
  <c r="F82" i="2"/>
  <c r="D82" i="2"/>
  <c r="F70" i="2"/>
  <c r="F67" i="2"/>
  <c r="F68" i="2"/>
  <c r="F75" i="2"/>
  <c r="F73" i="2"/>
  <c r="F72" i="2"/>
  <c r="F71" i="2"/>
  <c r="E70" i="2"/>
  <c r="E75" i="2"/>
  <c r="E68" i="2"/>
  <c r="E73" i="2"/>
  <c r="E72" i="2"/>
  <c r="E71" i="2"/>
  <c r="D68" i="2"/>
  <c r="D73" i="2"/>
  <c r="D72" i="2"/>
  <c r="D71" i="2"/>
  <c r="D70" i="2"/>
  <c r="E67" i="2"/>
  <c r="D67" i="2"/>
  <c r="E30" i="20"/>
  <c r="E40" i="20" s="1"/>
  <c r="F30" i="20"/>
  <c r="F40" i="20" s="1"/>
  <c r="G30" i="20"/>
  <c r="G40" i="20" s="1"/>
  <c r="H30" i="20"/>
  <c r="H40" i="20" s="1"/>
  <c r="I30" i="20"/>
  <c r="I40" i="20" s="1"/>
  <c r="J30" i="20"/>
  <c r="J40" i="20" s="1"/>
  <c r="K30" i="20"/>
  <c r="K40" i="20" s="1"/>
  <c r="L30" i="20"/>
  <c r="L40" i="20" s="1"/>
  <c r="M30" i="20"/>
  <c r="M40" i="20" s="1"/>
  <c r="N30" i="20"/>
  <c r="N40" i="20" s="1"/>
  <c r="O30" i="20"/>
  <c r="P30" i="20"/>
  <c r="P40" i="20" s="1"/>
  <c r="Q30" i="20"/>
  <c r="R30" i="20"/>
  <c r="S30" i="20"/>
  <c r="T30" i="20"/>
  <c r="T40" i="20" s="1"/>
  <c r="U30" i="20"/>
  <c r="U40" i="20" s="1"/>
  <c r="V30" i="20"/>
  <c r="V40" i="20" s="1"/>
  <c r="W30" i="20"/>
  <c r="W40" i="20" s="1"/>
  <c r="X30" i="20"/>
  <c r="X40" i="20" s="1"/>
  <c r="Y30" i="20"/>
  <c r="Z30" i="20"/>
  <c r="AA30" i="20"/>
  <c r="AA40" i="20" s="1"/>
  <c r="AB30" i="20"/>
  <c r="AB40" i="20" s="1"/>
  <c r="AC30" i="20"/>
  <c r="AC39" i="20" s="1"/>
  <c r="E11" i="20"/>
  <c r="F11" i="20"/>
  <c r="G11" i="20"/>
  <c r="H11" i="20"/>
  <c r="I11" i="20"/>
  <c r="J11" i="20"/>
  <c r="K11" i="20"/>
  <c r="L11" i="20"/>
  <c r="M11" i="20"/>
  <c r="N11" i="20"/>
  <c r="O11" i="20"/>
  <c r="P11" i="20"/>
  <c r="Q11" i="20"/>
  <c r="R11" i="20"/>
  <c r="S11" i="20"/>
  <c r="T11" i="20"/>
  <c r="U11" i="20"/>
  <c r="V11" i="20"/>
  <c r="W11" i="20"/>
  <c r="X11" i="20"/>
  <c r="Y11" i="20"/>
  <c r="Z11" i="20"/>
  <c r="AA11" i="20"/>
  <c r="AB11" i="20"/>
  <c r="AC11" i="20"/>
  <c r="T12" i="7"/>
  <c r="K85" i="16"/>
  <c r="G31" i="5" s="1"/>
  <c r="J85" i="16"/>
  <c r="I85" i="16"/>
  <c r="H85" i="16"/>
  <c r="G85" i="16"/>
  <c r="F85" i="16"/>
  <c r="K84" i="16"/>
  <c r="J84" i="16"/>
  <c r="I84" i="16"/>
  <c r="F30" i="5" s="1"/>
  <c r="H84" i="16"/>
  <c r="G84" i="16"/>
  <c r="F84" i="16"/>
  <c r="K82" i="16"/>
  <c r="G28" i="5" s="1"/>
  <c r="J82" i="16"/>
  <c r="I82" i="16"/>
  <c r="H82" i="16"/>
  <c r="G82" i="16"/>
  <c r="E28" i="5" s="1"/>
  <c r="F82" i="16"/>
  <c r="K79" i="16"/>
  <c r="G25" i="5" s="1"/>
  <c r="J79" i="16"/>
  <c r="I79" i="16"/>
  <c r="F25" i="5" s="1"/>
  <c r="H79" i="16"/>
  <c r="G79" i="16"/>
  <c r="F79" i="16"/>
  <c r="K78" i="16"/>
  <c r="J78" i="16"/>
  <c r="I78" i="16"/>
  <c r="F24" i="5" s="1"/>
  <c r="H78" i="16"/>
  <c r="G78" i="16"/>
  <c r="E24" i="5" s="1"/>
  <c r="F78" i="16"/>
  <c r="K76" i="16"/>
  <c r="G22" i="5" s="1"/>
  <c r="J76" i="16"/>
  <c r="I76" i="16"/>
  <c r="H76" i="16"/>
  <c r="F93" i="2" s="1"/>
  <c r="G76" i="16"/>
  <c r="E22" i="5" s="1"/>
  <c r="F76" i="16"/>
  <c r="K73" i="16"/>
  <c r="J73" i="16"/>
  <c r="I73" i="16"/>
  <c r="H73" i="16"/>
  <c r="G73" i="16"/>
  <c r="F73" i="16"/>
  <c r="K72" i="16"/>
  <c r="G18" i="5" s="1"/>
  <c r="J72" i="16"/>
  <c r="I72" i="16"/>
  <c r="H72" i="16"/>
  <c r="G72" i="16"/>
  <c r="F72" i="16"/>
  <c r="K70" i="16"/>
  <c r="J70" i="16"/>
  <c r="G88" i="2" s="1"/>
  <c r="I70" i="16"/>
  <c r="F16" i="5" s="1"/>
  <c r="H70" i="16"/>
  <c r="G70" i="16"/>
  <c r="F70" i="16"/>
  <c r="K67" i="16"/>
  <c r="J67" i="16"/>
  <c r="I67" i="16"/>
  <c r="H67" i="16"/>
  <c r="F85" i="2" s="1"/>
  <c r="G67" i="16"/>
  <c r="F67" i="16"/>
  <c r="K66" i="16"/>
  <c r="J66" i="16"/>
  <c r="I66" i="16"/>
  <c r="H66" i="16"/>
  <c r="G66" i="16"/>
  <c r="K64" i="16"/>
  <c r="J64" i="16"/>
  <c r="D9" i="16"/>
  <c r="C3" i="10"/>
  <c r="C3" i="3"/>
  <c r="E15" i="3"/>
  <c r="D222" i="2"/>
  <c r="D215" i="2"/>
  <c r="G216" i="2" s="1"/>
  <c r="D208" i="2"/>
  <c r="G215" i="2" s="1"/>
  <c r="D145" i="2"/>
  <c r="G208" i="2" s="1"/>
  <c r="D152" i="2"/>
  <c r="G209" i="2" s="1"/>
  <c r="D159" i="2"/>
  <c r="G210" i="2" s="1"/>
  <c r="D166" i="2"/>
  <c r="D173" i="2"/>
  <c r="D18" i="10"/>
  <c r="E18" i="10"/>
  <c r="F18" i="10"/>
  <c r="G18" i="10"/>
  <c r="H18" i="10"/>
  <c r="I18" i="10"/>
  <c r="J18" i="10"/>
  <c r="K18" i="10"/>
  <c r="L18" i="10"/>
  <c r="M18" i="10"/>
  <c r="D19" i="10"/>
  <c r="E19" i="10"/>
  <c r="F19" i="10"/>
  <c r="G19" i="10"/>
  <c r="H19" i="10"/>
  <c r="I19" i="10"/>
  <c r="J19" i="10"/>
  <c r="K19" i="10"/>
  <c r="L19" i="10"/>
  <c r="M19" i="10"/>
  <c r="D20" i="10"/>
  <c r="E20" i="10"/>
  <c r="F20" i="10"/>
  <c r="G20" i="10"/>
  <c r="H20" i="10"/>
  <c r="I20" i="10"/>
  <c r="J20" i="10"/>
  <c r="K20" i="10"/>
  <c r="L20" i="10"/>
  <c r="M20" i="10"/>
  <c r="D21" i="10"/>
  <c r="E21" i="10"/>
  <c r="F21" i="10"/>
  <c r="G21" i="10"/>
  <c r="H21" i="10"/>
  <c r="I21" i="10"/>
  <c r="J21" i="10"/>
  <c r="K21" i="10"/>
  <c r="L21" i="10"/>
  <c r="M21" i="10"/>
  <c r="D22" i="10"/>
  <c r="E22" i="10"/>
  <c r="F22" i="10"/>
  <c r="G22" i="10"/>
  <c r="H22" i="10"/>
  <c r="I22" i="10"/>
  <c r="J22" i="10"/>
  <c r="K22" i="10"/>
  <c r="L22" i="10"/>
  <c r="M22" i="10"/>
  <c r="D23" i="10"/>
  <c r="E23" i="10"/>
  <c r="F23" i="10"/>
  <c r="G23" i="10"/>
  <c r="H23" i="10"/>
  <c r="I23" i="10"/>
  <c r="J23" i="10"/>
  <c r="K23" i="10"/>
  <c r="L23" i="10"/>
  <c r="M23" i="10"/>
  <c r="D24" i="10"/>
  <c r="E24" i="10"/>
  <c r="F24" i="10"/>
  <c r="G24" i="10"/>
  <c r="H24" i="10"/>
  <c r="I24" i="10"/>
  <c r="J24" i="10"/>
  <c r="K24" i="10"/>
  <c r="L24" i="10"/>
  <c r="M24" i="10"/>
  <c r="D25" i="10"/>
  <c r="E25" i="10"/>
  <c r="F25" i="10"/>
  <c r="G25" i="10"/>
  <c r="H25" i="10"/>
  <c r="I25" i="10"/>
  <c r="J25" i="10"/>
  <c r="K25" i="10"/>
  <c r="L25" i="10"/>
  <c r="M25" i="10"/>
  <c r="D26" i="10"/>
  <c r="E26" i="10"/>
  <c r="F26" i="10"/>
  <c r="G26" i="10"/>
  <c r="H26" i="10"/>
  <c r="I26" i="10"/>
  <c r="J26" i="10"/>
  <c r="K26" i="10"/>
  <c r="L26" i="10"/>
  <c r="M26" i="10"/>
  <c r="D27" i="10"/>
  <c r="E27" i="10"/>
  <c r="F27" i="10"/>
  <c r="G27" i="10"/>
  <c r="H27" i="10"/>
  <c r="I27" i="10"/>
  <c r="J27" i="10"/>
  <c r="K27" i="10"/>
  <c r="L27" i="10"/>
  <c r="M27" i="10"/>
  <c r="D28" i="10"/>
  <c r="E28" i="10"/>
  <c r="F28" i="10"/>
  <c r="G28" i="10"/>
  <c r="H28" i="10"/>
  <c r="I28" i="10"/>
  <c r="J28" i="10"/>
  <c r="K28" i="10"/>
  <c r="L28" i="10"/>
  <c r="M28" i="10"/>
  <c r="C19" i="10"/>
  <c r="C20" i="10"/>
  <c r="C21" i="10"/>
  <c r="C22" i="10"/>
  <c r="C23" i="10"/>
  <c r="C24" i="10"/>
  <c r="C25" i="10"/>
  <c r="C26" i="10"/>
  <c r="C27" i="10"/>
  <c r="C28" i="10"/>
  <c r="C18" i="10"/>
  <c r="D3" i="10"/>
  <c r="E3" i="10"/>
  <c r="F3" i="10"/>
  <c r="G3" i="10"/>
  <c r="H3" i="10"/>
  <c r="I3" i="10"/>
  <c r="J3" i="10"/>
  <c r="K3" i="10"/>
  <c r="L3" i="10"/>
  <c r="M3" i="10"/>
  <c r="D4" i="10"/>
  <c r="E4" i="10"/>
  <c r="F4" i="10"/>
  <c r="G4" i="10"/>
  <c r="H4" i="10"/>
  <c r="I4" i="10"/>
  <c r="J4" i="10"/>
  <c r="K4" i="10"/>
  <c r="L4" i="10"/>
  <c r="M4" i="10"/>
  <c r="D5" i="10"/>
  <c r="E5" i="10"/>
  <c r="F5" i="10"/>
  <c r="G5" i="10"/>
  <c r="H5" i="10"/>
  <c r="I5" i="10"/>
  <c r="J5" i="10"/>
  <c r="K5" i="10"/>
  <c r="L5" i="10"/>
  <c r="M5" i="10"/>
  <c r="D6" i="10"/>
  <c r="E6" i="10"/>
  <c r="F6" i="10"/>
  <c r="G6" i="10"/>
  <c r="H6" i="10"/>
  <c r="I6" i="10"/>
  <c r="J6" i="10"/>
  <c r="K6" i="10"/>
  <c r="L6" i="10"/>
  <c r="M6" i="10"/>
  <c r="D7" i="10"/>
  <c r="E7" i="10"/>
  <c r="F7" i="10"/>
  <c r="G7" i="10"/>
  <c r="H7" i="10"/>
  <c r="I7" i="10"/>
  <c r="J7" i="10"/>
  <c r="K7" i="10"/>
  <c r="L7" i="10"/>
  <c r="M7" i="10"/>
  <c r="D8" i="10"/>
  <c r="E8" i="10"/>
  <c r="F8" i="10"/>
  <c r="G8" i="10"/>
  <c r="H8" i="10"/>
  <c r="I8" i="10"/>
  <c r="J8" i="10"/>
  <c r="K8" i="10"/>
  <c r="L8" i="10"/>
  <c r="M8" i="10"/>
  <c r="D9" i="10"/>
  <c r="E9" i="10"/>
  <c r="F9" i="10"/>
  <c r="G9" i="10"/>
  <c r="H9" i="10"/>
  <c r="I9" i="10"/>
  <c r="J9" i="10"/>
  <c r="K9" i="10"/>
  <c r="L9" i="10"/>
  <c r="M9" i="10"/>
  <c r="D10" i="10"/>
  <c r="E10" i="10"/>
  <c r="F10" i="10"/>
  <c r="G10" i="10"/>
  <c r="H10" i="10"/>
  <c r="I10" i="10"/>
  <c r="J10" i="10"/>
  <c r="K10" i="10"/>
  <c r="L10" i="10"/>
  <c r="M10" i="10"/>
  <c r="D11" i="10"/>
  <c r="E11" i="10"/>
  <c r="F11" i="10"/>
  <c r="G11" i="10"/>
  <c r="H11" i="10"/>
  <c r="I11" i="10"/>
  <c r="J11" i="10"/>
  <c r="K11" i="10"/>
  <c r="L11" i="10"/>
  <c r="M11" i="10"/>
  <c r="D12" i="10"/>
  <c r="E12" i="10"/>
  <c r="F12" i="10"/>
  <c r="G12" i="10"/>
  <c r="H12" i="10"/>
  <c r="I12" i="10"/>
  <c r="J12" i="10"/>
  <c r="K12" i="10"/>
  <c r="L12" i="10"/>
  <c r="M12" i="10"/>
  <c r="D13" i="10"/>
  <c r="E13" i="10"/>
  <c r="F13" i="10"/>
  <c r="G13" i="10"/>
  <c r="H13" i="10"/>
  <c r="I13" i="10"/>
  <c r="J13" i="10"/>
  <c r="K13" i="10"/>
  <c r="L13" i="10"/>
  <c r="M13" i="10"/>
  <c r="C4" i="10"/>
  <c r="C5" i="10"/>
  <c r="C6" i="10"/>
  <c r="C7" i="10"/>
  <c r="C8" i="10"/>
  <c r="C9" i="10"/>
  <c r="C10" i="10"/>
  <c r="C11" i="10"/>
  <c r="C12" i="10"/>
  <c r="C13" i="10"/>
  <c r="C15" i="3"/>
  <c r="K15" i="3"/>
  <c r="E8" i="3"/>
  <c r="C7" i="3"/>
  <c r="H15" i="3"/>
  <c r="D9" i="7"/>
  <c r="E9" i="7"/>
  <c r="F9" i="7"/>
  <c r="G9" i="7"/>
  <c r="H9" i="7"/>
  <c r="I9" i="7"/>
  <c r="J9" i="7"/>
  <c r="K9" i="7"/>
  <c r="L9" i="7"/>
  <c r="M9" i="7"/>
  <c r="N9" i="7"/>
  <c r="O9" i="7"/>
  <c r="P9" i="7"/>
  <c r="Q9" i="7"/>
  <c r="R9" i="7"/>
  <c r="S9" i="7"/>
  <c r="T9" i="7"/>
  <c r="U9" i="7"/>
  <c r="V9" i="7"/>
  <c r="W9" i="7"/>
  <c r="X9" i="7"/>
  <c r="Y9" i="7"/>
  <c r="Z9" i="7"/>
  <c r="AA9" i="7"/>
  <c r="D10" i="7"/>
  <c r="E10" i="7"/>
  <c r="F10" i="7"/>
  <c r="G10" i="7"/>
  <c r="H10" i="7"/>
  <c r="I10" i="7"/>
  <c r="J10" i="7"/>
  <c r="K10" i="7"/>
  <c r="L10" i="7"/>
  <c r="M10" i="7"/>
  <c r="N10" i="7"/>
  <c r="O10" i="7"/>
  <c r="P10" i="7"/>
  <c r="Q10" i="7"/>
  <c r="R10" i="7"/>
  <c r="S10" i="7"/>
  <c r="T10" i="7"/>
  <c r="U10" i="7"/>
  <c r="V10" i="7"/>
  <c r="W10" i="7"/>
  <c r="X10" i="7"/>
  <c r="Y10" i="7"/>
  <c r="Z10" i="7"/>
  <c r="AA10" i="7"/>
  <c r="D11" i="7"/>
  <c r="E11" i="7"/>
  <c r="F11" i="7"/>
  <c r="G11" i="7"/>
  <c r="H11" i="7"/>
  <c r="I11" i="7"/>
  <c r="J11" i="7"/>
  <c r="K11" i="7"/>
  <c r="L11" i="7"/>
  <c r="M11" i="7"/>
  <c r="N11" i="7"/>
  <c r="O11" i="7"/>
  <c r="P11" i="7"/>
  <c r="Q11" i="7"/>
  <c r="R11" i="7"/>
  <c r="S11" i="7"/>
  <c r="T11" i="7"/>
  <c r="U11" i="7"/>
  <c r="V11" i="7"/>
  <c r="W11" i="7"/>
  <c r="X11" i="7"/>
  <c r="Y11" i="7"/>
  <c r="Z11" i="7"/>
  <c r="AA11" i="7"/>
  <c r="D12" i="7"/>
  <c r="E12" i="7"/>
  <c r="F12" i="7"/>
  <c r="G12" i="7"/>
  <c r="H12" i="7"/>
  <c r="I12" i="7"/>
  <c r="J12" i="7"/>
  <c r="K12" i="7"/>
  <c r="L12" i="7"/>
  <c r="D13" i="7"/>
  <c r="E13" i="7"/>
  <c r="F13" i="7"/>
  <c r="G13" i="7"/>
  <c r="H13" i="7"/>
  <c r="I13" i="7"/>
  <c r="J13" i="7"/>
  <c r="K13" i="7"/>
  <c r="L13" i="7"/>
  <c r="M13" i="7"/>
  <c r="N13" i="7"/>
  <c r="O13" i="7"/>
  <c r="P13" i="7"/>
  <c r="Q13" i="7"/>
  <c r="R13" i="7"/>
  <c r="S13" i="7"/>
  <c r="T13" i="7"/>
  <c r="U13" i="7"/>
  <c r="V13" i="7"/>
  <c r="W13" i="7"/>
  <c r="X13" i="7"/>
  <c r="Y13" i="7"/>
  <c r="Z13" i="7"/>
  <c r="AA13" i="7"/>
  <c r="D14" i="7"/>
  <c r="E14" i="7"/>
  <c r="F14" i="7"/>
  <c r="G14" i="7"/>
  <c r="H14" i="7"/>
  <c r="I14" i="7"/>
  <c r="J14" i="7"/>
  <c r="K14" i="7"/>
  <c r="L14" i="7"/>
  <c r="M14" i="7"/>
  <c r="N14" i="7"/>
  <c r="O14" i="7"/>
  <c r="P14" i="7"/>
  <c r="Q14" i="7"/>
  <c r="R14" i="7"/>
  <c r="S14" i="7"/>
  <c r="T14" i="7"/>
  <c r="U14" i="7"/>
  <c r="V14" i="7"/>
  <c r="W14" i="7"/>
  <c r="X14" i="7"/>
  <c r="Y14" i="7"/>
  <c r="Z14" i="7"/>
  <c r="AA14" i="7"/>
  <c r="C9" i="7"/>
  <c r="C10" i="7"/>
  <c r="C11" i="7"/>
  <c r="C13" i="7"/>
  <c r="C14" i="7"/>
  <c r="C12" i="7"/>
  <c r="AA40" i="7"/>
  <c r="Z40" i="7"/>
  <c r="Y40" i="7"/>
  <c r="X40" i="7"/>
  <c r="W40" i="7"/>
  <c r="V40" i="7"/>
  <c r="U40" i="7"/>
  <c r="T40" i="7"/>
  <c r="S40" i="7"/>
  <c r="R40" i="7"/>
  <c r="Q40" i="7"/>
  <c r="P40" i="7"/>
  <c r="O40" i="7"/>
  <c r="N40" i="7"/>
  <c r="M40" i="7"/>
  <c r="L40" i="7"/>
  <c r="K40" i="7"/>
  <c r="J40" i="7"/>
  <c r="I40" i="7"/>
  <c r="H40" i="7"/>
  <c r="G40" i="7"/>
  <c r="F40" i="7"/>
  <c r="E40" i="7"/>
  <c r="D40" i="7"/>
  <c r="C40" i="7"/>
  <c r="AA24" i="7"/>
  <c r="Z24" i="7"/>
  <c r="Y24" i="7"/>
  <c r="X24" i="7"/>
  <c r="W24" i="7"/>
  <c r="V24" i="7"/>
  <c r="U24" i="7"/>
  <c r="T24" i="7"/>
  <c r="S24" i="7"/>
  <c r="R24" i="7"/>
  <c r="Q24" i="7"/>
  <c r="P24" i="7"/>
  <c r="O24" i="7"/>
  <c r="N24" i="7"/>
  <c r="M24" i="7"/>
  <c r="L24" i="7"/>
  <c r="K24" i="7"/>
  <c r="J24" i="7"/>
  <c r="I24" i="7"/>
  <c r="H24" i="7"/>
  <c r="G24" i="7"/>
  <c r="F24" i="7"/>
  <c r="E24" i="7"/>
  <c r="D24" i="7"/>
  <c r="C24" i="7"/>
  <c r="AA8" i="7"/>
  <c r="Z8" i="7"/>
  <c r="Y8" i="7"/>
  <c r="X8" i="7"/>
  <c r="W8" i="7"/>
  <c r="V8" i="7"/>
  <c r="U8" i="7"/>
  <c r="T8" i="7"/>
  <c r="S8" i="7"/>
  <c r="R8" i="7"/>
  <c r="Q8" i="7"/>
  <c r="P8" i="7"/>
  <c r="O8" i="7"/>
  <c r="N8" i="7"/>
  <c r="M8" i="7"/>
  <c r="L8" i="7"/>
  <c r="K8" i="7"/>
  <c r="J8" i="7"/>
  <c r="I8" i="7"/>
  <c r="H8" i="7"/>
  <c r="G8" i="7"/>
  <c r="F8" i="7"/>
  <c r="E8" i="7"/>
  <c r="D8" i="7"/>
  <c r="C8" i="7"/>
  <c r="C4" i="3"/>
  <c r="D4" i="3"/>
  <c r="E4" i="3"/>
  <c r="C5" i="3"/>
  <c r="D5" i="3"/>
  <c r="E5" i="3"/>
  <c r="E3" i="3"/>
  <c r="D3" i="3"/>
  <c r="CD15" i="3"/>
  <c r="CC15" i="3"/>
  <c r="CB15" i="3"/>
  <c r="CA15" i="3"/>
  <c r="BZ15" i="3"/>
  <c r="BY15" i="3"/>
  <c r="BX15" i="3"/>
  <c r="BW15" i="3"/>
  <c r="BV15" i="3"/>
  <c r="BU15" i="3"/>
  <c r="BT15" i="3"/>
  <c r="BS15" i="3"/>
  <c r="BR15" i="3"/>
  <c r="BQ15" i="3"/>
  <c r="BP15" i="3"/>
  <c r="BO15" i="3"/>
  <c r="BN15" i="3"/>
  <c r="BM15" i="3"/>
  <c r="BL15" i="3"/>
  <c r="BK15" i="3"/>
  <c r="BJ15" i="3"/>
  <c r="BI15" i="3"/>
  <c r="BH15" i="3"/>
  <c r="BG15" i="3"/>
  <c r="BF15" i="3"/>
  <c r="BE15" i="3"/>
  <c r="BD15" i="3"/>
  <c r="BC15" i="3"/>
  <c r="BB15" i="3"/>
  <c r="BA15" i="3"/>
  <c r="AZ15" i="3"/>
  <c r="AY15" i="3"/>
  <c r="AX15" i="3"/>
  <c r="AW15" i="3"/>
  <c r="AV15" i="3"/>
  <c r="AU15" i="3"/>
  <c r="AT15" i="3"/>
  <c r="AS15" i="3"/>
  <c r="AR15" i="3"/>
  <c r="AQ15" i="3"/>
  <c r="AP15" i="3"/>
  <c r="AO15" i="3"/>
  <c r="AN15" i="3"/>
  <c r="AM15" i="3"/>
  <c r="AL15" i="3"/>
  <c r="AK15" i="3"/>
  <c r="AJ15" i="3"/>
  <c r="AI15" i="3"/>
  <c r="AH15" i="3"/>
  <c r="AG15" i="3"/>
  <c r="AF15" i="3"/>
  <c r="AE15" i="3"/>
  <c r="AD15" i="3"/>
  <c r="AC15" i="3"/>
  <c r="AB15" i="3"/>
  <c r="AA15" i="3"/>
  <c r="Z15" i="3"/>
  <c r="Y15" i="3"/>
  <c r="X15" i="3"/>
  <c r="W15" i="3"/>
  <c r="V15" i="3"/>
  <c r="U15" i="3"/>
  <c r="T15" i="3"/>
  <c r="S15" i="3"/>
  <c r="R15" i="3"/>
  <c r="Q15" i="3"/>
  <c r="P15" i="3"/>
  <c r="O15" i="3"/>
  <c r="N15" i="3"/>
  <c r="M15" i="3"/>
  <c r="L15" i="3"/>
  <c r="J15" i="3"/>
  <c r="I15" i="3"/>
  <c r="G15" i="3"/>
  <c r="F15" i="3"/>
  <c r="D15" i="3"/>
  <c r="D10" i="3"/>
  <c r="C9" i="3"/>
  <c r="E9" i="3"/>
  <c r="D9" i="3"/>
  <c r="E11" i="3"/>
  <c r="D11" i="3"/>
  <c r="E10" i="3"/>
  <c r="E85" i="2"/>
  <c r="G85" i="2"/>
  <c r="F83" i="2"/>
  <c r="E84" i="2"/>
  <c r="F98" i="2" l="1"/>
  <c r="F28" i="5"/>
  <c r="G30" i="5"/>
  <c r="E100" i="2"/>
  <c r="E31" i="5"/>
  <c r="H62" i="5" s="1"/>
  <c r="E30" i="5"/>
  <c r="F31" i="5"/>
  <c r="E95" i="2"/>
  <c r="E25" i="5"/>
  <c r="D56" i="5" s="1"/>
  <c r="F22" i="5"/>
  <c r="G24" i="5"/>
  <c r="E19" i="5"/>
  <c r="J50" i="5" s="1"/>
  <c r="E18" i="5"/>
  <c r="F90" i="2"/>
  <c r="F19" i="5"/>
  <c r="G89" i="2"/>
  <c r="E16" i="5"/>
  <c r="G47" i="5" s="1"/>
  <c r="F18" i="5"/>
  <c r="G19" i="5"/>
  <c r="G16" i="5"/>
  <c r="F88" i="2"/>
  <c r="L28" i="5"/>
  <c r="M30" i="5"/>
  <c r="L12" i="5"/>
  <c r="M31" i="5"/>
  <c r="L18" i="5"/>
  <c r="AS49" i="5" s="1"/>
  <c r="M12" i="5"/>
  <c r="L16" i="5"/>
  <c r="AT47" i="5" s="1"/>
  <c r="L13" i="5"/>
  <c r="M13" i="5"/>
  <c r="L31" i="5"/>
  <c r="L30" i="5"/>
  <c r="L25" i="5"/>
  <c r="AK56" i="5" s="1"/>
  <c r="M22" i="5"/>
  <c r="M25" i="5"/>
  <c r="M24" i="5"/>
  <c r="L22" i="5"/>
  <c r="L24" i="5"/>
  <c r="M16" i="5"/>
  <c r="L19" i="5"/>
  <c r="M19" i="5"/>
  <c r="M18" i="5"/>
  <c r="X20" i="20"/>
  <c r="X21" i="20"/>
  <c r="P20" i="20"/>
  <c r="P21" i="20"/>
  <c r="H20" i="20"/>
  <c r="H21" i="20"/>
  <c r="X12" i="7"/>
  <c r="X18" i="7" s="1"/>
  <c r="Y40" i="20"/>
  <c r="Q39" i="20"/>
  <c r="Q40" i="20"/>
  <c r="W20" i="20"/>
  <c r="W21" i="20"/>
  <c r="O20" i="20"/>
  <c r="O21" i="20"/>
  <c r="G20" i="20"/>
  <c r="G21" i="20"/>
  <c r="U20" i="20"/>
  <c r="U21" i="20"/>
  <c r="M20" i="20"/>
  <c r="M21" i="20"/>
  <c r="E20" i="20"/>
  <c r="E21" i="20"/>
  <c r="D20" i="20"/>
  <c r="D21" i="20"/>
  <c r="N20" i="20"/>
  <c r="N21" i="20"/>
  <c r="AB20" i="20"/>
  <c r="AB21" i="20"/>
  <c r="T20" i="20"/>
  <c r="T21" i="20"/>
  <c r="L20" i="20"/>
  <c r="L21" i="20"/>
  <c r="AA20" i="20"/>
  <c r="AA21" i="20"/>
  <c r="S20" i="20"/>
  <c r="S21" i="20"/>
  <c r="K20" i="20"/>
  <c r="K21" i="20"/>
  <c r="Z20" i="20"/>
  <c r="Z21" i="20"/>
  <c r="R20" i="20"/>
  <c r="R21" i="20"/>
  <c r="J20" i="20"/>
  <c r="J21" i="20"/>
  <c r="R12" i="7"/>
  <c r="R18" i="7" s="1"/>
  <c r="S40" i="20"/>
  <c r="V20" i="20"/>
  <c r="V21" i="20"/>
  <c r="F20" i="20"/>
  <c r="F21" i="20"/>
  <c r="N12" i="7"/>
  <c r="N18" i="7" s="1"/>
  <c r="O40" i="20"/>
  <c r="Y20" i="20"/>
  <c r="Y21" i="20"/>
  <c r="Q20" i="20"/>
  <c r="Q21" i="20"/>
  <c r="I20" i="20"/>
  <c r="I21" i="20"/>
  <c r="Y12" i="7"/>
  <c r="Y18" i="7" s="1"/>
  <c r="Z40" i="20"/>
  <c r="Q12" i="7"/>
  <c r="Q18" i="7" s="1"/>
  <c r="R40" i="20"/>
  <c r="F99" i="2"/>
  <c r="F94" i="2"/>
  <c r="L55" i="5"/>
  <c r="J53" i="5"/>
  <c r="G95" i="2"/>
  <c r="E88" i="2"/>
  <c r="G83" i="2"/>
  <c r="G100" i="2"/>
  <c r="E94" i="2"/>
  <c r="AF58" i="5"/>
  <c r="BH40" i="5"/>
  <c r="G98" i="2"/>
  <c r="E93" i="2"/>
  <c r="E98" i="2"/>
  <c r="G99" i="2"/>
  <c r="F84" i="2"/>
  <c r="AB42" i="5"/>
  <c r="AG42" i="5"/>
  <c r="O60" i="5"/>
  <c r="F100" i="2"/>
  <c r="H59" i="5"/>
  <c r="G93" i="2"/>
  <c r="AF60" i="5"/>
  <c r="E90" i="2"/>
  <c r="Q48" i="5"/>
  <c r="E89" i="2"/>
  <c r="G94" i="2"/>
  <c r="BB48" i="5"/>
  <c r="AG48" i="5"/>
  <c r="AY48" i="5"/>
  <c r="AU48" i="5"/>
  <c r="AK48" i="5"/>
  <c r="AH48" i="5"/>
  <c r="BD48" i="5"/>
  <c r="AM48" i="5"/>
  <c r="AO48" i="5"/>
  <c r="AJ48" i="5"/>
  <c r="AW48" i="5"/>
  <c r="AR48" i="5"/>
  <c r="BC48" i="5"/>
  <c r="AZ48" i="5"/>
  <c r="AQ48" i="5"/>
  <c r="AS48" i="5"/>
  <c r="AF48" i="5"/>
  <c r="AP48" i="5"/>
  <c r="BA48" i="5"/>
  <c r="AN48" i="5"/>
  <c r="AX48" i="5"/>
  <c r="AL48" i="5"/>
  <c r="AV48" i="5"/>
  <c r="AI48" i="5"/>
  <c r="AT48" i="5"/>
  <c r="I54" i="5"/>
  <c r="F95" i="2"/>
  <c r="E99" i="2"/>
  <c r="G90" i="2"/>
  <c r="F89" i="2"/>
  <c r="L42" i="5"/>
  <c r="K42" i="5"/>
  <c r="J42" i="5"/>
  <c r="I42" i="5"/>
  <c r="H42" i="5"/>
  <c r="G42" i="5"/>
  <c r="F42" i="5"/>
  <c r="D42" i="5"/>
  <c r="M42" i="5"/>
  <c r="E42" i="5"/>
  <c r="AH46" i="5"/>
  <c r="BI46" i="5"/>
  <c r="G84" i="2"/>
  <c r="T31" i="5"/>
  <c r="I58" i="5"/>
  <c r="H18" i="7"/>
  <c r="E18" i="7"/>
  <c r="L18" i="7"/>
  <c r="D18" i="7"/>
  <c r="T18" i="7"/>
  <c r="K18" i="7"/>
  <c r="J18" i="7"/>
  <c r="I18" i="7"/>
  <c r="G18" i="7"/>
  <c r="F18" i="7"/>
  <c r="C18" i="7"/>
  <c r="E17" i="3"/>
  <c r="O39" i="20"/>
  <c r="F22" i="3"/>
  <c r="F25" i="7" s="1"/>
  <c r="AF52" i="5"/>
  <c r="V12" i="7"/>
  <c r="V18" i="7" s="1"/>
  <c r="F18" i="3"/>
  <c r="N39" i="20"/>
  <c r="AA39" i="20"/>
  <c r="D52" i="5"/>
  <c r="AL40" i="5"/>
  <c r="E39" i="20"/>
  <c r="T39" i="20"/>
  <c r="Y39" i="20"/>
  <c r="H39" i="20"/>
  <c r="J16" i="3"/>
  <c r="H20" i="3"/>
  <c r="G39" i="20"/>
  <c r="E23" i="3"/>
  <c r="E26" i="7" s="1"/>
  <c r="E42" i="7" s="1"/>
  <c r="U39" i="20"/>
  <c r="M39" i="20"/>
  <c r="Z39" i="20"/>
  <c r="L46" i="5"/>
  <c r="D46" i="5"/>
  <c r="Q46" i="5"/>
  <c r="BA40" i="5"/>
  <c r="AJ40" i="5"/>
  <c r="F23" i="3"/>
  <c r="F26" i="7" s="1"/>
  <c r="F42" i="7" s="1"/>
  <c r="AH40" i="5"/>
  <c r="M58" i="5"/>
  <c r="F58" i="5"/>
  <c r="H58" i="5"/>
  <c r="K58" i="5"/>
  <c r="AN46" i="5"/>
  <c r="S17" i="7"/>
  <c r="P17" i="7"/>
  <c r="K52" i="5"/>
  <c r="AI58" i="5"/>
  <c r="W17" i="7"/>
  <c r="O17" i="7"/>
  <c r="K41" i="5"/>
  <c r="AS52" i="5"/>
  <c r="AA17" i="7"/>
  <c r="T17" i="7"/>
  <c r="R46" i="5"/>
  <c r="BB52" i="5"/>
  <c r="P46" i="5"/>
  <c r="E17" i="7"/>
  <c r="T46" i="5"/>
  <c r="I41" i="5"/>
  <c r="M17" i="7"/>
  <c r="K17" i="7"/>
  <c r="Z46" i="5"/>
  <c r="G41" i="5"/>
  <c r="AF40" i="5"/>
  <c r="G52" i="5"/>
  <c r="AM40" i="5"/>
  <c r="AH52" i="5"/>
  <c r="J41" i="5"/>
  <c r="E58" i="5"/>
  <c r="O46" i="5"/>
  <c r="AX52" i="5"/>
  <c r="L41" i="5"/>
  <c r="F17" i="7"/>
  <c r="U17" i="7"/>
  <c r="L17" i="7"/>
  <c r="J17" i="7"/>
  <c r="I17" i="7"/>
  <c r="Q17" i="7"/>
  <c r="X17" i="7"/>
  <c r="L17" i="3"/>
  <c r="R17" i="3" s="1"/>
  <c r="I44" i="5"/>
  <c r="I16" i="3"/>
  <c r="AH58" i="5"/>
  <c r="F17" i="3"/>
  <c r="AR40" i="5"/>
  <c r="AV46" i="5"/>
  <c r="AA46" i="5"/>
  <c r="Q52" i="5"/>
  <c r="Y52" i="5"/>
  <c r="W46" i="5"/>
  <c r="AK52" i="5"/>
  <c r="Z52" i="5"/>
  <c r="I52" i="5"/>
  <c r="AG52" i="5"/>
  <c r="D17" i="7"/>
  <c r="H17" i="7"/>
  <c r="D20" i="3"/>
  <c r="BD52" i="5"/>
  <c r="G17" i="7"/>
  <c r="J17" i="3"/>
  <c r="Z17" i="7"/>
  <c r="Y17" i="7"/>
  <c r="E20" i="3"/>
  <c r="F20" i="3"/>
  <c r="C20" i="3"/>
  <c r="K20" i="3"/>
  <c r="I20" i="3"/>
  <c r="K23" i="3"/>
  <c r="K26" i="7" s="1"/>
  <c r="K42" i="7" s="1"/>
  <c r="C23" i="3"/>
  <c r="C26" i="7" s="1"/>
  <c r="H23" i="3"/>
  <c r="H26" i="7" s="1"/>
  <c r="H42" i="7" s="1"/>
  <c r="I23" i="3"/>
  <c r="I26" i="7" s="1"/>
  <c r="I42" i="7" s="1"/>
  <c r="L23" i="3"/>
  <c r="AA23" i="3" s="1"/>
  <c r="AA26" i="7" s="1"/>
  <c r="AA42" i="7" s="1"/>
  <c r="H43" i="5"/>
  <c r="AA52" i="5"/>
  <c r="Y46" i="5"/>
  <c r="U46" i="5"/>
  <c r="AO40" i="5"/>
  <c r="AS40" i="5"/>
  <c r="AW46" i="5"/>
  <c r="O52" i="5"/>
  <c r="S46" i="5"/>
  <c r="S58" i="5"/>
  <c r="AK40" i="5"/>
  <c r="U52" i="5"/>
  <c r="E52" i="5"/>
  <c r="U58" i="5"/>
  <c r="AN40" i="5"/>
  <c r="E46" i="5"/>
  <c r="Y58" i="5"/>
  <c r="AI40" i="5"/>
  <c r="AV58" i="5"/>
  <c r="AZ46" i="5"/>
  <c r="K17" i="3"/>
  <c r="L20" i="3"/>
  <c r="G20" i="3"/>
  <c r="AO52" i="5"/>
  <c r="H44" i="5"/>
  <c r="S44" i="5"/>
  <c r="L43" i="5"/>
  <c r="G44" i="5"/>
  <c r="H41" i="5"/>
  <c r="Z58" i="5"/>
  <c r="V17" i="7"/>
  <c r="N17" i="7"/>
  <c r="C17" i="7"/>
  <c r="R17" i="7"/>
  <c r="AB46" i="5"/>
  <c r="E41" i="5"/>
  <c r="F43" i="5"/>
  <c r="S41" i="5"/>
  <c r="D43" i="5"/>
  <c r="K43" i="5"/>
  <c r="CE40" i="5"/>
  <c r="I43" i="5"/>
  <c r="E43" i="5"/>
  <c r="M43" i="5"/>
  <c r="J43" i="5"/>
  <c r="M41" i="5"/>
  <c r="X41" i="5"/>
  <c r="G43" i="5"/>
  <c r="O41" i="5"/>
  <c r="P58" i="5"/>
  <c r="BP61" i="5"/>
  <c r="K18" i="3"/>
  <c r="J20" i="3"/>
  <c r="D22" i="3"/>
  <c r="D25" i="7" s="1"/>
  <c r="C22" i="3"/>
  <c r="C25" i="7" s="1"/>
  <c r="E22" i="3"/>
  <c r="E25" i="7" s="1"/>
  <c r="U44" i="5"/>
  <c r="U41" i="5"/>
  <c r="BJ61" i="5"/>
  <c r="J44" i="5"/>
  <c r="BB46" i="5"/>
  <c r="P52" i="5"/>
  <c r="V52" i="5"/>
  <c r="G58" i="5"/>
  <c r="J52" i="5"/>
  <c r="V46" i="5"/>
  <c r="T58" i="5"/>
  <c r="AU40" i="5"/>
  <c r="AO46" i="5"/>
  <c r="AP52" i="5"/>
  <c r="AJ58" i="5"/>
  <c r="AT46" i="5"/>
  <c r="R52" i="5"/>
  <c r="S52" i="5"/>
  <c r="J58" i="5"/>
  <c r="F52" i="5"/>
  <c r="X46" i="5"/>
  <c r="BD40" i="5"/>
  <c r="AG46" i="5"/>
  <c r="BA46" i="5"/>
  <c r="D58" i="5"/>
  <c r="AB52" i="5"/>
  <c r="BC58" i="5"/>
  <c r="J46" i="5"/>
  <c r="BB58" i="5"/>
  <c r="AK58" i="5"/>
  <c r="R44" i="5"/>
  <c r="Q44" i="5"/>
  <c r="H22" i="3"/>
  <c r="H25" i="7" s="1"/>
  <c r="AJ46" i="5"/>
  <c r="BC46" i="5"/>
  <c r="T44" i="5"/>
  <c r="AI46" i="5"/>
  <c r="AU46" i="5"/>
  <c r="C18" i="3"/>
  <c r="J18" i="3"/>
  <c r="AW40" i="5"/>
  <c r="AZ40" i="5"/>
  <c r="AV40" i="5"/>
  <c r="AZ52" i="5"/>
  <c r="BA52" i="5"/>
  <c r="AI52" i="5"/>
  <c r="AU52" i="5"/>
  <c r="V44" i="5"/>
  <c r="AL46" i="5"/>
  <c r="J22" i="3"/>
  <c r="J25" i="7" s="1"/>
  <c r="K22" i="3"/>
  <c r="K25" i="7" s="1"/>
  <c r="AM46" i="5"/>
  <c r="AK46" i="5"/>
  <c r="W44" i="5"/>
  <c r="F44" i="5"/>
  <c r="AF46" i="5"/>
  <c r="BD46" i="5"/>
  <c r="AX46" i="5"/>
  <c r="F41" i="5"/>
  <c r="V41" i="5"/>
  <c r="N58" i="5"/>
  <c r="AA58" i="5"/>
  <c r="V58" i="5"/>
  <c r="W58" i="5"/>
  <c r="E16" i="3"/>
  <c r="H16" i="3"/>
  <c r="L16" i="3"/>
  <c r="Z16" i="3" s="1"/>
  <c r="D23" i="3"/>
  <c r="D26" i="7" s="1"/>
  <c r="D42" i="7" s="1"/>
  <c r="G23" i="3"/>
  <c r="G26" i="7" s="1"/>
  <c r="G42" i="7" s="1"/>
  <c r="J23" i="3"/>
  <c r="J26" i="7" s="1"/>
  <c r="J42" i="7" s="1"/>
  <c r="D44" i="5"/>
  <c r="T52" i="5"/>
  <c r="X52" i="5"/>
  <c r="L58" i="5"/>
  <c r="L52" i="5"/>
  <c r="AG40" i="5"/>
  <c r="AQ46" i="5"/>
  <c r="AS46" i="5"/>
  <c r="AL58" i="5"/>
  <c r="BI40" i="5"/>
  <c r="T41" i="5"/>
  <c r="W52" i="5"/>
  <c r="H52" i="5"/>
  <c r="AR46" i="5"/>
  <c r="Q58" i="5"/>
  <c r="R58" i="5"/>
  <c r="AB58" i="5"/>
  <c r="O58" i="5"/>
  <c r="X58" i="5"/>
  <c r="AU58" i="5"/>
  <c r="BC40" i="5"/>
  <c r="AX40" i="5"/>
  <c r="AJ52" i="5"/>
  <c r="BC52" i="5"/>
  <c r="AV52" i="5"/>
  <c r="BA58" i="5"/>
  <c r="AY40" i="5"/>
  <c r="AT40" i="5"/>
  <c r="AM52" i="5"/>
  <c r="AY52" i="5"/>
  <c r="AR52" i="5"/>
  <c r="AW58" i="5"/>
  <c r="AT58" i="5"/>
  <c r="N46" i="5"/>
  <c r="G46" i="5"/>
  <c r="BK40" i="5"/>
  <c r="AP40" i="5"/>
  <c r="AQ40" i="5"/>
  <c r="AL52" i="5"/>
  <c r="AQ52" i="5"/>
  <c r="AW52" i="5"/>
  <c r="AZ58" i="5"/>
  <c r="M46" i="5"/>
  <c r="BB40" i="5"/>
  <c r="AN52" i="5"/>
  <c r="AT52" i="5"/>
  <c r="AQ58" i="5"/>
  <c r="AA41" i="5"/>
  <c r="BO61" i="5"/>
  <c r="W41" i="5"/>
  <c r="D41" i="5"/>
  <c r="BK61" i="5"/>
  <c r="BM61" i="5"/>
  <c r="R41" i="5"/>
  <c r="BH61" i="5"/>
  <c r="O44" i="5"/>
  <c r="BN61" i="5"/>
  <c r="L22" i="3"/>
  <c r="Z22" i="3" s="1"/>
  <c r="Z25" i="7" s="1"/>
  <c r="G22" i="3"/>
  <c r="G25" i="7" s="1"/>
  <c r="I22" i="3"/>
  <c r="I25" i="7" s="1"/>
  <c r="H18" i="3"/>
  <c r="D16" i="3"/>
  <c r="D18" i="3"/>
  <c r="H17" i="3"/>
  <c r="G17" i="3"/>
  <c r="I17" i="3"/>
  <c r="F16" i="3"/>
  <c r="L18" i="3"/>
  <c r="Y18" i="3" s="1"/>
  <c r="C17" i="3"/>
  <c r="D17" i="3"/>
  <c r="C16" i="3"/>
  <c r="G16" i="3"/>
  <c r="E18" i="3"/>
  <c r="G18" i="3"/>
  <c r="K16" i="3"/>
  <c r="I18" i="3"/>
  <c r="M44" i="5"/>
  <c r="Z44" i="5"/>
  <c r="P41" i="5"/>
  <c r="Z41" i="5"/>
  <c r="Y41" i="5"/>
  <c r="Q41" i="5"/>
  <c r="AA44" i="5"/>
  <c r="P44" i="5"/>
  <c r="X44" i="5"/>
  <c r="L44" i="5"/>
  <c r="Y44" i="5"/>
  <c r="K44" i="5"/>
  <c r="E44" i="5"/>
  <c r="N44" i="5"/>
  <c r="M52" i="5"/>
  <c r="AP46" i="5"/>
  <c r="AY46" i="5"/>
  <c r="AG58" i="5"/>
  <c r="BD58" i="5"/>
  <c r="F46" i="5"/>
  <c r="N52" i="5"/>
  <c r="AM58" i="5"/>
  <c r="AP58" i="5"/>
  <c r="AY58" i="5"/>
  <c r="AS58" i="5"/>
  <c r="AX58" i="5"/>
  <c r="AR58" i="5"/>
  <c r="H46" i="5"/>
  <c r="K46" i="5"/>
  <c r="I46" i="5"/>
  <c r="BQ40" i="5"/>
  <c r="BP40" i="5"/>
  <c r="AN58" i="5"/>
  <c r="AO58" i="5"/>
  <c r="C11" i="3"/>
  <c r="D6" i="3"/>
  <c r="D75" i="2"/>
  <c r="E74" i="2"/>
  <c r="F74" i="2"/>
  <c r="BY40" i="5"/>
  <c r="BL61" i="5"/>
  <c r="S12" i="5"/>
  <c r="R22" i="5"/>
  <c r="R31" i="5"/>
  <c r="U13" i="5"/>
  <c r="S28" i="5"/>
  <c r="BH59" i="5" s="1"/>
  <c r="R25" i="5"/>
  <c r="R10" i="5"/>
  <c r="BI61" i="5"/>
  <c r="S22" i="5"/>
  <c r="BS53" i="5" s="1"/>
  <c r="S31" i="5"/>
  <c r="D7" i="3"/>
  <c r="D74" i="2"/>
  <c r="E69" i="2"/>
  <c r="R24" i="5"/>
  <c r="S25" i="5"/>
  <c r="CC56" i="5" s="1"/>
  <c r="T30" i="5"/>
  <c r="U10" i="5"/>
  <c r="BS40" i="5"/>
  <c r="BQ61" i="5"/>
  <c r="R12" i="5"/>
  <c r="S24" i="5"/>
  <c r="BZ55" i="5" s="1"/>
  <c r="AB41" i="5"/>
  <c r="C6" i="3"/>
  <c r="BP46" i="5"/>
  <c r="D8" i="3"/>
  <c r="CC40" i="5"/>
  <c r="BV40" i="5"/>
  <c r="CF40" i="5"/>
  <c r="AB44" i="5"/>
  <c r="E7" i="3"/>
  <c r="C8" i="3"/>
  <c r="BN40" i="5"/>
  <c r="CB40" i="5"/>
  <c r="D40" i="5"/>
  <c r="N41" i="5"/>
  <c r="BZ40" i="5"/>
  <c r="W12" i="7"/>
  <c r="W18" i="7" s="1"/>
  <c r="S12" i="7"/>
  <c r="S18" i="7" s="1"/>
  <c r="U12" i="7"/>
  <c r="U18" i="7" s="1"/>
  <c r="P12" i="7"/>
  <c r="P18" i="7" s="1"/>
  <c r="I39" i="20"/>
  <c r="R39" i="20"/>
  <c r="F39" i="20"/>
  <c r="T13" i="5"/>
  <c r="S13" i="5"/>
  <c r="O12" i="7"/>
  <c r="O18" i="7" s="1"/>
  <c r="P39" i="20"/>
  <c r="AC40" i="20"/>
  <c r="X39" i="20"/>
  <c r="M12" i="7"/>
  <c r="M18" i="7" s="1"/>
  <c r="S39" i="20"/>
  <c r="AB39" i="20"/>
  <c r="L39" i="20"/>
  <c r="AA12" i="7"/>
  <c r="AA18" i="7" s="1"/>
  <c r="W39" i="20"/>
  <c r="AC20" i="20"/>
  <c r="K39" i="20"/>
  <c r="J39" i="20"/>
  <c r="V39" i="20"/>
  <c r="BO40" i="5"/>
  <c r="BL40" i="5"/>
  <c r="BJ46" i="5"/>
  <c r="BN46" i="5"/>
  <c r="BK46" i="5"/>
  <c r="BL46" i="5"/>
  <c r="BO46" i="5"/>
  <c r="BM46" i="5"/>
  <c r="BH46" i="5"/>
  <c r="BQ46" i="5"/>
  <c r="T27" i="5"/>
  <c r="U21" i="5"/>
  <c r="T15" i="5"/>
  <c r="S21" i="5"/>
  <c r="BU52" i="5" s="1"/>
  <c r="S27" i="5"/>
  <c r="BJ40" i="5"/>
  <c r="BR40" i="5"/>
  <c r="BU40" i="5"/>
  <c r="BX40" i="5"/>
  <c r="CA40" i="5"/>
  <c r="CD40" i="5"/>
  <c r="BM40" i="5"/>
  <c r="BT40" i="5"/>
  <c r="BW40" i="5"/>
  <c r="T10" i="5"/>
  <c r="S10" i="5"/>
  <c r="I47" i="5" l="1"/>
  <c r="L47" i="5"/>
  <c r="AO56" i="5"/>
  <c r="H47" i="5"/>
  <c r="D47" i="5"/>
  <c r="K47" i="5"/>
  <c r="J47" i="5"/>
  <c r="M47" i="5"/>
  <c r="F47" i="5"/>
  <c r="AG56" i="5"/>
  <c r="E47" i="5"/>
  <c r="V47" i="5"/>
  <c r="AI56" i="5"/>
  <c r="AV47" i="5"/>
  <c r="AW47" i="5"/>
  <c r="AU47" i="5"/>
  <c r="AR47" i="5"/>
  <c r="AJ47" i="5"/>
  <c r="AG47" i="5"/>
  <c r="BB47" i="5"/>
  <c r="AM47" i="5"/>
  <c r="AX47" i="5"/>
  <c r="AF47" i="5"/>
  <c r="AN47" i="5"/>
  <c r="AH47" i="5"/>
  <c r="BA47" i="5"/>
  <c r="AP47" i="5"/>
  <c r="AZ47" i="5"/>
  <c r="AL47" i="5"/>
  <c r="AS47" i="5"/>
  <c r="AK47" i="5"/>
  <c r="BD47" i="5"/>
  <c r="AY47" i="5"/>
  <c r="AI47" i="5"/>
  <c r="AO47" i="5"/>
  <c r="AQ47" i="5"/>
  <c r="AM56" i="5"/>
  <c r="BC47" i="5"/>
  <c r="AH56" i="5"/>
  <c r="AF56" i="5"/>
  <c r="AL56" i="5"/>
  <c r="AN56" i="5"/>
  <c r="AJ56" i="5"/>
  <c r="U47" i="5"/>
  <c r="R47" i="5"/>
  <c r="L56" i="5"/>
  <c r="W47" i="5"/>
  <c r="O47" i="5"/>
  <c r="M56" i="5"/>
  <c r="K56" i="5"/>
  <c r="AA47" i="5"/>
  <c r="J56" i="5"/>
  <c r="F56" i="5"/>
  <c r="N47" i="5"/>
  <c r="S47" i="5"/>
  <c r="X47" i="5"/>
  <c r="I56" i="5"/>
  <c r="G56" i="5"/>
  <c r="S56" i="5"/>
  <c r="T47" i="5"/>
  <c r="Y47" i="5"/>
  <c r="E56" i="5"/>
  <c r="AB47" i="5"/>
  <c r="P47" i="5"/>
  <c r="H56" i="5"/>
  <c r="Q47" i="5"/>
  <c r="Z47" i="5"/>
  <c r="N53" i="5"/>
  <c r="N56" i="5"/>
  <c r="Q56" i="5"/>
  <c r="O56" i="5"/>
  <c r="M53" i="5"/>
  <c r="K53" i="5"/>
  <c r="T53" i="5"/>
  <c r="O53" i="5"/>
  <c r="Y53" i="5"/>
  <c r="I53" i="5"/>
  <c r="V53" i="5"/>
  <c r="P53" i="5"/>
  <c r="R56" i="5"/>
  <c r="AB53" i="5"/>
  <c r="U53" i="5"/>
  <c r="Z53" i="5"/>
  <c r="R53" i="5"/>
  <c r="X53" i="5"/>
  <c r="D53" i="5"/>
  <c r="G53" i="5"/>
  <c r="H53" i="5"/>
  <c r="E53" i="5"/>
  <c r="F53" i="5"/>
  <c r="Q53" i="5"/>
  <c r="T56" i="5"/>
  <c r="Z56" i="5"/>
  <c r="P56" i="5"/>
  <c r="AB56" i="5"/>
  <c r="AA61" i="5"/>
  <c r="S53" i="5"/>
  <c r="W53" i="5"/>
  <c r="L53" i="5"/>
  <c r="AA53" i="5"/>
  <c r="X56" i="5"/>
  <c r="W56" i="5"/>
  <c r="AA56" i="5"/>
  <c r="U56" i="5"/>
  <c r="V56" i="5"/>
  <c r="Y56" i="5"/>
  <c r="I50" i="5"/>
  <c r="L50" i="5"/>
  <c r="K50" i="5"/>
  <c r="N50" i="5"/>
  <c r="M50" i="5"/>
  <c r="E50" i="5"/>
  <c r="F50" i="5"/>
  <c r="G50" i="5"/>
  <c r="H50" i="5"/>
  <c r="U50" i="5"/>
  <c r="X50" i="5"/>
  <c r="D50" i="5"/>
  <c r="W50" i="5"/>
  <c r="S50" i="5"/>
  <c r="AA50" i="5"/>
  <c r="Z50" i="5"/>
  <c r="P50" i="5"/>
  <c r="T50" i="5"/>
  <c r="R50" i="5"/>
  <c r="Y50" i="5"/>
  <c r="O50" i="5"/>
  <c r="AB50" i="5"/>
  <c r="Q50" i="5"/>
  <c r="V50" i="5"/>
  <c r="J59" i="5"/>
  <c r="BB42" i="5"/>
  <c r="BC59" i="5"/>
  <c r="Y60" i="5"/>
  <c r="AM42" i="5"/>
  <c r="O42" i="5"/>
  <c r="Z42" i="5"/>
  <c r="Y42" i="5"/>
  <c r="U42" i="5"/>
  <c r="D59" i="5"/>
  <c r="L60" i="5"/>
  <c r="N60" i="5"/>
  <c r="R60" i="5"/>
  <c r="AT42" i="5"/>
  <c r="AL42" i="5"/>
  <c r="M60" i="5"/>
  <c r="AK42" i="5"/>
  <c r="I60" i="5"/>
  <c r="K60" i="5"/>
  <c r="AH42" i="5"/>
  <c r="AU42" i="5"/>
  <c r="W60" i="5"/>
  <c r="Q60" i="5"/>
  <c r="Z60" i="5"/>
  <c r="E60" i="5"/>
  <c r="F60" i="5"/>
  <c r="H60" i="5"/>
  <c r="V60" i="5"/>
  <c r="P60" i="5"/>
  <c r="AB60" i="5"/>
  <c r="S60" i="5"/>
  <c r="G60" i="5"/>
  <c r="X60" i="5"/>
  <c r="AA60" i="5"/>
  <c r="U60" i="5"/>
  <c r="T60" i="5"/>
  <c r="J60" i="5"/>
  <c r="D60" i="5"/>
  <c r="V42" i="5"/>
  <c r="S42" i="5"/>
  <c r="BA42" i="5"/>
  <c r="AP42" i="5"/>
  <c r="AQ42" i="5"/>
  <c r="Q42" i="5"/>
  <c r="AI42" i="5"/>
  <c r="AF42" i="5"/>
  <c r="AJ42" i="5"/>
  <c r="P42" i="5"/>
  <c r="R42" i="5"/>
  <c r="AA42" i="5"/>
  <c r="AV42" i="5"/>
  <c r="AZ42" i="5"/>
  <c r="AO42" i="5"/>
  <c r="X42" i="5"/>
  <c r="AS42" i="5"/>
  <c r="BC42" i="5"/>
  <c r="BD42" i="5"/>
  <c r="N42" i="5"/>
  <c r="AX42" i="5"/>
  <c r="AR42" i="5"/>
  <c r="AY42" i="5"/>
  <c r="W42" i="5"/>
  <c r="T42" i="5"/>
  <c r="AN42" i="5"/>
  <c r="AW42" i="5"/>
  <c r="E59" i="5"/>
  <c r="L59" i="5"/>
  <c r="F59" i="5"/>
  <c r="M59" i="5"/>
  <c r="U59" i="5"/>
  <c r="K59" i="5"/>
  <c r="G59" i="5"/>
  <c r="I59" i="5"/>
  <c r="F61" i="5"/>
  <c r="AJ60" i="5"/>
  <c r="H48" i="5"/>
  <c r="K48" i="5"/>
  <c r="X48" i="5"/>
  <c r="J48" i="5"/>
  <c r="N48" i="5"/>
  <c r="AB48" i="5"/>
  <c r="L48" i="5"/>
  <c r="AL60" i="5"/>
  <c r="AM60" i="5"/>
  <c r="AI60" i="5"/>
  <c r="AK60" i="5"/>
  <c r="AG60" i="5"/>
  <c r="AH60" i="5"/>
  <c r="AN60" i="5"/>
  <c r="AO60" i="5"/>
  <c r="AB55" i="5"/>
  <c r="U48" i="5"/>
  <c r="E48" i="5"/>
  <c r="O48" i="5"/>
  <c r="P48" i="5"/>
  <c r="T48" i="5"/>
  <c r="Y48" i="5"/>
  <c r="R48" i="5"/>
  <c r="D48" i="5"/>
  <c r="V48" i="5"/>
  <c r="S48" i="5"/>
  <c r="M48" i="5"/>
  <c r="W48" i="5"/>
  <c r="I48" i="5"/>
  <c r="F48" i="5"/>
  <c r="G48" i="5"/>
  <c r="Z48" i="5"/>
  <c r="AA48" i="5"/>
  <c r="J61" i="5"/>
  <c r="E61" i="5"/>
  <c r="AB61" i="5"/>
  <c r="X61" i="5"/>
  <c r="U61" i="5"/>
  <c r="T61" i="5"/>
  <c r="H55" i="5"/>
  <c r="F55" i="5"/>
  <c r="N55" i="5"/>
  <c r="Y55" i="5"/>
  <c r="J55" i="5"/>
  <c r="AA55" i="5"/>
  <c r="X55" i="5"/>
  <c r="D55" i="5"/>
  <c r="W55" i="5"/>
  <c r="T55" i="5"/>
  <c r="U55" i="5"/>
  <c r="M55" i="5"/>
  <c r="K55" i="5"/>
  <c r="O55" i="5"/>
  <c r="I55" i="5"/>
  <c r="E55" i="5"/>
  <c r="G55" i="5"/>
  <c r="V55" i="5"/>
  <c r="P55" i="5"/>
  <c r="Z55" i="5"/>
  <c r="S55" i="5"/>
  <c r="Q55" i="5"/>
  <c r="R55" i="5"/>
  <c r="Z61" i="5"/>
  <c r="M61" i="5"/>
  <c r="R61" i="5"/>
  <c r="G61" i="5"/>
  <c r="D61" i="5"/>
  <c r="Q61" i="5"/>
  <c r="W61" i="5"/>
  <c r="K61" i="5"/>
  <c r="I61" i="5"/>
  <c r="L61" i="5"/>
  <c r="N61" i="5"/>
  <c r="P61" i="5"/>
  <c r="V61" i="5"/>
  <c r="S61" i="5"/>
  <c r="H61" i="5"/>
  <c r="O61" i="5"/>
  <c r="O59" i="5"/>
  <c r="Y61" i="5"/>
  <c r="AU60" i="5"/>
  <c r="AY60" i="5"/>
  <c r="BC60" i="5"/>
  <c r="AR60" i="5"/>
  <c r="AV60" i="5"/>
  <c r="AZ60" i="5"/>
  <c r="AW60" i="5"/>
  <c r="AQ60" i="5"/>
  <c r="BD60" i="5"/>
  <c r="AS60" i="5"/>
  <c r="BB60" i="5"/>
  <c r="BA60" i="5"/>
  <c r="AP60" i="5"/>
  <c r="AT60" i="5"/>
  <c r="AX60" i="5"/>
  <c r="N54" i="5"/>
  <c r="V54" i="5"/>
  <c r="K54" i="5"/>
  <c r="AO54" i="5"/>
  <c r="AN54" i="5"/>
  <c r="AL54" i="5"/>
  <c r="AF54" i="5"/>
  <c r="AH54" i="5"/>
  <c r="AI54" i="5"/>
  <c r="AG54" i="5"/>
  <c r="AM54" i="5"/>
  <c r="AJ54" i="5"/>
  <c r="AK54" i="5"/>
  <c r="AV54" i="5"/>
  <c r="AY54" i="5"/>
  <c r="BD54" i="5"/>
  <c r="AR54" i="5"/>
  <c r="BC54" i="5"/>
  <c r="AW54" i="5"/>
  <c r="AZ54" i="5"/>
  <c r="AP54" i="5"/>
  <c r="AX54" i="5"/>
  <c r="BA54" i="5"/>
  <c r="AS54" i="5"/>
  <c r="BB54" i="5"/>
  <c r="AT54" i="5"/>
  <c r="AU54" i="5"/>
  <c r="AQ54" i="5"/>
  <c r="R54" i="5"/>
  <c r="AA59" i="5"/>
  <c r="R59" i="5"/>
  <c r="AB59" i="5"/>
  <c r="Y59" i="5"/>
  <c r="N59" i="5"/>
  <c r="T59" i="5"/>
  <c r="X59" i="5"/>
  <c r="Q59" i="5"/>
  <c r="P59" i="5"/>
  <c r="Z59" i="5"/>
  <c r="V59" i="5"/>
  <c r="W59" i="5"/>
  <c r="S59" i="5"/>
  <c r="L54" i="5"/>
  <c r="D54" i="5"/>
  <c r="G54" i="5"/>
  <c r="T54" i="5"/>
  <c r="Q54" i="5"/>
  <c r="AA54" i="5"/>
  <c r="M54" i="5"/>
  <c r="W54" i="5"/>
  <c r="P54" i="5"/>
  <c r="AB54" i="5"/>
  <c r="U54" i="5"/>
  <c r="H54" i="5"/>
  <c r="Y54" i="5"/>
  <c r="J54" i="5"/>
  <c r="S54" i="5"/>
  <c r="Z54" i="5"/>
  <c r="E54" i="5"/>
  <c r="F54" i="5"/>
  <c r="O54" i="5"/>
  <c r="X54" i="5"/>
  <c r="R43" i="5"/>
  <c r="T43" i="5"/>
  <c r="U43" i="5"/>
  <c r="N43" i="5"/>
  <c r="Y43" i="5"/>
  <c r="O43" i="5"/>
  <c r="AB43" i="5"/>
  <c r="S43" i="5"/>
  <c r="P43" i="5"/>
  <c r="X43" i="5"/>
  <c r="V43" i="5"/>
  <c r="W43" i="5"/>
  <c r="Z43" i="5"/>
  <c r="AA43" i="5"/>
  <c r="Q43" i="5"/>
  <c r="E29" i="7"/>
  <c r="H29" i="7"/>
  <c r="AE17" i="3"/>
  <c r="G29" i="7"/>
  <c r="S23" i="3"/>
  <c r="S26" i="7" s="1"/>
  <c r="S42" i="7" s="1"/>
  <c r="V23" i="3"/>
  <c r="V26" i="7" s="1"/>
  <c r="V42" i="7" s="1"/>
  <c r="W23" i="3"/>
  <c r="W26" i="7" s="1"/>
  <c r="W42" i="7" s="1"/>
  <c r="C29" i="7"/>
  <c r="BH62" i="5"/>
  <c r="BT43" i="5"/>
  <c r="S17" i="3"/>
  <c r="AF23" i="3"/>
  <c r="AR23" i="3" s="1"/>
  <c r="AD23" i="3"/>
  <c r="Z23" i="3"/>
  <c r="Z26" i="7" s="1"/>
  <c r="Z42" i="7" s="1"/>
  <c r="AC23" i="3"/>
  <c r="Y23" i="3"/>
  <c r="Y26" i="7" s="1"/>
  <c r="Y42" i="7" s="1"/>
  <c r="M23" i="3"/>
  <c r="M26" i="7" s="1"/>
  <c r="M42" i="7" s="1"/>
  <c r="AB23" i="3"/>
  <c r="Q23" i="3"/>
  <c r="Q26" i="7" s="1"/>
  <c r="Q42" i="7" s="1"/>
  <c r="T23" i="3"/>
  <c r="T26" i="7" s="1"/>
  <c r="T42" i="7" s="1"/>
  <c r="X23" i="3"/>
  <c r="X26" i="7" s="1"/>
  <c r="X42" i="7" s="1"/>
  <c r="BT59" i="5"/>
  <c r="BW59" i="5"/>
  <c r="N23" i="3"/>
  <c r="N26" i="7" s="1"/>
  <c r="N42" i="7" s="1"/>
  <c r="P23" i="3"/>
  <c r="P26" i="7" s="1"/>
  <c r="P42" i="7" s="1"/>
  <c r="R23" i="3"/>
  <c r="R26" i="7" s="1"/>
  <c r="R42" i="7" s="1"/>
  <c r="AE23" i="3"/>
  <c r="O23" i="3"/>
  <c r="O26" i="7" s="1"/>
  <c r="O42" i="7" s="1"/>
  <c r="U23" i="3"/>
  <c r="U26" i="7" s="1"/>
  <c r="U42" i="7" s="1"/>
  <c r="BS59" i="5"/>
  <c r="T17" i="3"/>
  <c r="CE43" i="5"/>
  <c r="S18" i="3"/>
  <c r="CA59" i="5"/>
  <c r="CB56" i="5"/>
  <c r="CE56" i="5"/>
  <c r="J29" i="7"/>
  <c r="K29" i="7"/>
  <c r="CC55" i="5"/>
  <c r="CD56" i="5"/>
  <c r="F29" i="7"/>
  <c r="BL59" i="5"/>
  <c r="CF61" i="5"/>
  <c r="BR55" i="5"/>
  <c r="CE61" i="5"/>
  <c r="BO55" i="5"/>
  <c r="BY61" i="5"/>
  <c r="BV43" i="5"/>
  <c r="BN59" i="5"/>
  <c r="W17" i="3"/>
  <c r="O17" i="3"/>
  <c r="AF17" i="3"/>
  <c r="AK17" i="3" s="1"/>
  <c r="Q17" i="3"/>
  <c r="U17" i="3"/>
  <c r="X17" i="3"/>
  <c r="Z17" i="3"/>
  <c r="N17" i="3"/>
  <c r="M17" i="3"/>
  <c r="AC17" i="3"/>
  <c r="L29" i="7"/>
  <c r="AD17" i="3"/>
  <c r="AB17" i="3"/>
  <c r="V17" i="3"/>
  <c r="Y17" i="3"/>
  <c r="AA17" i="3"/>
  <c r="BZ59" i="5"/>
  <c r="BR56" i="5"/>
  <c r="BI59" i="5"/>
  <c r="CF59" i="5"/>
  <c r="BX56" i="5"/>
  <c r="BS43" i="5"/>
  <c r="BV59" i="5"/>
  <c r="BX59" i="5"/>
  <c r="CB59" i="5"/>
  <c r="BT62" i="5"/>
  <c r="CE59" i="5"/>
  <c r="CC59" i="5"/>
  <c r="BU59" i="5"/>
  <c r="BQ59" i="5"/>
  <c r="L26" i="7"/>
  <c r="L42" i="7" s="1"/>
  <c r="BY59" i="5"/>
  <c r="CA53" i="5"/>
  <c r="BM59" i="5"/>
  <c r="BJ59" i="5"/>
  <c r="CD59" i="5"/>
  <c r="BR59" i="5"/>
  <c r="BW53" i="5"/>
  <c r="BP59" i="5"/>
  <c r="CB43" i="5"/>
  <c r="BN43" i="5"/>
  <c r="P17" i="3"/>
  <c r="D29" i="7"/>
  <c r="BW56" i="5"/>
  <c r="BU43" i="5"/>
  <c r="BY43" i="5"/>
  <c r="I29" i="7"/>
  <c r="G20" i="7"/>
  <c r="BI53" i="5"/>
  <c r="M16" i="3"/>
  <c r="AE16" i="3"/>
  <c r="V16" i="3"/>
  <c r="R16" i="3"/>
  <c r="X18" i="3"/>
  <c r="Y16" i="3"/>
  <c r="BX61" i="5"/>
  <c r="BU61" i="5"/>
  <c r="BH55" i="5"/>
  <c r="AB49" i="5"/>
  <c r="BO43" i="5"/>
  <c r="CA43" i="5"/>
  <c r="CB61" i="5"/>
  <c r="CA61" i="5"/>
  <c r="BV61" i="5"/>
  <c r="CF43" i="5"/>
  <c r="U18" i="3"/>
  <c r="AB16" i="3"/>
  <c r="O16" i="3"/>
  <c r="T16" i="3"/>
  <c r="BN55" i="5"/>
  <c r="BT53" i="5"/>
  <c r="BN53" i="5"/>
  <c r="BZ53" i="5"/>
  <c r="CB53" i="5"/>
  <c r="BJ43" i="5"/>
  <c r="BV53" i="5"/>
  <c r="BZ56" i="5"/>
  <c r="BM43" i="5"/>
  <c r="BK56" i="5"/>
  <c r="BV62" i="5"/>
  <c r="BU53" i="5"/>
  <c r="N40" i="5"/>
  <c r="AC18" i="3"/>
  <c r="BP53" i="5"/>
  <c r="BM55" i="5"/>
  <c r="BK43" i="5"/>
  <c r="AD18" i="3"/>
  <c r="T18" i="3"/>
  <c r="P16" i="3"/>
  <c r="CB55" i="5"/>
  <c r="CD53" i="5"/>
  <c r="CC61" i="5"/>
  <c r="BL56" i="5"/>
  <c r="CA55" i="5"/>
  <c r="CF53" i="5"/>
  <c r="BU55" i="5"/>
  <c r="BO53" i="5"/>
  <c r="BV52" i="5"/>
  <c r="AF16" i="3"/>
  <c r="CB52" i="5"/>
  <c r="BI56" i="5"/>
  <c r="W16" i="3"/>
  <c r="BP56" i="5"/>
  <c r="BQ56" i="5"/>
  <c r="U16" i="3"/>
  <c r="AD16" i="3"/>
  <c r="AA16" i="3"/>
  <c r="AC16" i="3"/>
  <c r="X16" i="3"/>
  <c r="N16" i="3"/>
  <c r="S16" i="3"/>
  <c r="Q16" i="3"/>
  <c r="H23" i="20"/>
  <c r="AX59" i="5"/>
  <c r="AP59" i="5"/>
  <c r="BX52" i="5"/>
  <c r="BP43" i="5"/>
  <c r="BQ55" i="5"/>
  <c r="BD59" i="5"/>
  <c r="BY52" i="5"/>
  <c r="CE52" i="5"/>
  <c r="BT52" i="5"/>
  <c r="CD52" i="5"/>
  <c r="CF52" i="5"/>
  <c r="BS52" i="5"/>
  <c r="BL55" i="5"/>
  <c r="CD55" i="5"/>
  <c r="BK55" i="5"/>
  <c r="BR62" i="5"/>
  <c r="CF62" i="5"/>
  <c r="BY55" i="5"/>
  <c r="BW55" i="5"/>
  <c r="BI55" i="5"/>
  <c r="CF55" i="5"/>
  <c r="CE53" i="5"/>
  <c r="BV55" i="5"/>
  <c r="CE55" i="5"/>
  <c r="BJ55" i="5"/>
  <c r="BS55" i="5"/>
  <c r="BK62" i="5"/>
  <c r="AW59" i="5"/>
  <c r="X22" i="3"/>
  <c r="X25" i="7" s="1"/>
  <c r="T22" i="3"/>
  <c r="T25" i="7" s="1"/>
  <c r="V22" i="3"/>
  <c r="V25" i="7" s="1"/>
  <c r="AB22" i="3"/>
  <c r="P22" i="3"/>
  <c r="P25" i="7" s="1"/>
  <c r="Q22" i="3"/>
  <c r="Q25" i="7" s="1"/>
  <c r="AD22" i="3"/>
  <c r="AF22" i="3"/>
  <c r="W22" i="3"/>
  <c r="W25" i="7" s="1"/>
  <c r="Y22" i="3"/>
  <c r="Y25" i="7" s="1"/>
  <c r="U22" i="3"/>
  <c r="U25" i="7" s="1"/>
  <c r="L25" i="7"/>
  <c r="AA22" i="3"/>
  <c r="AA25" i="7" s="1"/>
  <c r="AE22" i="3"/>
  <c r="M22" i="3"/>
  <c r="M25" i="7" s="1"/>
  <c r="R22" i="3"/>
  <c r="R25" i="7" s="1"/>
  <c r="AC22" i="3"/>
  <c r="S22" i="3"/>
  <c r="S25" i="7" s="1"/>
  <c r="O22" i="3"/>
  <c r="O25" i="7" s="1"/>
  <c r="N22" i="3"/>
  <c r="N25" i="7" s="1"/>
  <c r="Q18" i="3"/>
  <c r="W18" i="3"/>
  <c r="M18" i="3"/>
  <c r="V18" i="3"/>
  <c r="Z18" i="3"/>
  <c r="AE18" i="3"/>
  <c r="N18" i="3"/>
  <c r="AF18" i="3"/>
  <c r="CA18" i="3" s="1"/>
  <c r="O18" i="3"/>
  <c r="AB18" i="3"/>
  <c r="R18" i="3"/>
  <c r="P18" i="3"/>
  <c r="AA18" i="3"/>
  <c r="BX62" i="5"/>
  <c r="CF56" i="5"/>
  <c r="BW62" i="5"/>
  <c r="BH43" i="5"/>
  <c r="BN56" i="5"/>
  <c r="AR61" i="5"/>
  <c r="AU61" i="5"/>
  <c r="BD61" i="5"/>
  <c r="AT61" i="5"/>
  <c r="BA61" i="5"/>
  <c r="BC61" i="5"/>
  <c r="AP61" i="5"/>
  <c r="AV61" i="5"/>
  <c r="AX61" i="5"/>
  <c r="AZ61" i="5"/>
  <c r="BB61" i="5"/>
  <c r="AS61" i="5"/>
  <c r="AQ61" i="5"/>
  <c r="AW61" i="5"/>
  <c r="AY61" i="5"/>
  <c r="BY53" i="5"/>
  <c r="CE62" i="5"/>
  <c r="CD62" i="5"/>
  <c r="BS56" i="5"/>
  <c r="BT56" i="5"/>
  <c r="BO56" i="5"/>
  <c r="AF49" i="5"/>
  <c r="BB49" i="5"/>
  <c r="BC49" i="5"/>
  <c r="AY49" i="5"/>
  <c r="AN49" i="5"/>
  <c r="AX49" i="5"/>
  <c r="AT49" i="5"/>
  <c r="AK49" i="5"/>
  <c r="AI49" i="5"/>
  <c r="AR49" i="5"/>
  <c r="BD49" i="5"/>
  <c r="AM49" i="5"/>
  <c r="AV49" i="5"/>
  <c r="AU49" i="5"/>
  <c r="AQ49" i="5"/>
  <c r="AH49" i="5"/>
  <c r="AO49" i="5"/>
  <c r="AL49" i="5"/>
  <c r="BA49" i="5"/>
  <c r="AW49" i="5"/>
  <c r="AZ49" i="5"/>
  <c r="AP49" i="5"/>
  <c r="AG49" i="5"/>
  <c r="AJ49" i="5"/>
  <c r="AH55" i="5"/>
  <c r="AL55" i="5"/>
  <c r="AI55" i="5"/>
  <c r="AM55" i="5"/>
  <c r="AF55" i="5"/>
  <c r="AK55" i="5"/>
  <c r="AN55" i="5"/>
  <c r="AG55" i="5"/>
  <c r="AO55" i="5"/>
  <c r="AJ55" i="5"/>
  <c r="AY43" i="5"/>
  <c r="AO43" i="5"/>
  <c r="AM43" i="5"/>
  <c r="AP43" i="5"/>
  <c r="BC43" i="5"/>
  <c r="AS43" i="5"/>
  <c r="AF43" i="5"/>
  <c r="AT43" i="5"/>
  <c r="AW43" i="5"/>
  <c r="AJ43" i="5"/>
  <c r="AZ43" i="5"/>
  <c r="AH43" i="5"/>
  <c r="AV43" i="5"/>
  <c r="AK43" i="5"/>
  <c r="BD43" i="5"/>
  <c r="AL43" i="5"/>
  <c r="AX43" i="5"/>
  <c r="BA43" i="5"/>
  <c r="AN43" i="5"/>
  <c r="BB43" i="5"/>
  <c r="AQ43" i="5"/>
  <c r="AU43" i="5"/>
  <c r="AR43" i="5"/>
  <c r="AG43" i="5"/>
  <c r="AI43" i="5"/>
  <c r="F24" i="3"/>
  <c r="F27" i="7" s="1"/>
  <c r="D24" i="3"/>
  <c r="D27" i="7" s="1"/>
  <c r="J24" i="3"/>
  <c r="J27" i="7" s="1"/>
  <c r="C24" i="3"/>
  <c r="C27" i="7" s="1"/>
  <c r="G24" i="3"/>
  <c r="G27" i="7" s="1"/>
  <c r="E24" i="3"/>
  <c r="E27" i="7" s="1"/>
  <c r="K24" i="3"/>
  <c r="K27" i="7" s="1"/>
  <c r="I24" i="3"/>
  <c r="I27" i="7" s="1"/>
  <c r="L24" i="3"/>
  <c r="L27" i="7" s="1"/>
  <c r="L43" i="7" s="1"/>
  <c r="H24" i="3"/>
  <c r="H27" i="7" s="1"/>
  <c r="AK61" i="5"/>
  <c r="AL61" i="5"/>
  <c r="AJ61" i="5"/>
  <c r="AN61" i="5"/>
  <c r="AG61" i="5"/>
  <c r="AO61" i="5"/>
  <c r="AH61" i="5"/>
  <c r="AI61" i="5"/>
  <c r="AM61" i="5"/>
  <c r="AF61" i="5"/>
  <c r="K49" i="5"/>
  <c r="L49" i="5"/>
  <c r="J49" i="5"/>
  <c r="E49" i="5"/>
  <c r="G49" i="5"/>
  <c r="I49" i="5"/>
  <c r="H49" i="5"/>
  <c r="M49" i="5"/>
  <c r="D49" i="5"/>
  <c r="F49" i="5"/>
  <c r="AX41" i="5"/>
  <c r="AI41" i="5"/>
  <c r="AL41" i="5"/>
  <c r="BA41" i="5"/>
  <c r="AQ41" i="5"/>
  <c r="AK41" i="5"/>
  <c r="AV41" i="5"/>
  <c r="AP41" i="5"/>
  <c r="BC41" i="5"/>
  <c r="AZ41" i="5"/>
  <c r="AO41" i="5"/>
  <c r="BD41" i="5"/>
  <c r="AH41" i="5"/>
  <c r="AS41" i="5"/>
  <c r="AU41" i="5"/>
  <c r="AW41" i="5"/>
  <c r="AY41" i="5"/>
  <c r="AM41" i="5"/>
  <c r="AF41" i="5"/>
  <c r="AJ41" i="5"/>
  <c r="AT41" i="5"/>
  <c r="AN41" i="5"/>
  <c r="AR41" i="5"/>
  <c r="BB41" i="5"/>
  <c r="AG41" i="5"/>
  <c r="V62" i="5"/>
  <c r="W62" i="5"/>
  <c r="D62" i="5"/>
  <c r="Q62" i="5"/>
  <c r="E62" i="5"/>
  <c r="AB62" i="5"/>
  <c r="N62" i="5"/>
  <c r="AA62" i="5"/>
  <c r="J62" i="5"/>
  <c r="U62" i="5"/>
  <c r="Y62" i="5"/>
  <c r="M62" i="5"/>
  <c r="Z62" i="5"/>
  <c r="K62" i="5"/>
  <c r="F62" i="5"/>
  <c r="I62" i="5"/>
  <c r="X62" i="5"/>
  <c r="S62" i="5"/>
  <c r="L62" i="5"/>
  <c r="O62" i="5"/>
  <c r="G62" i="5"/>
  <c r="P62" i="5"/>
  <c r="T62" i="5"/>
  <c r="R62" i="5"/>
  <c r="AW44" i="5"/>
  <c r="AZ44" i="5"/>
  <c r="AN44" i="5"/>
  <c r="BA44" i="5"/>
  <c r="AQ44" i="5"/>
  <c r="BD44" i="5"/>
  <c r="AG44" i="5"/>
  <c r="AU44" i="5"/>
  <c r="AK44" i="5"/>
  <c r="AT44" i="5"/>
  <c r="AM44" i="5"/>
  <c r="AP44" i="5"/>
  <c r="AL44" i="5"/>
  <c r="AX44" i="5"/>
  <c r="AY44" i="5"/>
  <c r="BC44" i="5"/>
  <c r="AI44" i="5"/>
  <c r="AO44" i="5"/>
  <c r="AR44" i="5"/>
  <c r="AF44" i="5"/>
  <c r="AS44" i="5"/>
  <c r="AV44" i="5"/>
  <c r="AJ44" i="5"/>
  <c r="AH44" i="5"/>
  <c r="BB44" i="5"/>
  <c r="BM62" i="5"/>
  <c r="AH53" i="5"/>
  <c r="AI53" i="5"/>
  <c r="AL53" i="5"/>
  <c r="AM53" i="5"/>
  <c r="AF53" i="5"/>
  <c r="AJ53" i="5"/>
  <c r="AN53" i="5"/>
  <c r="AK53" i="5"/>
  <c r="AG53" i="5"/>
  <c r="AO53" i="5"/>
  <c r="C42" i="7"/>
  <c r="AF59" i="5"/>
  <c r="AI59" i="5"/>
  <c r="AG59" i="5"/>
  <c r="AS59" i="5"/>
  <c r="AN59" i="5"/>
  <c r="AU59" i="5"/>
  <c r="BA59" i="5"/>
  <c r="AK59" i="5"/>
  <c r="AY59" i="5"/>
  <c r="AO59" i="5"/>
  <c r="AH59" i="5"/>
  <c r="AR59" i="5"/>
  <c r="AT59" i="5"/>
  <c r="AL59" i="5"/>
  <c r="AV59" i="5"/>
  <c r="BB59" i="5"/>
  <c r="AM59" i="5"/>
  <c r="AZ59" i="5"/>
  <c r="AJ59" i="5"/>
  <c r="BK53" i="5"/>
  <c r="BX53" i="5"/>
  <c r="BH53" i="5"/>
  <c r="BL53" i="5"/>
  <c r="BM53" i="5"/>
  <c r="BJ53" i="5"/>
  <c r="S49" i="5"/>
  <c r="X49" i="5"/>
  <c r="Y49" i="5"/>
  <c r="R49" i="5"/>
  <c r="N49" i="5"/>
  <c r="O49" i="5"/>
  <c r="Z49" i="5"/>
  <c r="V49" i="5"/>
  <c r="W49" i="5"/>
  <c r="Q49" i="5"/>
  <c r="AA49" i="5"/>
  <c r="P49" i="5"/>
  <c r="T49" i="5"/>
  <c r="U49" i="5"/>
  <c r="BQ53" i="5"/>
  <c r="AR50" i="5"/>
  <c r="AZ50" i="5"/>
  <c r="AV50" i="5"/>
  <c r="BA50" i="5"/>
  <c r="AF50" i="5"/>
  <c r="AJ50" i="5"/>
  <c r="AH50" i="5"/>
  <c r="AS50" i="5"/>
  <c r="BC50" i="5"/>
  <c r="AL50" i="5"/>
  <c r="AK50" i="5"/>
  <c r="AG50" i="5"/>
  <c r="AY50" i="5"/>
  <c r="AP50" i="5"/>
  <c r="AQ50" i="5"/>
  <c r="AO50" i="5"/>
  <c r="AI50" i="5"/>
  <c r="AT50" i="5"/>
  <c r="AN50" i="5"/>
  <c r="AX50" i="5"/>
  <c r="BD50" i="5"/>
  <c r="AM50" i="5"/>
  <c r="BB50" i="5"/>
  <c r="AW50" i="5"/>
  <c r="AU50" i="5"/>
  <c r="CA62" i="5"/>
  <c r="BI62" i="5"/>
  <c r="BL62" i="5"/>
  <c r="BO62" i="5"/>
  <c r="BQ62" i="5"/>
  <c r="BS62" i="5"/>
  <c r="BZ62" i="5"/>
  <c r="BR61" i="5"/>
  <c r="CC62" i="5"/>
  <c r="CB62" i="5"/>
  <c r="BV56" i="5"/>
  <c r="BY56" i="5"/>
  <c r="BU62" i="5"/>
  <c r="BR53" i="5"/>
  <c r="CD61" i="5"/>
  <c r="BN62" i="5"/>
  <c r="BP62" i="5"/>
  <c r="BT55" i="5"/>
  <c r="BX55" i="5"/>
  <c r="BP55" i="5"/>
  <c r="AQ59" i="5"/>
  <c r="BC53" i="5"/>
  <c r="BB53" i="5"/>
  <c r="AP53" i="5"/>
  <c r="AS53" i="5"/>
  <c r="AQ53" i="5"/>
  <c r="AR53" i="5"/>
  <c r="AW53" i="5"/>
  <c r="AU53" i="5"/>
  <c r="AV53" i="5"/>
  <c r="BA53" i="5"/>
  <c r="AY53" i="5"/>
  <c r="BD53" i="5"/>
  <c r="AT53" i="5"/>
  <c r="AX53" i="5"/>
  <c r="AZ53" i="5"/>
  <c r="BK59" i="5"/>
  <c r="BO59" i="5"/>
  <c r="BR43" i="5"/>
  <c r="BZ43" i="5"/>
  <c r="CD43" i="5"/>
  <c r="BI43" i="5"/>
  <c r="BX43" i="5"/>
  <c r="BW43" i="5"/>
  <c r="BQ43" i="5"/>
  <c r="CC43" i="5"/>
  <c r="BS61" i="5"/>
  <c r="BZ61" i="5"/>
  <c r="BW61" i="5"/>
  <c r="BT61" i="5"/>
  <c r="Y20" i="3"/>
  <c r="T20" i="3"/>
  <c r="Z20" i="3"/>
  <c r="R20" i="3"/>
  <c r="R29" i="7" s="1"/>
  <c r="V20" i="3"/>
  <c r="AA20" i="3"/>
  <c r="AE20" i="3"/>
  <c r="Q20" i="3"/>
  <c r="AB20" i="3"/>
  <c r="AC20" i="3"/>
  <c r="N20" i="3"/>
  <c r="S20" i="3"/>
  <c r="U20" i="3"/>
  <c r="AD20" i="3"/>
  <c r="AF20" i="3"/>
  <c r="CB20" i="3" s="1"/>
  <c r="W20" i="3"/>
  <c r="O20" i="3"/>
  <c r="P20" i="3"/>
  <c r="M20" i="3"/>
  <c r="X20" i="3"/>
  <c r="BA56" i="5"/>
  <c r="AU56" i="5"/>
  <c r="AY56" i="5"/>
  <c r="AP56" i="5"/>
  <c r="BC56" i="5"/>
  <c r="AT56" i="5"/>
  <c r="AX56" i="5"/>
  <c r="AR56" i="5"/>
  <c r="AS56" i="5"/>
  <c r="AZ56" i="5"/>
  <c r="AV56" i="5"/>
  <c r="BD56" i="5"/>
  <c r="AW56" i="5"/>
  <c r="BB56" i="5"/>
  <c r="AQ56" i="5"/>
  <c r="CA56" i="5"/>
  <c r="BH56" i="5"/>
  <c r="BM56" i="5"/>
  <c r="BJ56" i="5"/>
  <c r="AR55" i="5"/>
  <c r="AP55" i="5"/>
  <c r="BC55" i="5"/>
  <c r="AV55" i="5"/>
  <c r="AT55" i="5"/>
  <c r="AZ55" i="5"/>
  <c r="AX55" i="5"/>
  <c r="BD55" i="5"/>
  <c r="BB55" i="5"/>
  <c r="AS55" i="5"/>
  <c r="BA55" i="5"/>
  <c r="AU55" i="5"/>
  <c r="AW55" i="5"/>
  <c r="AQ55" i="5"/>
  <c r="AY55" i="5"/>
  <c r="BY62" i="5"/>
  <c r="BU56" i="5"/>
  <c r="BJ62" i="5"/>
  <c r="BL43" i="5"/>
  <c r="AI62" i="5"/>
  <c r="AJ62" i="5"/>
  <c r="AL62" i="5"/>
  <c r="AM62" i="5"/>
  <c r="AF62" i="5"/>
  <c r="AN62" i="5"/>
  <c r="AG62" i="5"/>
  <c r="AK62" i="5"/>
  <c r="AO62" i="5"/>
  <c r="AH62" i="5"/>
  <c r="AX62" i="5"/>
  <c r="BA62" i="5"/>
  <c r="AQ62" i="5"/>
  <c r="AR62" i="5"/>
  <c r="AP62" i="5"/>
  <c r="AV62" i="5"/>
  <c r="AT62" i="5"/>
  <c r="AZ62" i="5"/>
  <c r="BB62" i="5"/>
  <c r="BD62" i="5"/>
  <c r="AS62" i="5"/>
  <c r="AU62" i="5"/>
  <c r="AW62" i="5"/>
  <c r="AY62" i="5"/>
  <c r="BC62" i="5"/>
  <c r="CC53" i="5"/>
  <c r="I19" i="3"/>
  <c r="I28" i="7" s="1"/>
  <c r="K19" i="3"/>
  <c r="K28" i="7" s="1"/>
  <c r="L19" i="3"/>
  <c r="L28" i="7" s="1"/>
  <c r="C19" i="3"/>
  <c r="C28" i="7" s="1"/>
  <c r="E19" i="3"/>
  <c r="E28" i="7" s="1"/>
  <c r="J19" i="3"/>
  <c r="J28" i="7" s="1"/>
  <c r="F19" i="3"/>
  <c r="F28" i="7" s="1"/>
  <c r="G19" i="3"/>
  <c r="G28" i="7" s="1"/>
  <c r="H19" i="3"/>
  <c r="H28" i="7" s="1"/>
  <c r="D19" i="3"/>
  <c r="D28" i="7" s="1"/>
  <c r="AB40" i="5"/>
  <c r="S40" i="5"/>
  <c r="U40" i="5"/>
  <c r="P40" i="5"/>
  <c r="Z40" i="5"/>
  <c r="T40" i="5"/>
  <c r="X40" i="5"/>
  <c r="V40" i="5"/>
  <c r="O40" i="5"/>
  <c r="W40" i="5"/>
  <c r="Y40" i="5"/>
  <c r="Q40" i="5"/>
  <c r="R40" i="5"/>
  <c r="AA40" i="5"/>
  <c r="G40" i="5"/>
  <c r="E40" i="5"/>
  <c r="J40" i="5"/>
  <c r="K40" i="5"/>
  <c r="H40" i="5"/>
  <c r="L40" i="5"/>
  <c r="F40" i="5"/>
  <c r="I40" i="5"/>
  <c r="M40" i="5"/>
  <c r="C21" i="3"/>
  <c r="C30" i="7" s="1"/>
  <c r="H21" i="3"/>
  <c r="H30" i="7" s="1"/>
  <c r="F21" i="3"/>
  <c r="F30" i="7" s="1"/>
  <c r="J21" i="3"/>
  <c r="J30" i="7" s="1"/>
  <c r="E21" i="3"/>
  <c r="E30" i="7" s="1"/>
  <c r="D21" i="3"/>
  <c r="D30" i="7" s="1"/>
  <c r="I21" i="3"/>
  <c r="I30" i="7" s="1"/>
  <c r="K21" i="3"/>
  <c r="K30" i="7" s="1"/>
  <c r="L21" i="3"/>
  <c r="AC21" i="3" s="1"/>
  <c r="G21" i="3"/>
  <c r="G30" i="7" s="1"/>
  <c r="CA52" i="5"/>
  <c r="BO52" i="5"/>
  <c r="BK52" i="5"/>
  <c r="BH52" i="5"/>
  <c r="BJ52" i="5"/>
  <c r="BL52" i="5"/>
  <c r="CC52" i="5"/>
  <c r="BI52" i="5"/>
  <c r="BN52" i="5"/>
  <c r="BP52" i="5"/>
  <c r="BW52" i="5"/>
  <c r="BQ52" i="5"/>
  <c r="BM52" i="5"/>
  <c r="CB47" i="5"/>
  <c r="BR47" i="5"/>
  <c r="BS47" i="5"/>
  <c r="CF47" i="5"/>
  <c r="BW47" i="5"/>
  <c r="CA47" i="5"/>
  <c r="BU47" i="5"/>
  <c r="CE47" i="5"/>
  <c r="BY47" i="5"/>
  <c r="BV47" i="5"/>
  <c r="CC47" i="5"/>
  <c r="BZ47" i="5"/>
  <c r="BT47" i="5"/>
  <c r="CD47" i="5"/>
  <c r="BX47" i="5"/>
  <c r="BK47" i="5"/>
  <c r="BQ47" i="5"/>
  <c r="BO47" i="5"/>
  <c r="BH47" i="5"/>
  <c r="BJ47" i="5"/>
  <c r="BI47" i="5"/>
  <c r="BL47" i="5"/>
  <c r="BP47" i="5"/>
  <c r="BN47" i="5"/>
  <c r="BM47" i="5"/>
  <c r="BI44" i="5"/>
  <c r="BN44" i="5"/>
  <c r="BL44" i="5"/>
  <c r="BQ44" i="5"/>
  <c r="BO44" i="5"/>
  <c r="BJ44" i="5"/>
  <c r="BM44" i="5"/>
  <c r="BH44" i="5"/>
  <c r="BK44" i="5"/>
  <c r="BP44" i="5"/>
  <c r="BN50" i="5"/>
  <c r="BK50" i="5"/>
  <c r="BO50" i="5"/>
  <c r="BP50" i="5"/>
  <c r="BQ50" i="5"/>
  <c r="BJ50" i="5"/>
  <c r="BM50" i="5"/>
  <c r="BL50" i="5"/>
  <c r="BH50" i="5"/>
  <c r="BI50" i="5"/>
  <c r="H42" i="20"/>
  <c r="BZ44" i="5"/>
  <c r="BT44" i="5"/>
  <c r="CD44" i="5"/>
  <c r="BX44" i="5"/>
  <c r="CB44" i="5"/>
  <c r="BS44" i="5"/>
  <c r="CF44" i="5"/>
  <c r="BW44" i="5"/>
  <c r="CA44" i="5"/>
  <c r="BU44" i="5"/>
  <c r="BR44" i="5"/>
  <c r="CE44" i="5"/>
  <c r="BY44" i="5"/>
  <c r="BV44" i="5"/>
  <c r="CC44" i="5"/>
  <c r="AC21" i="20"/>
  <c r="Z12" i="7"/>
  <c r="Z18" i="7" s="1"/>
  <c r="BP41" i="5"/>
  <c r="BJ41" i="5"/>
  <c r="BI41" i="5"/>
  <c r="BN41" i="5"/>
  <c r="BM41" i="5"/>
  <c r="BQ41" i="5"/>
  <c r="BO41" i="5"/>
  <c r="BK41" i="5"/>
  <c r="BH41" i="5"/>
  <c r="BL41" i="5"/>
  <c r="BS41" i="5"/>
  <c r="CF41" i="5"/>
  <c r="BW41" i="5"/>
  <c r="CA41" i="5"/>
  <c r="BU41" i="5"/>
  <c r="CE41" i="5"/>
  <c r="BY41" i="5"/>
  <c r="BV41" i="5"/>
  <c r="CC41" i="5"/>
  <c r="BZ41" i="5"/>
  <c r="BT41" i="5"/>
  <c r="CD41" i="5"/>
  <c r="BX41" i="5"/>
  <c r="BR41" i="5"/>
  <c r="CB41" i="5"/>
  <c r="BR52" i="5"/>
  <c r="BQ49" i="5"/>
  <c r="BN49" i="5"/>
  <c r="BJ49" i="5"/>
  <c r="BK49" i="5"/>
  <c r="BI49" i="5"/>
  <c r="BP49" i="5"/>
  <c r="BM49" i="5"/>
  <c r="BH49" i="5"/>
  <c r="BO49" i="5"/>
  <c r="BL49" i="5"/>
  <c r="BW49" i="5"/>
  <c r="CA49" i="5"/>
  <c r="BR49" i="5"/>
  <c r="CE49" i="5"/>
  <c r="BV49" i="5"/>
  <c r="BZ49" i="5"/>
  <c r="BT49" i="5"/>
  <c r="BU49" i="5"/>
  <c r="CD49" i="5"/>
  <c r="BX49" i="5"/>
  <c r="BY49" i="5"/>
  <c r="CB49" i="5"/>
  <c r="CC49" i="5"/>
  <c r="BS49" i="5"/>
  <c r="CF49" i="5"/>
  <c r="BW58" i="5"/>
  <c r="CD58" i="5"/>
  <c r="CA58" i="5"/>
  <c r="BU58" i="5"/>
  <c r="CE58" i="5"/>
  <c r="BY58" i="5"/>
  <c r="BR58" i="5"/>
  <c r="CC58" i="5"/>
  <c r="CB58" i="5"/>
  <c r="BV58" i="5"/>
  <c r="BS58" i="5"/>
  <c r="CF58" i="5"/>
  <c r="BZ58" i="5"/>
  <c r="BT58" i="5"/>
  <c r="BX58" i="5"/>
  <c r="BZ52" i="5"/>
  <c r="CD46" i="5"/>
  <c r="BX46" i="5"/>
  <c r="BR46" i="5"/>
  <c r="CB46" i="5"/>
  <c r="BS46" i="5"/>
  <c r="CF46" i="5"/>
  <c r="BW46" i="5"/>
  <c r="CA46" i="5"/>
  <c r="BU46" i="5"/>
  <c r="CE46" i="5"/>
  <c r="BY46" i="5"/>
  <c r="BV46" i="5"/>
  <c r="CC46" i="5"/>
  <c r="BZ46" i="5"/>
  <c r="BT46" i="5"/>
  <c r="BR50" i="5"/>
  <c r="CE50" i="5"/>
  <c r="BU50" i="5"/>
  <c r="BV50" i="5"/>
  <c r="BY50" i="5"/>
  <c r="BZ50" i="5"/>
  <c r="BX50" i="5"/>
  <c r="CC50" i="5"/>
  <c r="CD50" i="5"/>
  <c r="CB50" i="5"/>
  <c r="BS50" i="5"/>
  <c r="BT50" i="5"/>
  <c r="BW50" i="5"/>
  <c r="CF50" i="5"/>
  <c r="CA50" i="5"/>
  <c r="BL58" i="5"/>
  <c r="BP58" i="5"/>
  <c r="BQ58" i="5"/>
  <c r="BJ58" i="5"/>
  <c r="BO58" i="5"/>
  <c r="BI58" i="5"/>
  <c r="BN58" i="5"/>
  <c r="BH58" i="5"/>
  <c r="BM58" i="5"/>
  <c r="BK58" i="5"/>
  <c r="F33" i="7" l="1"/>
  <c r="F43" i="7"/>
  <c r="J33" i="7"/>
  <c r="J43" i="7"/>
  <c r="I33" i="7"/>
  <c r="I43" i="7"/>
  <c r="H33" i="7"/>
  <c r="H43" i="7"/>
  <c r="K33" i="7"/>
  <c r="K43" i="7"/>
  <c r="E33" i="7"/>
  <c r="E43" i="7"/>
  <c r="D33" i="7"/>
  <c r="D43" i="7"/>
  <c r="G33" i="7"/>
  <c r="G43" i="7"/>
  <c r="C33" i="7"/>
  <c r="C43" i="7"/>
  <c r="D69" i="5"/>
  <c r="D72" i="5"/>
  <c r="H72" i="5"/>
  <c r="AF70" i="5"/>
  <c r="AV70" i="5"/>
  <c r="AK70" i="5"/>
  <c r="AM70" i="5"/>
  <c r="AH70" i="5"/>
  <c r="AJ70" i="5"/>
  <c r="AG70" i="5"/>
  <c r="I70" i="5"/>
  <c r="AL70" i="5"/>
  <c r="AO70" i="5"/>
  <c r="AI70" i="5"/>
  <c r="AN70" i="5"/>
  <c r="D70" i="5"/>
  <c r="J70" i="5"/>
  <c r="AA70" i="5"/>
  <c r="F70" i="5"/>
  <c r="R70" i="5"/>
  <c r="AB70" i="5"/>
  <c r="V70" i="5"/>
  <c r="L70" i="5"/>
  <c r="P70" i="5"/>
  <c r="X70" i="5"/>
  <c r="T70" i="5"/>
  <c r="K70" i="5"/>
  <c r="E70" i="5"/>
  <c r="D71" i="5"/>
  <c r="AU70" i="5"/>
  <c r="AR70" i="5"/>
  <c r="AY70" i="5"/>
  <c r="AP70" i="5"/>
  <c r="Q70" i="5"/>
  <c r="BJ70" i="5"/>
  <c r="BM70" i="5"/>
  <c r="Y70" i="5"/>
  <c r="AT70" i="5"/>
  <c r="AS70" i="5"/>
  <c r="BD70" i="5"/>
  <c r="AX70" i="5"/>
  <c r="S70" i="5"/>
  <c r="BL70" i="5"/>
  <c r="BB70" i="5"/>
  <c r="AW70" i="5"/>
  <c r="BA70" i="5"/>
  <c r="BC70" i="5"/>
  <c r="AQ70" i="5"/>
  <c r="AZ70" i="5"/>
  <c r="M70" i="5"/>
  <c r="BI70" i="5"/>
  <c r="Z70" i="5"/>
  <c r="W70" i="5"/>
  <c r="N69" i="5"/>
  <c r="U70" i="5"/>
  <c r="O70" i="5"/>
  <c r="G70" i="5"/>
  <c r="BP70" i="5"/>
  <c r="BO70" i="5"/>
  <c r="BK70" i="5"/>
  <c r="BQ70" i="5"/>
  <c r="BH70" i="5"/>
  <c r="CB70" i="5"/>
  <c r="BW70" i="5"/>
  <c r="CC70" i="5"/>
  <c r="BX70" i="5"/>
  <c r="BR70" i="5"/>
  <c r="BN70" i="5"/>
  <c r="BT70" i="5"/>
  <c r="BY70" i="5"/>
  <c r="BZ70" i="5"/>
  <c r="CE70" i="5"/>
  <c r="CF70" i="5"/>
  <c r="BU70" i="5"/>
  <c r="BS70" i="5"/>
  <c r="CA70" i="5"/>
  <c r="BV70" i="5"/>
  <c r="CD70" i="5"/>
  <c r="N70" i="5"/>
  <c r="H70" i="5"/>
  <c r="E34" i="7"/>
  <c r="H34" i="7"/>
  <c r="I34" i="7"/>
  <c r="G34" i="7"/>
  <c r="F34" i="7"/>
  <c r="D34" i="7"/>
  <c r="K34" i="7"/>
  <c r="J34" i="7"/>
  <c r="L34" i="7"/>
  <c r="C34" i="7"/>
  <c r="D24" i="20"/>
  <c r="D23" i="20"/>
  <c r="AI23" i="3"/>
  <c r="BG23" i="3"/>
  <c r="BM23" i="3"/>
  <c r="BI23" i="3"/>
  <c r="AR18" i="3"/>
  <c r="AQ23" i="3"/>
  <c r="BA23" i="3"/>
  <c r="BU23" i="3"/>
  <c r="AO23" i="3"/>
  <c r="AM23" i="3"/>
  <c r="BF23" i="3"/>
  <c r="BJ23" i="3"/>
  <c r="BT23" i="3"/>
  <c r="AN23" i="3"/>
  <c r="AG23" i="3"/>
  <c r="BN23" i="3"/>
  <c r="BS23" i="3"/>
  <c r="CA23" i="3"/>
  <c r="AZ23" i="3"/>
  <c r="BQ23" i="3"/>
  <c r="AW23" i="3"/>
  <c r="BP23" i="3"/>
  <c r="CD23" i="3"/>
  <c r="CB23" i="3"/>
  <c r="BB23" i="3"/>
  <c r="AX23" i="3"/>
  <c r="BY23" i="3"/>
  <c r="BV23" i="3"/>
  <c r="BD23" i="3"/>
  <c r="AJ23" i="3"/>
  <c r="AL23" i="3"/>
  <c r="AS23" i="3"/>
  <c r="R19" i="3"/>
  <c r="R28" i="7" s="1"/>
  <c r="R34" i="7" s="1"/>
  <c r="CD18" i="3"/>
  <c r="BR18" i="3"/>
  <c r="S29" i="7"/>
  <c r="BL17" i="3"/>
  <c r="AG18" i="3"/>
  <c r="AZ18" i="3"/>
  <c r="BA18" i="3"/>
  <c r="AH23" i="3"/>
  <c r="BH23" i="3"/>
  <c r="AU23" i="3"/>
  <c r="BX23" i="3"/>
  <c r="CC23" i="3"/>
  <c r="AV23" i="3"/>
  <c r="AT23" i="3"/>
  <c r="AP23" i="3"/>
  <c r="AK23" i="3"/>
  <c r="AY23" i="3"/>
  <c r="BE23" i="3"/>
  <c r="BK23" i="3"/>
  <c r="BO23" i="3"/>
  <c r="BZ23" i="3"/>
  <c r="BR23" i="3"/>
  <c r="BW23" i="3"/>
  <c r="BC23" i="3"/>
  <c r="BL23" i="3"/>
  <c r="Q29" i="7"/>
  <c r="T29" i="7"/>
  <c r="BW17" i="3"/>
  <c r="BR17" i="3"/>
  <c r="Z29" i="7"/>
  <c r="M29" i="7"/>
  <c r="AA29" i="7"/>
  <c r="Y29" i="7"/>
  <c r="BF17" i="3"/>
  <c r="BH17" i="3"/>
  <c r="AZ17" i="3"/>
  <c r="CA17" i="3"/>
  <c r="X29" i="7"/>
  <c r="BE17" i="3"/>
  <c r="BB17" i="3"/>
  <c r="BC17" i="3"/>
  <c r="V29" i="7"/>
  <c r="O29" i="7"/>
  <c r="AR71" i="5"/>
  <c r="BU17" i="3"/>
  <c r="AM17" i="3"/>
  <c r="BM17" i="3"/>
  <c r="AT17" i="3"/>
  <c r="BA17" i="3"/>
  <c r="BN17" i="3"/>
  <c r="AX17" i="3"/>
  <c r="AN17" i="3"/>
  <c r="BP17" i="3"/>
  <c r="BZ17" i="3"/>
  <c r="BY17" i="3"/>
  <c r="BV17" i="3"/>
  <c r="AV17" i="3"/>
  <c r="AS17" i="3"/>
  <c r="AJ17" i="3"/>
  <c r="AY17" i="3"/>
  <c r="BD17" i="3"/>
  <c r="BT17" i="3"/>
  <c r="BI17" i="3"/>
  <c r="BS17" i="3"/>
  <c r="BX17" i="3"/>
  <c r="CB17" i="3"/>
  <c r="BJ17" i="3"/>
  <c r="AW17" i="3"/>
  <c r="AL17" i="3"/>
  <c r="AO17" i="3"/>
  <c r="BK17" i="3"/>
  <c r="AR17" i="3"/>
  <c r="H43" i="20"/>
  <c r="H24" i="20"/>
  <c r="P29" i="7"/>
  <c r="AP17" i="3"/>
  <c r="CD17" i="3"/>
  <c r="BQ17" i="3"/>
  <c r="BG17" i="3"/>
  <c r="AH17" i="3"/>
  <c r="BO17" i="3"/>
  <c r="AI17" i="3"/>
  <c r="AQ17" i="3"/>
  <c r="AU17" i="3"/>
  <c r="CC17" i="3"/>
  <c r="AG17" i="3"/>
  <c r="N71" i="5"/>
  <c r="AS71" i="5"/>
  <c r="N29" i="7"/>
  <c r="BI18" i="3"/>
  <c r="BE18" i="3"/>
  <c r="BJ18" i="3"/>
  <c r="BN18" i="3"/>
  <c r="AT18" i="3"/>
  <c r="BM18" i="3"/>
  <c r="U29" i="7"/>
  <c r="AQ18" i="3"/>
  <c r="CB18" i="3"/>
  <c r="BU18" i="3"/>
  <c r="BH18" i="3"/>
  <c r="AP18" i="3"/>
  <c r="BZ18" i="3"/>
  <c r="AX18" i="3"/>
  <c r="BL18" i="3"/>
  <c r="BT18" i="3"/>
  <c r="BO18" i="3"/>
  <c r="AJ18" i="3"/>
  <c r="BV18" i="3"/>
  <c r="BQ18" i="3"/>
  <c r="W29" i="7"/>
  <c r="N72" i="5"/>
  <c r="AW69" i="5"/>
  <c r="AO71" i="5"/>
  <c r="AB72" i="5"/>
  <c r="AY71" i="5"/>
  <c r="AX69" i="5"/>
  <c r="BC69" i="5"/>
  <c r="BD69" i="5"/>
  <c r="AC24" i="3"/>
  <c r="S19" i="3"/>
  <c r="S28" i="7" s="1"/>
  <c r="AH18" i="3"/>
  <c r="AI18" i="3"/>
  <c r="AK18" i="3"/>
  <c r="BS18" i="3"/>
  <c r="AL18" i="3"/>
  <c r="AY18" i="3"/>
  <c r="AS18" i="3"/>
  <c r="BG18" i="3"/>
  <c r="BB18" i="3"/>
  <c r="BW18" i="3"/>
  <c r="BD18" i="3"/>
  <c r="CC18" i="3"/>
  <c r="BP18" i="3"/>
  <c r="BF18" i="3"/>
  <c r="BX18" i="3"/>
  <c r="AN18" i="3"/>
  <c r="BC18" i="3"/>
  <c r="BK18" i="3"/>
  <c r="BY18" i="3"/>
  <c r="AW18" i="3"/>
  <c r="AV18" i="3"/>
  <c r="AO18" i="3"/>
  <c r="AU18" i="3"/>
  <c r="AM18" i="3"/>
  <c r="L33" i="7"/>
  <c r="AH71" i="5"/>
  <c r="AG72" i="5"/>
  <c r="AI69" i="5"/>
  <c r="AU72" i="5"/>
  <c r="AS69" i="5"/>
  <c r="AM69" i="5"/>
  <c r="AH16" i="3"/>
  <c r="BV16" i="3"/>
  <c r="AZ16" i="3"/>
  <c r="CA16" i="3"/>
  <c r="BF16" i="3"/>
  <c r="AY16" i="3"/>
  <c r="BP16" i="3"/>
  <c r="AO16" i="3"/>
  <c r="CB16" i="3"/>
  <c r="BU16" i="3"/>
  <c r="BT16" i="3"/>
  <c r="BG16" i="3"/>
  <c r="AM16" i="3"/>
  <c r="BR16" i="3"/>
  <c r="BD16" i="3"/>
  <c r="BL16" i="3"/>
  <c r="BW16" i="3"/>
  <c r="BX16" i="3"/>
  <c r="AW16" i="3"/>
  <c r="AL16" i="3"/>
  <c r="BN16" i="3"/>
  <c r="BI16" i="3"/>
  <c r="AP16" i="3"/>
  <c r="BA16" i="3"/>
  <c r="CC16" i="3"/>
  <c r="BY16" i="3"/>
  <c r="AK16" i="3"/>
  <c r="BH16" i="3"/>
  <c r="AU16" i="3"/>
  <c r="AT16" i="3"/>
  <c r="AN16" i="3"/>
  <c r="BJ16" i="3"/>
  <c r="BB16" i="3"/>
  <c r="AX16" i="3"/>
  <c r="CD16" i="3"/>
  <c r="AQ16" i="3"/>
  <c r="BM16" i="3"/>
  <c r="BZ16" i="3"/>
  <c r="BS16" i="3"/>
  <c r="BQ16" i="3"/>
  <c r="AV16" i="3"/>
  <c r="AI16" i="3"/>
  <c r="BO16" i="3"/>
  <c r="AS16" i="3"/>
  <c r="AJ16" i="3"/>
  <c r="AR16" i="3"/>
  <c r="BK16" i="3"/>
  <c r="BC16" i="3"/>
  <c r="AG16" i="3"/>
  <c r="BE16" i="3"/>
  <c r="AO69" i="5"/>
  <c r="AG69" i="5"/>
  <c r="D43" i="20"/>
  <c r="Z19" i="3"/>
  <c r="Z28" i="7" s="1"/>
  <c r="AQ69" i="5"/>
  <c r="P24" i="3"/>
  <c r="P27" i="7" s="1"/>
  <c r="W24" i="3"/>
  <c r="W27" i="7" s="1"/>
  <c r="AH72" i="5"/>
  <c r="BB69" i="5"/>
  <c r="M24" i="3"/>
  <c r="M27" i="7" s="1"/>
  <c r="U24" i="3"/>
  <c r="U27" i="7" s="1"/>
  <c r="AJ72" i="5"/>
  <c r="Y24" i="3"/>
  <c r="Y27" i="7" s="1"/>
  <c r="Z24" i="3"/>
  <c r="Z27" i="7" s="1"/>
  <c r="AP69" i="5"/>
  <c r="AY69" i="5"/>
  <c r="AN69" i="5"/>
  <c r="AF24" i="3"/>
  <c r="AZ24" i="3" s="1"/>
  <c r="N24" i="3"/>
  <c r="N27" i="7" s="1"/>
  <c r="AD24" i="3"/>
  <c r="T24" i="3"/>
  <c r="T27" i="7" s="1"/>
  <c r="AR72" i="5"/>
  <c r="AB24" i="3"/>
  <c r="AB19" i="3"/>
  <c r="O24" i="3"/>
  <c r="O27" i="7" s="1"/>
  <c r="X24" i="3"/>
  <c r="X27" i="7" s="1"/>
  <c r="AP71" i="5"/>
  <c r="AK72" i="5"/>
  <c r="AY72" i="5"/>
  <c r="AR69" i="5"/>
  <c r="AL72" i="5"/>
  <c r="AH69" i="5"/>
  <c r="AO72" i="5"/>
  <c r="AI72" i="5"/>
  <c r="AI71" i="5"/>
  <c r="AN72" i="5"/>
  <c r="AP72" i="5"/>
  <c r="AV69" i="5"/>
  <c r="AU71" i="5"/>
  <c r="AA24" i="3"/>
  <c r="AA27" i="7" s="1"/>
  <c r="S24" i="3"/>
  <c r="S27" i="7" s="1"/>
  <c r="CB22" i="3"/>
  <c r="BC22" i="3"/>
  <c r="AW22" i="3"/>
  <c r="AJ22" i="3"/>
  <c r="BB22" i="3"/>
  <c r="AP22" i="3"/>
  <c r="BP22" i="3"/>
  <c r="AX22" i="3"/>
  <c r="BT22" i="3"/>
  <c r="BR22" i="3"/>
  <c r="BX22" i="3"/>
  <c r="AO22" i="3"/>
  <c r="BI22" i="3"/>
  <c r="BK22" i="3"/>
  <c r="CA22" i="3"/>
  <c r="AQ22" i="3"/>
  <c r="CC22" i="3"/>
  <c r="AH22" i="3"/>
  <c r="AU22" i="3"/>
  <c r="BM22" i="3"/>
  <c r="BU22" i="3"/>
  <c r="BN22" i="3"/>
  <c r="BH22" i="3"/>
  <c r="BS22" i="3"/>
  <c r="BF22" i="3"/>
  <c r="AI22" i="3"/>
  <c r="AR22" i="3"/>
  <c r="BG22" i="3"/>
  <c r="BL22" i="3"/>
  <c r="CD22" i="3"/>
  <c r="AK22" i="3"/>
  <c r="AG22" i="3"/>
  <c r="AT22" i="3"/>
  <c r="BO22" i="3"/>
  <c r="BE22" i="3"/>
  <c r="AY22" i="3"/>
  <c r="BQ22" i="3"/>
  <c r="AM22" i="3"/>
  <c r="BZ22" i="3"/>
  <c r="AL22" i="3"/>
  <c r="AN22" i="3"/>
  <c r="BJ22" i="3"/>
  <c r="BY22" i="3"/>
  <c r="AS22" i="3"/>
  <c r="BD22" i="3"/>
  <c r="AV22" i="3"/>
  <c r="BV22" i="3"/>
  <c r="BW22" i="3"/>
  <c r="AZ22" i="3"/>
  <c r="BA22" i="3"/>
  <c r="AP20" i="3"/>
  <c r="AN20" i="3"/>
  <c r="BR20" i="3"/>
  <c r="U19" i="3"/>
  <c r="U28" i="7" s="1"/>
  <c r="AL20" i="3"/>
  <c r="AZ20" i="3"/>
  <c r="BY20" i="3"/>
  <c r="BT20" i="3"/>
  <c r="P19" i="3"/>
  <c r="P28" i="7" s="1"/>
  <c r="AO20" i="3"/>
  <c r="BC20" i="3"/>
  <c r="BD20" i="3"/>
  <c r="AH20" i="3"/>
  <c r="AS20" i="3"/>
  <c r="AT20" i="3"/>
  <c r="O19" i="3"/>
  <c r="O28" i="7" s="1"/>
  <c r="BK20" i="3"/>
  <c r="CD20" i="3"/>
  <c r="AQ20" i="3"/>
  <c r="AK20" i="3"/>
  <c r="BX20" i="3"/>
  <c r="AY20" i="3"/>
  <c r="BN20" i="3"/>
  <c r="Y19" i="3"/>
  <c r="Y28" i="7" s="1"/>
  <c r="BF20" i="3"/>
  <c r="BS20" i="3"/>
  <c r="BB20" i="3"/>
  <c r="BG20" i="3"/>
  <c r="BJ20" i="3"/>
  <c r="BI20" i="3"/>
  <c r="AF72" i="5"/>
  <c r="AT69" i="5"/>
  <c r="AK69" i="5"/>
  <c r="AJ69" i="5"/>
  <c r="Q24" i="3"/>
  <c r="Q27" i="7" s="1"/>
  <c r="AE24" i="3"/>
  <c r="V24" i="3"/>
  <c r="V27" i="7" s="1"/>
  <c r="AW71" i="5"/>
  <c r="AM71" i="5"/>
  <c r="AT71" i="5"/>
  <c r="AF71" i="5"/>
  <c r="BC71" i="5"/>
  <c r="BA72" i="5"/>
  <c r="AX71" i="5"/>
  <c r="BA71" i="5"/>
  <c r="BA20" i="3"/>
  <c r="BL20" i="3"/>
  <c r="BO20" i="3"/>
  <c r="BB72" i="5"/>
  <c r="CA20" i="3"/>
  <c r="CC20" i="3"/>
  <c r="BH20" i="3"/>
  <c r="AX20" i="3"/>
  <c r="AW20" i="3"/>
  <c r="AM72" i="5"/>
  <c r="BC72" i="5"/>
  <c r="AV72" i="5"/>
  <c r="AZ69" i="5"/>
  <c r="AL71" i="5"/>
  <c r="BD71" i="5"/>
  <c r="AM20" i="3"/>
  <c r="W19" i="3"/>
  <c r="W28" i="7" s="1"/>
  <c r="BM20" i="3"/>
  <c r="AI20" i="3"/>
  <c r="AR20" i="3"/>
  <c r="AV20" i="3"/>
  <c r="AU20" i="3"/>
  <c r="BD72" i="5"/>
  <c r="AQ72" i="5"/>
  <c r="AS72" i="5"/>
  <c r="AZ72" i="5"/>
  <c r="BA69" i="5"/>
  <c r="R24" i="3"/>
  <c r="R27" i="7" s="1"/>
  <c r="AJ71" i="5"/>
  <c r="AN71" i="5"/>
  <c r="BQ20" i="3"/>
  <c r="BE20" i="3"/>
  <c r="AX72" i="5"/>
  <c r="AG71" i="5"/>
  <c r="AQ71" i="5"/>
  <c r="BU20" i="3"/>
  <c r="AK71" i="5"/>
  <c r="BW20" i="3"/>
  <c r="BZ20" i="3"/>
  <c r="AG20" i="3"/>
  <c r="BP20" i="3"/>
  <c r="AW72" i="5"/>
  <c r="BV20" i="3"/>
  <c r="AT72" i="5"/>
  <c r="AL69" i="5"/>
  <c r="AF69" i="5"/>
  <c r="AU69" i="5"/>
  <c r="AZ71" i="5"/>
  <c r="BB71" i="5"/>
  <c r="AV71" i="5"/>
  <c r="AJ20" i="3"/>
  <c r="E71" i="5"/>
  <c r="E69" i="5"/>
  <c r="E72" i="5"/>
  <c r="M19" i="3"/>
  <c r="M28" i="7" s="1"/>
  <c r="AC19" i="3"/>
  <c r="N19" i="3"/>
  <c r="N28" i="7" s="1"/>
  <c r="P21" i="3"/>
  <c r="P30" i="7" s="1"/>
  <c r="V21" i="3"/>
  <c r="V30" i="7" s="1"/>
  <c r="X21" i="3"/>
  <c r="X30" i="7" s="1"/>
  <c r="AB71" i="5"/>
  <c r="M69" i="5"/>
  <c r="M72" i="5"/>
  <c r="M71" i="5"/>
  <c r="G72" i="5"/>
  <c r="G69" i="5"/>
  <c r="G71" i="5"/>
  <c r="AA19" i="3"/>
  <c r="AA28" i="7" s="1"/>
  <c r="V19" i="3"/>
  <c r="V28" i="7" s="1"/>
  <c r="X19" i="3"/>
  <c r="X28" i="7" s="1"/>
  <c r="AE19" i="3"/>
  <c r="AA21" i="3"/>
  <c r="AA30" i="7" s="1"/>
  <c r="T21" i="3"/>
  <c r="T30" i="7" s="1"/>
  <c r="I72" i="5"/>
  <c r="I71" i="5"/>
  <c r="I69" i="5"/>
  <c r="P71" i="5"/>
  <c r="P72" i="5"/>
  <c r="P69" i="5"/>
  <c r="U71" i="5"/>
  <c r="U72" i="5"/>
  <c r="U69" i="5"/>
  <c r="U21" i="3"/>
  <c r="U30" i="7" s="1"/>
  <c r="Z21" i="3"/>
  <c r="Z30" i="7" s="1"/>
  <c r="F71" i="5"/>
  <c r="F69" i="5"/>
  <c r="F72" i="5"/>
  <c r="Z69" i="5"/>
  <c r="Z71" i="5"/>
  <c r="Z72" i="5"/>
  <c r="S71" i="5"/>
  <c r="S72" i="5"/>
  <c r="S69" i="5"/>
  <c r="AB21" i="3"/>
  <c r="AE21" i="3"/>
  <c r="R21" i="3"/>
  <c r="R30" i="7" s="1"/>
  <c r="L69" i="5"/>
  <c r="L72" i="5"/>
  <c r="L71" i="5"/>
  <c r="T19" i="3"/>
  <c r="T28" i="7" s="1"/>
  <c r="AD19" i="3"/>
  <c r="O21" i="3"/>
  <c r="O30" i="7" s="1"/>
  <c r="S21" i="3"/>
  <c r="S30" i="7" s="1"/>
  <c r="W21" i="3"/>
  <c r="W30" i="7" s="1"/>
  <c r="AF21" i="3"/>
  <c r="H71" i="5"/>
  <c r="H69" i="5"/>
  <c r="Q71" i="5"/>
  <c r="Q69" i="5"/>
  <c r="Q72" i="5"/>
  <c r="W69" i="5"/>
  <c r="W71" i="5"/>
  <c r="W72" i="5"/>
  <c r="T72" i="5"/>
  <c r="T69" i="5"/>
  <c r="T71" i="5"/>
  <c r="Q19" i="3"/>
  <c r="Q28" i="7" s="1"/>
  <c r="AF19" i="3"/>
  <c r="Q21" i="3"/>
  <c r="Q30" i="7" s="1"/>
  <c r="AD21" i="3"/>
  <c r="L30" i="7"/>
  <c r="K69" i="5"/>
  <c r="K71" i="5"/>
  <c r="K72" i="5"/>
  <c r="AA71" i="5"/>
  <c r="AA69" i="5"/>
  <c r="AA72" i="5"/>
  <c r="Y69" i="5"/>
  <c r="Y72" i="5"/>
  <c r="Y71" i="5"/>
  <c r="O71" i="5"/>
  <c r="O69" i="5"/>
  <c r="O72" i="5"/>
  <c r="V71" i="5"/>
  <c r="V69" i="5"/>
  <c r="V72" i="5"/>
  <c r="Y21" i="3"/>
  <c r="Y30" i="7" s="1"/>
  <c r="AB69" i="5"/>
  <c r="J71" i="5"/>
  <c r="J69" i="5"/>
  <c r="J72" i="5"/>
  <c r="R69" i="5"/>
  <c r="R71" i="5"/>
  <c r="R72" i="5"/>
  <c r="X69" i="5"/>
  <c r="X72" i="5"/>
  <c r="X71" i="5"/>
  <c r="N21" i="3"/>
  <c r="N30" i="7" s="1"/>
  <c r="M21" i="3"/>
  <c r="M30" i="7" s="1"/>
  <c r="CC69" i="5"/>
  <c r="CC71" i="5"/>
  <c r="CC72" i="5"/>
  <c r="BS71" i="5"/>
  <c r="BS69" i="5"/>
  <c r="BS72" i="5"/>
  <c r="D42" i="20"/>
  <c r="G21" i="7"/>
  <c r="BH69" i="5"/>
  <c r="BH72" i="5"/>
  <c r="BH71" i="5"/>
  <c r="BN72" i="5"/>
  <c r="BN71" i="5"/>
  <c r="BN69" i="5"/>
  <c r="BV71" i="5"/>
  <c r="BV69" i="5"/>
  <c r="BV72" i="5"/>
  <c r="BU72" i="5"/>
  <c r="BU71" i="5"/>
  <c r="BU69" i="5"/>
  <c r="BI69" i="5"/>
  <c r="BI71" i="5"/>
  <c r="BI72" i="5"/>
  <c r="CB71" i="5"/>
  <c r="CB72" i="5"/>
  <c r="CB69" i="5"/>
  <c r="CD71" i="5"/>
  <c r="CD72" i="5"/>
  <c r="CD69" i="5"/>
  <c r="BQ72" i="5"/>
  <c r="BQ69" i="5"/>
  <c r="BQ71" i="5"/>
  <c r="BR71" i="5"/>
  <c r="BR69" i="5"/>
  <c r="BR72" i="5"/>
  <c r="BW69" i="5"/>
  <c r="BW71" i="5"/>
  <c r="BW72" i="5"/>
  <c r="BO72" i="5"/>
  <c r="BO71" i="5"/>
  <c r="BO69" i="5"/>
  <c r="BX72" i="5"/>
  <c r="BX69" i="5"/>
  <c r="BX71" i="5"/>
  <c r="BK69" i="5"/>
  <c r="BK72" i="5"/>
  <c r="BK71" i="5"/>
  <c r="BP71" i="5"/>
  <c r="BP69" i="5"/>
  <c r="BP72" i="5"/>
  <c r="BZ69" i="5"/>
  <c r="BZ72" i="5"/>
  <c r="BZ71" i="5"/>
  <c r="BY71" i="5"/>
  <c r="BY69" i="5"/>
  <c r="BY72" i="5"/>
  <c r="CA71" i="5"/>
  <c r="CA69" i="5"/>
  <c r="CA72" i="5"/>
  <c r="BJ69" i="5"/>
  <c r="BJ71" i="5"/>
  <c r="BJ72" i="5"/>
  <c r="BT71" i="5"/>
  <c r="BT69" i="5"/>
  <c r="BT72" i="5"/>
  <c r="BM71" i="5"/>
  <c r="BM69" i="5"/>
  <c r="BM72" i="5"/>
  <c r="BL71" i="5"/>
  <c r="BL69" i="5"/>
  <c r="BL72" i="5"/>
  <c r="CF71" i="5"/>
  <c r="CF69" i="5"/>
  <c r="CF72" i="5"/>
  <c r="CE71" i="5"/>
  <c r="CE72" i="5"/>
  <c r="CE69" i="5"/>
  <c r="Q33" i="7" l="1"/>
  <c r="Q43" i="7"/>
  <c r="Z33" i="7"/>
  <c r="Z43" i="7"/>
  <c r="P33" i="7"/>
  <c r="P43" i="7"/>
  <c r="AA33" i="7"/>
  <c r="AA43" i="7"/>
  <c r="T33" i="7"/>
  <c r="T43" i="7"/>
  <c r="Y33" i="7"/>
  <c r="Y43" i="7"/>
  <c r="W33" i="7"/>
  <c r="W43" i="7"/>
  <c r="R33" i="7"/>
  <c r="R43" i="7"/>
  <c r="N33" i="7"/>
  <c r="N43" i="7"/>
  <c r="U33" i="7"/>
  <c r="U43" i="7"/>
  <c r="X33" i="7"/>
  <c r="X43" i="7"/>
  <c r="M33" i="7"/>
  <c r="M43" i="7"/>
  <c r="V33" i="7"/>
  <c r="V43" i="7"/>
  <c r="S33" i="7"/>
  <c r="S43" i="7"/>
  <c r="O33" i="7"/>
  <c r="O43" i="7"/>
  <c r="C41" i="7"/>
  <c r="N34" i="7"/>
  <c r="U34" i="7"/>
  <c r="Y34" i="7"/>
  <c r="T34" i="7"/>
  <c r="Z34" i="7"/>
  <c r="S34" i="7"/>
  <c r="W34" i="7"/>
  <c r="V34" i="7"/>
  <c r="X34" i="7"/>
  <c r="Q34" i="7"/>
  <c r="M34" i="7"/>
  <c r="AA34" i="7"/>
  <c r="O34" i="7"/>
  <c r="P34" i="7"/>
  <c r="M41" i="7"/>
  <c r="AT24" i="3"/>
  <c r="AU24" i="3"/>
  <c r="BC24" i="3"/>
  <c r="F41" i="7"/>
  <c r="BQ24" i="3"/>
  <c r="AP24" i="3"/>
  <c r="C46" i="7"/>
  <c r="C45" i="7"/>
  <c r="AY24" i="3"/>
  <c r="AI24" i="3"/>
  <c r="BM24" i="3"/>
  <c r="AS24" i="3"/>
  <c r="BT24" i="3"/>
  <c r="BA24" i="3"/>
  <c r="CD24" i="3"/>
  <c r="AQ24" i="3"/>
  <c r="BS24" i="3"/>
  <c r="BJ24" i="3"/>
  <c r="BY24" i="3"/>
  <c r="BX24" i="3"/>
  <c r="CC24" i="3"/>
  <c r="AJ24" i="3"/>
  <c r="BE24" i="3"/>
  <c r="AW24" i="3"/>
  <c r="CB24" i="3"/>
  <c r="BR24" i="3"/>
  <c r="CA24" i="3"/>
  <c r="AX24" i="3"/>
  <c r="BN24" i="3"/>
  <c r="AA44" i="7"/>
  <c r="H41" i="7"/>
  <c r="E41" i="7"/>
  <c r="J41" i="7"/>
  <c r="AA41" i="7"/>
  <c r="M45" i="7"/>
  <c r="L41" i="7"/>
  <c r="Y41" i="7"/>
  <c r="N41" i="7"/>
  <c r="I41" i="7"/>
  <c r="G41" i="7"/>
  <c r="O44" i="7"/>
  <c r="S41" i="7"/>
  <c r="AO24" i="3"/>
  <c r="BV24" i="3"/>
  <c r="AH24" i="3"/>
  <c r="BL24" i="3"/>
  <c r="BO24" i="3"/>
  <c r="BB24" i="3"/>
  <c r="O41" i="7"/>
  <c r="AV24" i="3"/>
  <c r="AM24" i="3"/>
  <c r="AK24" i="3"/>
  <c r="BG24" i="3"/>
  <c r="BH24" i="3"/>
  <c r="BP24" i="3"/>
  <c r="AN24" i="3"/>
  <c r="BD24" i="3"/>
  <c r="BK24" i="3"/>
  <c r="AR24" i="3"/>
  <c r="BW24" i="3"/>
  <c r="BU24" i="3"/>
  <c r="Z41" i="7"/>
  <c r="X41" i="7"/>
  <c r="BI24" i="3"/>
  <c r="AG24" i="3"/>
  <c r="BF24" i="3"/>
  <c r="AL24" i="3"/>
  <c r="BZ24" i="3"/>
  <c r="U41" i="7"/>
  <c r="M46" i="7"/>
  <c r="D41" i="7"/>
  <c r="V41" i="7"/>
  <c r="C44" i="7"/>
  <c r="R41" i="7"/>
  <c r="M44" i="7"/>
  <c r="W41" i="7"/>
  <c r="P44" i="7"/>
  <c r="K41" i="7"/>
  <c r="Q41" i="7"/>
  <c r="T41" i="7"/>
  <c r="BH21" i="3"/>
  <c r="AH21" i="3"/>
  <c r="AZ21" i="3"/>
  <c r="BQ21" i="3"/>
  <c r="BG21" i="3"/>
  <c r="BJ21" i="3"/>
  <c r="AW21" i="3"/>
  <c r="BU21" i="3"/>
  <c r="AR21" i="3"/>
  <c r="AY21" i="3"/>
  <c r="BE21" i="3"/>
  <c r="AV21" i="3"/>
  <c r="BB21" i="3"/>
  <c r="BF21" i="3"/>
  <c r="AO21" i="3"/>
  <c r="BP21" i="3"/>
  <c r="CA21" i="3"/>
  <c r="AK21" i="3"/>
  <c r="BW21" i="3"/>
  <c r="AX21" i="3"/>
  <c r="CD21" i="3"/>
  <c r="BD21" i="3"/>
  <c r="BV21" i="3"/>
  <c r="AT21" i="3"/>
  <c r="BX21" i="3"/>
  <c r="CB21" i="3"/>
  <c r="BS21" i="3"/>
  <c r="BM21" i="3"/>
  <c r="AI21" i="3"/>
  <c r="BI21" i="3"/>
  <c r="AJ21" i="3"/>
  <c r="BK21" i="3"/>
  <c r="CC21" i="3"/>
  <c r="AU21" i="3"/>
  <c r="AM21" i="3"/>
  <c r="BR21" i="3"/>
  <c r="AG21" i="3"/>
  <c r="AN21" i="3"/>
  <c r="BT21" i="3"/>
  <c r="BY21" i="3"/>
  <c r="BC21" i="3"/>
  <c r="AQ21" i="3"/>
  <c r="BA21" i="3"/>
  <c r="BN21" i="3"/>
  <c r="BO21" i="3"/>
  <c r="BL21" i="3"/>
  <c r="BZ21" i="3"/>
  <c r="AP21" i="3"/>
  <c r="AS21" i="3"/>
  <c r="AL21" i="3"/>
  <c r="P41" i="7"/>
  <c r="BB19" i="3"/>
  <c r="AN19" i="3"/>
  <c r="CD19" i="3"/>
  <c r="AV19" i="3"/>
  <c r="BY19" i="3"/>
  <c r="AL19" i="3"/>
  <c r="CC19" i="3"/>
  <c r="BX19" i="3"/>
  <c r="BL19" i="3"/>
  <c r="BA19" i="3"/>
  <c r="AK19" i="3"/>
  <c r="CB19" i="3"/>
  <c r="AM19" i="3"/>
  <c r="CA19" i="3"/>
  <c r="BC19" i="3"/>
  <c r="BW19" i="3"/>
  <c r="AG19" i="3"/>
  <c r="AP19" i="3"/>
  <c r="BJ19" i="3"/>
  <c r="BH19" i="3"/>
  <c r="BE19" i="3"/>
  <c r="BF19" i="3"/>
  <c r="BV19" i="3"/>
  <c r="BG19" i="3"/>
  <c r="AJ19" i="3"/>
  <c r="BP19" i="3"/>
  <c r="AY19" i="3"/>
  <c r="AW19" i="3"/>
  <c r="BK19" i="3"/>
  <c r="BQ19" i="3"/>
  <c r="AX19" i="3"/>
  <c r="BM19" i="3"/>
  <c r="AS19" i="3"/>
  <c r="BS19" i="3"/>
  <c r="BI19" i="3"/>
  <c r="AU19" i="3"/>
  <c r="AQ19" i="3"/>
  <c r="BO19" i="3"/>
  <c r="BZ19" i="3"/>
  <c r="BR19" i="3"/>
  <c r="AI19" i="3"/>
  <c r="BD19" i="3"/>
  <c r="BU19" i="3"/>
  <c r="AH19" i="3"/>
  <c r="BN19" i="3"/>
  <c r="BT19" i="3"/>
  <c r="AR19" i="3"/>
  <c r="AO19" i="3"/>
  <c r="AZ19" i="3"/>
  <c r="AT19" i="3"/>
  <c r="E45" i="7"/>
  <c r="E46" i="7"/>
  <c r="E44" i="7"/>
  <c r="K46" i="7"/>
  <c r="K45" i="7"/>
  <c r="K44" i="7"/>
  <c r="C20" i="7"/>
  <c r="C33" i="2" s="1"/>
  <c r="D45" i="7"/>
  <c r="D46" i="7"/>
  <c r="D44" i="7"/>
  <c r="Q45" i="7"/>
  <c r="Q44" i="7"/>
  <c r="Q46" i="7"/>
  <c r="G46" i="7"/>
  <c r="G44" i="7"/>
  <c r="G45" i="7"/>
  <c r="T45" i="7"/>
  <c r="T44" i="7"/>
  <c r="T46" i="7"/>
  <c r="C21" i="7"/>
  <c r="D33" i="2" s="1"/>
  <c r="X44" i="7"/>
  <c r="X45" i="7"/>
  <c r="X46" i="7"/>
  <c r="I45" i="7"/>
  <c r="I46" i="7"/>
  <c r="I44" i="7"/>
  <c r="Y44" i="7"/>
  <c r="Y45" i="7"/>
  <c r="Y46" i="7"/>
  <c r="W45" i="7"/>
  <c r="W46" i="7"/>
  <c r="Z44" i="7"/>
  <c r="H46" i="7"/>
  <c r="H45" i="7"/>
  <c r="H44" i="7"/>
  <c r="O45" i="7"/>
  <c r="O46" i="7"/>
  <c r="V45" i="7"/>
  <c r="V44" i="7"/>
  <c r="V46" i="7"/>
  <c r="F45" i="7"/>
  <c r="F46" i="7"/>
  <c r="F44" i="7"/>
  <c r="S45" i="7"/>
  <c r="S46" i="7"/>
  <c r="P45" i="7"/>
  <c r="P46" i="7"/>
  <c r="U45" i="7"/>
  <c r="U46" i="7"/>
  <c r="W44" i="7"/>
  <c r="AA45" i="7"/>
  <c r="AA46" i="7"/>
  <c r="J45" i="7"/>
  <c r="J44" i="7"/>
  <c r="J46" i="7"/>
  <c r="N44" i="7"/>
  <c r="N45" i="7"/>
  <c r="N46" i="7"/>
  <c r="Z45" i="7"/>
  <c r="Z46" i="7"/>
  <c r="R45" i="7"/>
  <c r="R44" i="7"/>
  <c r="R46" i="7"/>
  <c r="L45" i="7"/>
  <c r="L44" i="7"/>
  <c r="L46" i="7"/>
  <c r="U44" i="7"/>
  <c r="S44" i="7"/>
  <c r="S50" i="7" l="1"/>
  <c r="Q50" i="7"/>
  <c r="C50" i="7"/>
  <c r="E50" i="7"/>
  <c r="V50" i="7"/>
  <c r="N50" i="7"/>
  <c r="X50" i="7"/>
  <c r="W50" i="7"/>
  <c r="R50" i="7"/>
  <c r="H50" i="7"/>
  <c r="K50" i="7"/>
  <c r="U50" i="7"/>
  <c r="P50" i="7"/>
  <c r="Z50" i="7"/>
  <c r="D50" i="7"/>
  <c r="L50" i="7"/>
  <c r="M50" i="7"/>
  <c r="O50" i="7"/>
  <c r="AA50" i="7"/>
  <c r="F50" i="7"/>
  <c r="Y50" i="7"/>
  <c r="J50" i="7"/>
  <c r="I50" i="7"/>
  <c r="T50" i="7"/>
  <c r="G50" i="7"/>
  <c r="G49" i="7"/>
  <c r="M49" i="7"/>
  <c r="C49" i="7"/>
  <c r="F49" i="7"/>
  <c r="J49" i="7"/>
  <c r="L49" i="7"/>
  <c r="H49" i="7"/>
  <c r="E49" i="7"/>
  <c r="AA49" i="7"/>
  <c r="Z49" i="7"/>
  <c r="Y49" i="7"/>
  <c r="K49" i="7"/>
  <c r="N49" i="7"/>
  <c r="I49" i="7"/>
  <c r="X49" i="7"/>
  <c r="V49" i="7"/>
  <c r="W49" i="7"/>
  <c r="O49" i="7"/>
  <c r="S49" i="7"/>
  <c r="D49" i="7"/>
  <c r="U49" i="7"/>
  <c r="R49" i="7"/>
  <c r="T49" i="7"/>
  <c r="Q49" i="7"/>
  <c r="P49" i="7"/>
  <c r="G36" i="7" l="1"/>
  <c r="G52" i="7"/>
  <c r="C36" i="7"/>
  <c r="G37" i="7"/>
  <c r="C53" i="7"/>
  <c r="D34" i="2" s="1"/>
  <c r="C129" i="2" s="1"/>
  <c r="C37" i="7"/>
  <c r="C52" i="7"/>
  <c r="C34" i="2" s="1"/>
  <c r="G53" i="7"/>
  <c r="C194" i="2" l="1"/>
  <c r="C201" i="2"/>
  <c r="C180" i="2"/>
  <c r="C187" i="2"/>
  <c r="C215" i="2"/>
  <c r="C152" i="2"/>
  <c r="C208" i="2"/>
  <c r="C222" i="2"/>
  <c r="C159" i="2"/>
  <c r="C166" i="2"/>
  <c r="C145" i="2"/>
  <c r="C173" i="2"/>
  <c r="C11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tc={A7BB3678-EED8-4293-8F25-1535E913459A}</author>
  </authors>
  <commentList>
    <comment ref="G11" authorId="0" shapeId="0" xr:uid="{A7BB3678-EED8-4293-8F25-1535E913459A}">
      <text>
        <t>[Threaded comment]
Your version of Excel allows you to read this threaded comment; however, any edits to it will get removed if the file is opened in a newer version of Excel. Learn more: https://go.microsoft.com/fwlink/?linkid=870924
Comment:
    As user costs are included in the benefits section an 'increase' in user costs due to climate change is still indicated with a negative sign.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tc={D9DF0F41-2BE7-40F3-803A-BD3F4D8647B6}</author>
    <author>tc={10707388-1D4D-FA42-9E3A-6A7E442D957E}</author>
  </authors>
  <commentList>
    <comment ref="B1" authorId="0" shapeId="0" xr:uid="{00000000-0006-0000-0900-000001000000}">
      <text>
        <t>[Threaded comment]
Your version of Excel allows you to read this threaded comment; however, any edits to it will get removed if the file is opened in a newer version of Excel. Learn more: https://go.microsoft.com/fwlink/?linkid=870924
Comment:
    User enters pessimistic and optimistic figures. Extrapolates disaster CB based on pessimism/optimism value in "main parameters" section.
Result: one value per year, based on user´s pessimism entry</t>
      </text>
    </comment>
    <comment ref="B35" authorId="1" shapeId="0" xr:uid="{00000000-0006-0000-0900-000002000000}">
      <text>
        <t>[Threaded comment]
Your version of Excel allows you to read this threaded comment; however, any edits to it will get removed if the file is opened in a newer version of Excel. Learn more: https://go.microsoft.com/fwlink/?linkid=870924
Comment:
    Formulas not included in guidance note</t>
      </text>
    </comment>
  </commentList>
</comments>
</file>

<file path=xl/sharedStrings.xml><?xml version="1.0" encoding="utf-8"?>
<sst xmlns="http://schemas.openxmlformats.org/spreadsheetml/2006/main" count="780" uniqueCount="269">
  <si>
    <t xml:space="preserve">Flow of costs </t>
  </si>
  <si>
    <t>Flow of benefits</t>
  </si>
  <si>
    <t>Project start date</t>
  </si>
  <si>
    <t>Year</t>
  </si>
  <si>
    <t>Baseline discounted benefits</t>
  </si>
  <si>
    <t>Project end date</t>
  </si>
  <si>
    <t>Discount rate</t>
  </si>
  <si>
    <t>NPV</t>
  </si>
  <si>
    <t>Baseline NPV</t>
  </si>
  <si>
    <t>Expected change in quantity produced (e.g., corn yield)</t>
  </si>
  <si>
    <t>Expected change in price of supply (e.g., unit corn price)</t>
  </si>
  <si>
    <t>Optimistic</t>
  </si>
  <si>
    <t>Pessimistic</t>
  </si>
  <si>
    <t>Expected change in operational or production costs</t>
  </si>
  <si>
    <t>SIMULATION</t>
  </si>
  <si>
    <t>Natural disasters</t>
  </si>
  <si>
    <t>Once every 2 years</t>
  </si>
  <si>
    <t>Repair/Reconstruction cost (CAPEX)</t>
  </si>
  <si>
    <t xml:space="preserve">Additional out-of-system impacts </t>
  </si>
  <si>
    <t>Once every 10 years</t>
  </si>
  <si>
    <t>Once every 100 years</t>
  </si>
  <si>
    <t>Once every 1000 years</t>
  </si>
  <si>
    <t>Impact on quantity produced (% of yearly output)</t>
  </si>
  <si>
    <t>Return period</t>
  </si>
  <si>
    <t>Baseline BC ratio</t>
  </si>
  <si>
    <t>CAPEX</t>
  </si>
  <si>
    <t>Discounted cost</t>
  </si>
  <si>
    <t>Discounted benefits</t>
  </si>
  <si>
    <t>BCR</t>
  </si>
  <si>
    <t>climate pessimism</t>
  </si>
  <si>
    <t>baseline pessimism</t>
  </si>
  <si>
    <t>Quantity</t>
  </si>
  <si>
    <t>Price</t>
  </si>
  <si>
    <t>Costs</t>
  </si>
  <si>
    <t xml:space="preserve"> NPV</t>
  </si>
  <si>
    <t xml:space="preserve"> BCR</t>
  </si>
  <si>
    <t>Once every 50 years</t>
  </si>
  <si>
    <t>Calculation:</t>
  </si>
  <si>
    <t>Level of climate impact on quantities (0 - 100%)</t>
  </si>
  <si>
    <t>Level of climate impact on prices (0 - 100%)</t>
  </si>
  <si>
    <t>Level of climate impact on costs (0 - 100%)</t>
  </si>
  <si>
    <t>Calculates one weighted value per year based on selected "level of climate impact" in "Input_Parameters"</t>
  </si>
  <si>
    <t>Extrapolates data above for each ear.  Calculates "frequency" based on "Return period".</t>
  </si>
  <si>
    <t>Input: All from "Input_Parameters"</t>
  </si>
  <si>
    <t>Input: All this sheet (table above)</t>
  </si>
  <si>
    <t>Repair/Reconstruction cost (CAPEX) (in absolute terms)</t>
  </si>
  <si>
    <t>Additional out-of-system impacts (in absolute terms)</t>
  </si>
  <si>
    <t>Expected annual figures based on "frequencies"</t>
  </si>
  <si>
    <t>ExpectedShockServiceLoss: Expected impact on quantity produced (% of yearly output)</t>
  </si>
  <si>
    <t>ExpectedShockRepair: Expected repair/Reconstruction cost (CAPEX)</t>
  </si>
  <si>
    <t xml:space="preserve">ExpectedShockOutofSystemLoss: Expected additional out-of-system impacts </t>
  </si>
  <si>
    <t>Probability of occurence (in %)</t>
  </si>
  <si>
    <t>Average conditions adjusted NPV</t>
  </si>
  <si>
    <t>Average conditions BC ratio</t>
  </si>
  <si>
    <t>Magnitude of extreme event impacts (0 - 100%)</t>
  </si>
  <si>
    <t>Future change in extreme event frequency (0 - 100%)</t>
  </si>
  <si>
    <t>No/low impact</t>
  </si>
  <si>
    <t>High impact</t>
  </si>
  <si>
    <t>Climate impact scenario:</t>
  </si>
  <si>
    <t>Weak intensity level (Once every 2 years)</t>
  </si>
  <si>
    <t>Moderate intensity level (Once every 10 years)</t>
  </si>
  <si>
    <t>Strong intensity level (Once every 100 years)</t>
  </si>
  <si>
    <t>Extreme intensity level (Once every 1000 years)</t>
  </si>
  <si>
    <t>Guidance: For guidance on how to estimate the required input please see "Guidance Note" chapter xy</t>
  </si>
  <si>
    <t xml:space="preserve">Please fill all green fields </t>
  </si>
  <si>
    <t>Return period (to calculate probability of occurrence), in years</t>
  </si>
  <si>
    <t>Impact on quantity produced, in % of yearly output</t>
  </si>
  <si>
    <t>Repair/Reconstruction cost (CAPEX), in absolute amount/monetary unit</t>
  </si>
  <si>
    <t>Additional out-of-system impacts, in absolute amount/monetary unit</t>
  </si>
  <si>
    <t>Climate risks input parameters</t>
  </si>
  <si>
    <t>Inputs needed to calculate climate change impacts on project's costs and benefits</t>
  </si>
  <si>
    <t>Baseline scenario</t>
  </si>
  <si>
    <t>OPTIMISTIC BASELINE SCENARIO:</t>
  </si>
  <si>
    <t>PESSIMISTIC BASELINE SCENARIO:</t>
  </si>
  <si>
    <t>Optimistic baseline NPV</t>
  </si>
  <si>
    <t>CALCULATION: NPV and BCR of baseline pessimistic scenario</t>
  </si>
  <si>
    <t>CALCULATION: NPV and BCR of baseline optimistic scenario</t>
  </si>
  <si>
    <t>Optimistic baseline BCR</t>
  </si>
  <si>
    <t>Pessimistic baseline NPV</t>
  </si>
  <si>
    <t>Pessimistic baseline BCR</t>
  </si>
  <si>
    <t>Baseline discounted costs</t>
  </si>
  <si>
    <t>Inputs needed from the former CBA analysis which does not include climate impact aspects</t>
  </si>
  <si>
    <t>Main parameters and results</t>
  </si>
  <si>
    <t xml:space="preserve">Two functions of this sheet: 
(1) Decide on unacceptable NPV in the range of possible future
(2) Identify "switching" scenario </t>
  </si>
  <si>
    <t>Parameters to change climate impact (0%=no/low impact, 100%=high impact):</t>
  </si>
  <si>
    <t>Parameter to change CBA baseline (0%=optimistic, 100%=pessimistic):</t>
  </si>
  <si>
    <t>Level of climate impact: All climate parameters (0 - 100%)</t>
  </si>
  <si>
    <t>Level of pessimism on baseline (0 -100%)</t>
  </si>
  <si>
    <t>CALCULATION: Sensitivity analysis</t>
  </si>
  <si>
    <t>CBR</t>
  </si>
  <si>
    <t>CALCULATION: NPV and BCR for different levels of climate impact and baseline pessimism</t>
  </si>
  <si>
    <t>All climate impacts</t>
  </si>
  <si>
    <t>RESULT: Change in average climate conditions for parameters set above</t>
  </si>
  <si>
    <t xml:space="preserve">RESULT: Natural disaster estimates for parameters set above </t>
  </si>
  <si>
    <t>INPUT: Change main parameters of analysis</t>
  </si>
  <si>
    <r>
      <t xml:space="preserve">Baseline results </t>
    </r>
    <r>
      <rPr>
        <sz val="11"/>
        <color theme="1"/>
        <rFont val="Calibri"/>
        <family val="2"/>
        <scheme val="minor"/>
      </rPr>
      <t>(without climate impact)</t>
    </r>
  </si>
  <si>
    <t>All climate risks adjusted NPV</t>
  </si>
  <si>
    <t>All climate risks adjusted BC ratio</t>
  </si>
  <si>
    <t>All climate risks adjusted results</t>
  </si>
  <si>
    <t>RESULT: NPV and BCR for parameters set above</t>
  </si>
  <si>
    <t>RESULT: Graphs for parameters set above</t>
  </si>
  <si>
    <t>Please don't change the following background calculations:</t>
  </si>
  <si>
    <t>Level of climate impact</t>
  </si>
  <si>
    <t>Baseline pessimism</t>
  </si>
  <si>
    <t>CALCULATION: Addition of natural disasters</t>
  </si>
  <si>
    <t>Average conditions discounted benefits</t>
  </si>
  <si>
    <t>All climate risks discounted benefits</t>
  </si>
  <si>
    <t>Average conditions discounted costs</t>
  </si>
  <si>
    <t>All climate risks discounted costs</t>
  </si>
  <si>
    <t xml:space="preserve">CALCULATION: Addition of changes in average conditions </t>
  </si>
  <si>
    <t>CALCULATION: Baseline (no climate impacts)</t>
  </si>
  <si>
    <t>Expected flows for parameters set in "Parameters_Results"</t>
  </si>
  <si>
    <t>INPUT: Optimistic baseline scenario results from former CBA (no climate impact)</t>
  </si>
  <si>
    <t>INPUT: Pessimistic baseline scenario results from former CBA (no climate impact)</t>
  </si>
  <si>
    <r>
      <rPr>
        <i/>
        <sz val="11"/>
        <rFont val="Calibri"/>
        <family val="2"/>
        <scheme val="minor"/>
      </rPr>
      <t>Guidance:</t>
    </r>
    <r>
      <rPr>
        <b/>
        <sz val="11"/>
        <rFont val="Calibri"/>
        <family val="2"/>
        <scheme val="minor"/>
      </rPr>
      <t xml:space="preserve">
1. Step: Decision point -</t>
    </r>
    <r>
      <rPr>
        <sz val="11"/>
        <rFont val="Calibri"/>
        <family val="2"/>
        <scheme val="minor"/>
      </rPr>
      <t xml:space="preserve"> Is the project viable in the high impact climate and pessimistic baseline scenario? 
Actions:
- Set 'All climate parameters' and 'Baseline level of pessimism' at 100% (red cells)
- Decide if NPV and BCR for 'All climate risk adjusted results' is above threshold (</t>
    </r>
    <r>
      <rPr>
        <b/>
        <sz val="11"/>
        <rFont val="Calibri"/>
        <family val="2"/>
        <scheme val="minor"/>
      </rPr>
      <t>if yes, no further actions required</t>
    </r>
    <r>
      <rPr>
        <sz val="11"/>
        <rFont val="Calibri"/>
        <family val="2"/>
        <scheme val="minor"/>
      </rPr>
      <t xml:space="preserve">, if no -&gt; proceed to step 2)
</t>
    </r>
    <r>
      <rPr>
        <b/>
        <sz val="11"/>
        <rFont val="Calibri"/>
        <family val="2"/>
        <scheme val="minor"/>
      </rPr>
      <t xml:space="preserve">2. Step: Identify climate switching scenario - </t>
    </r>
    <r>
      <rPr>
        <sz val="11"/>
        <rFont val="Calibri"/>
        <family val="2"/>
        <scheme val="minor"/>
      </rPr>
      <t xml:space="preserve">Identify what level of climate impact would be needed to make the project fail (NPV or BCR below threshold) at a given level of baseline pessimism?
</t>
    </r>
    <r>
      <rPr>
        <sz val="11"/>
        <color theme="1"/>
        <rFont val="Calibri"/>
        <family val="2"/>
        <scheme val="minor"/>
      </rPr>
      <t>- Set 'Level of pessimism on baseline' at a certain value (e.g. 50%)
- Identify approximate level of climate impact by looking at the NPV or BCR result graphs below
- Change "All climate parameters" value until you have found the 'switching value' (the level of climate impact which leads to a NPV/BCR below threshold)
- Look at the result boxes below which show your input parameters for this switching value. -&gt; Continue with steps xy of gudiance</t>
    </r>
  </si>
  <si>
    <t xml:space="preserve">Weak intensity level </t>
  </si>
  <si>
    <t xml:space="preserve">Moderate intensity level </t>
  </si>
  <si>
    <t xml:space="preserve">Strong intensity level </t>
  </si>
  <si>
    <t xml:space="preserve">Extreme intensity level </t>
  </si>
  <si>
    <r>
      <t xml:space="preserve">INPUT (Step 2a): Estimates to assess the economic impacts of </t>
    </r>
    <r>
      <rPr>
        <b/>
        <u/>
        <sz val="11"/>
        <color theme="1"/>
        <rFont val="Calibri"/>
        <family val="2"/>
        <scheme val="minor"/>
      </rPr>
      <t>changes in average conditions</t>
    </r>
  </si>
  <si>
    <t>INPUT (Step 1): Baseline scenario (no climate impact)</t>
  </si>
  <si>
    <t xml:space="preserve">Guidance: 
- Team has to assess the impacts of extreme events, for various probabilities of occurrence (or return periods). If the team wants only 2 or 3 intensity levels, then they can start from the most extreme (at the bottom) and fill the various levels going up, puting zero impacts for the residual ones. 
- Impacts of extreme events are in three metrics: impact of project outputs (%), repair/reconstruction costs (monetary), and additional out-of-system impacts (monetary). For guidance on how to estimate impacts, please see "Guidance Note" chapter xy
- Return periods (yellow cells) are pre-selected, but can be modified </t>
  </si>
  <si>
    <t xml:space="preserve"> </t>
  </si>
  <si>
    <t>Climate impact scenario :</t>
  </si>
  <si>
    <t xml:space="preserve">Guidance : Follow the same instructions as the previous box for another natural disaster that you would like to include in your analysis </t>
  </si>
  <si>
    <t>Guidance: Follow the same instructions as the first box for another natural disaster that you would like to include in your analysis</t>
  </si>
  <si>
    <r>
      <t xml:space="preserve">INPUT (Step 2b i): Estimates to assess the economic impacts of </t>
    </r>
    <r>
      <rPr>
        <b/>
        <u/>
        <sz val="11"/>
        <color theme="1"/>
        <rFont val="Calibri"/>
        <family val="2"/>
        <scheme val="minor"/>
      </rPr>
      <t>natural disasters</t>
    </r>
    <r>
      <rPr>
        <b/>
        <sz val="11"/>
        <color theme="1"/>
        <rFont val="Calibri"/>
        <family val="2"/>
        <scheme val="minor"/>
      </rPr>
      <t xml:space="preserve"> </t>
    </r>
    <r>
      <rPr>
        <u/>
        <sz val="11"/>
        <color theme="1"/>
        <rFont val="Calibri"/>
        <family val="2"/>
        <scheme val="minor"/>
      </rPr>
      <t>in the current context</t>
    </r>
  </si>
  <si>
    <r>
      <t xml:space="preserve">INPUT (Step 2b ii): Estimates to assess the economic impacts of </t>
    </r>
    <r>
      <rPr>
        <b/>
        <u/>
        <sz val="11"/>
        <color theme="1"/>
        <rFont val="Calibri"/>
        <family val="2"/>
        <scheme val="minor"/>
      </rPr>
      <t>natural disasters</t>
    </r>
    <r>
      <rPr>
        <b/>
        <sz val="11"/>
        <color theme="1"/>
        <rFont val="Calibri"/>
        <family val="2"/>
        <scheme val="minor"/>
      </rPr>
      <t xml:space="preserve"> </t>
    </r>
    <r>
      <rPr>
        <u/>
        <sz val="11"/>
        <color theme="1"/>
        <rFont val="Calibri"/>
        <family val="2"/>
        <scheme val="minor"/>
      </rPr>
      <t>in the current context</t>
    </r>
  </si>
  <si>
    <r>
      <t xml:space="preserve">INPUT (Step 2b iii): Estimates to assess the economic impacts of </t>
    </r>
    <r>
      <rPr>
        <b/>
        <u/>
        <sz val="11"/>
        <color theme="1"/>
        <rFont val="Calibri"/>
        <family val="2"/>
        <scheme val="minor"/>
      </rPr>
      <t>natural disasters</t>
    </r>
    <r>
      <rPr>
        <b/>
        <sz val="11"/>
        <color theme="1"/>
        <rFont val="Calibri"/>
        <family val="2"/>
        <scheme val="minor"/>
      </rPr>
      <t xml:space="preserve"> </t>
    </r>
    <r>
      <rPr>
        <u/>
        <sz val="11"/>
        <color theme="1"/>
        <rFont val="Calibri"/>
        <family val="2"/>
        <scheme val="minor"/>
      </rPr>
      <t>in the current context</t>
    </r>
  </si>
  <si>
    <t>INPUT (Step 2c i) : Estimates to assess how the frequency of disastes is likely to change</t>
  </si>
  <si>
    <t>INPUT (Step 2c iii): Estimates to assess how the frequency of disasters is likely to change</t>
  </si>
  <si>
    <r>
      <t xml:space="preserve">Guidance: 
- Team has to assess how the probabilities of occurrence (or return periods) may change with climate change, in an optimistic and a pessimistic case </t>
    </r>
    <r>
      <rPr>
        <b/>
        <sz val="11"/>
        <color theme="1"/>
        <rFont val="Calibri"/>
        <family val="2"/>
        <scheme val="minor"/>
      </rPr>
      <t>(corresponding to natural disaster mentioned in box 2b i )</t>
    </r>
    <r>
      <rPr>
        <i/>
        <sz val="11"/>
        <color theme="1"/>
        <rFont val="Calibri"/>
        <family val="2"/>
        <scheme val="minor"/>
      </rPr>
      <t xml:space="preserve">
- For guidance on how to estimate these changes, please see "Guidance Note" chapter xy</t>
    </r>
  </si>
  <si>
    <r>
      <t>Guidance: 
- Team has to assess how the probabilities of occurrence (or return periods) may change with climate change, in an optimistic and a pessimistic case (</t>
    </r>
    <r>
      <rPr>
        <b/>
        <sz val="11"/>
        <color theme="1"/>
        <rFont val="Calibri"/>
        <family val="2"/>
        <scheme val="minor"/>
      </rPr>
      <t>corresponding to natural disaster mentioned in box 2b iii)</t>
    </r>
    <r>
      <rPr>
        <i/>
        <sz val="11"/>
        <color theme="1"/>
        <rFont val="Calibri"/>
        <family val="2"/>
        <scheme val="minor"/>
      </rPr>
      <t xml:space="preserve">
- For guidance on how to estimate these changes, please see "Guidance Note" chapter xy</t>
    </r>
  </si>
  <si>
    <t>Calculation: (2bi)</t>
  </si>
  <si>
    <t xml:space="preserve">Once every 2 years </t>
  </si>
  <si>
    <t xml:space="preserve">Once every 10 years </t>
  </si>
  <si>
    <t xml:space="preserve">Once every 100 years </t>
  </si>
  <si>
    <t xml:space="preserve">Once every 1000 years </t>
  </si>
  <si>
    <t xml:space="preserve">Natural Disasters </t>
  </si>
  <si>
    <t>Calculation (2b ii)</t>
  </si>
  <si>
    <t>Calculation: (2biii)</t>
  </si>
  <si>
    <t xml:space="preserve">Climate Impact Scenario </t>
  </si>
  <si>
    <t xml:space="preserve">Weak Intensity Level </t>
  </si>
  <si>
    <t>Return period (to calB54:B72culate probability of occurrence), in years</t>
  </si>
  <si>
    <t>INPUT (Step 2c ii) : Estimates to assess how the frequency of disastes is likely to change</t>
  </si>
  <si>
    <t>Guidance: 
- Team has to assess how the probabilities of occurrence (or return periods) may change with climate change, in an optimistic and a pessimistic case (corresponding to natural disaster mentioned in box 2b i )
- For guidance on how to estimate these changes, please see "Guidance Note" chapter xy</t>
  </si>
  <si>
    <t>Calculation: (2bii)</t>
  </si>
  <si>
    <t>CAPEX with project</t>
  </si>
  <si>
    <t>OPEX without project</t>
  </si>
  <si>
    <t>OPEX with project</t>
  </si>
  <si>
    <t>MT Vehicle Operation without project</t>
  </si>
  <si>
    <t>MT Vehicle Operation with project</t>
  </si>
  <si>
    <t>MT Travel Time without project</t>
  </si>
  <si>
    <t>MT Travel Time with project</t>
  </si>
  <si>
    <t>NMT Travel and Operation without project</t>
  </si>
  <si>
    <t>NMT Travel and Operation with project</t>
  </si>
  <si>
    <t>With Project</t>
  </si>
  <si>
    <t>Net Benefit With Project</t>
  </si>
  <si>
    <t>Net Benefit with project</t>
  </si>
  <si>
    <t>Net Benefit Without Project</t>
  </si>
  <si>
    <t>Carbon Emission</t>
  </si>
  <si>
    <t xml:space="preserve">Carbon emission </t>
  </si>
  <si>
    <t>Difference</t>
  </si>
  <si>
    <t>Without Project</t>
  </si>
  <si>
    <t>Pessimistic Costs</t>
  </si>
  <si>
    <t>User costs with project</t>
  </si>
  <si>
    <t>User costs without project</t>
  </si>
  <si>
    <t>Expected change in investment costs, in %</t>
  </si>
  <si>
    <t>Expected change in price/value of supply, in %</t>
  </si>
  <si>
    <t>Expected change in user costs and operations cost, in %</t>
  </si>
  <si>
    <t>Impact on quantity produced, in % of yearly output with project</t>
  </si>
  <si>
    <t>Impact on quantity produced, in % of yearly output without project</t>
  </si>
  <si>
    <t>Return Period</t>
  </si>
  <si>
    <t>Floods</t>
  </si>
  <si>
    <t>Cost with High</t>
  </si>
  <si>
    <t>Days with High</t>
  </si>
  <si>
    <t>Cost without low</t>
  </si>
  <si>
    <t>Costs without High</t>
  </si>
  <si>
    <t>Days without High</t>
  </si>
  <si>
    <t>Cost with Low</t>
  </si>
  <si>
    <t>Days with Low</t>
  </si>
  <si>
    <t>Days without Low</t>
  </si>
  <si>
    <t>Landslides</t>
  </si>
  <si>
    <t>Impact on quantity produced (% of yearly output) with project</t>
  </si>
  <si>
    <t>Impact on quantity produced (% of yearly output) without project</t>
  </si>
  <si>
    <t>ExpectedShockServiceLoss: Expected impact on quantity produced with project (% of yearly output)</t>
  </si>
  <si>
    <t>ExpectedShockServiceLoss: Expected impact on quantity produced without project (% of yearly output)</t>
  </si>
  <si>
    <t xml:space="preserve">Carbon Emissions </t>
  </si>
  <si>
    <r>
      <t xml:space="preserve">User Costs </t>
    </r>
    <r>
      <rPr>
        <b/>
        <sz val="11"/>
        <color theme="1"/>
        <rFont val="Calibri"/>
        <family val="2"/>
        <scheme val="minor"/>
      </rPr>
      <t>With</t>
    </r>
    <r>
      <rPr>
        <sz val="11"/>
        <color theme="1"/>
        <rFont val="Calibri"/>
        <family val="2"/>
        <scheme val="minor"/>
      </rPr>
      <t xml:space="preserve"> Project</t>
    </r>
  </si>
  <si>
    <r>
      <t xml:space="preserve">User Costs </t>
    </r>
    <r>
      <rPr>
        <b/>
        <sz val="11"/>
        <color theme="1"/>
        <rFont val="Calibri"/>
        <family val="2"/>
        <scheme val="minor"/>
      </rPr>
      <t>Without</t>
    </r>
    <r>
      <rPr>
        <sz val="11"/>
        <color theme="1"/>
        <rFont val="Calibri"/>
        <family val="2"/>
        <scheme val="minor"/>
      </rPr>
      <t xml:space="preserve"> Project</t>
    </r>
  </si>
  <si>
    <r>
      <t xml:space="preserve">OPEX </t>
    </r>
    <r>
      <rPr>
        <b/>
        <sz val="11"/>
        <color theme="1"/>
        <rFont val="Calibri"/>
        <family val="2"/>
        <scheme val="minor"/>
      </rPr>
      <t>With</t>
    </r>
    <r>
      <rPr>
        <sz val="11"/>
        <color theme="1"/>
        <rFont val="Calibri"/>
        <family val="2"/>
        <scheme val="minor"/>
      </rPr>
      <t xml:space="preserve"> Project</t>
    </r>
  </si>
  <si>
    <r>
      <t xml:space="preserve">OPEX </t>
    </r>
    <r>
      <rPr>
        <b/>
        <sz val="11"/>
        <color theme="1"/>
        <rFont val="Calibri"/>
        <family val="2"/>
        <scheme val="minor"/>
      </rPr>
      <t>Without</t>
    </r>
    <r>
      <rPr>
        <sz val="11"/>
        <color theme="1"/>
        <rFont val="Calibri"/>
        <family val="2"/>
        <scheme val="minor"/>
      </rPr>
      <t xml:space="preserve"> Project</t>
    </r>
  </si>
  <si>
    <r>
      <t xml:space="preserve">User Costs </t>
    </r>
    <r>
      <rPr>
        <b/>
        <sz val="11"/>
        <color theme="1"/>
        <rFont val="Calibri"/>
        <family val="2"/>
        <scheme val="minor"/>
      </rPr>
      <t xml:space="preserve">With </t>
    </r>
    <r>
      <rPr>
        <sz val="11"/>
        <color theme="1"/>
        <rFont val="Calibri"/>
        <family val="2"/>
        <scheme val="minor"/>
      </rPr>
      <t>Project</t>
    </r>
  </si>
  <si>
    <r>
      <t xml:space="preserve">User Coss </t>
    </r>
    <r>
      <rPr>
        <b/>
        <sz val="11"/>
        <color theme="1"/>
        <rFont val="Calibri"/>
        <family val="2"/>
        <scheme val="minor"/>
      </rPr>
      <t>Without</t>
    </r>
    <r>
      <rPr>
        <sz val="11"/>
        <color theme="1"/>
        <rFont val="Calibri"/>
        <family val="2"/>
        <scheme val="minor"/>
      </rPr>
      <t xml:space="preserve"> Project</t>
    </r>
  </si>
  <si>
    <t>Loss of Service with High</t>
  </si>
  <si>
    <t>Loss of Service without Low</t>
  </si>
  <si>
    <t>Loss of service without High</t>
  </si>
  <si>
    <t>Ratio</t>
  </si>
  <si>
    <t>Prob a</t>
  </si>
  <si>
    <t>Part 1 with High</t>
  </si>
  <si>
    <t>Part 1 without Low</t>
  </si>
  <si>
    <t>Part 1 without High</t>
  </si>
  <si>
    <t>Part 2 with Low</t>
  </si>
  <si>
    <t>Part 2 with High</t>
  </si>
  <si>
    <t>Part 2 without Low</t>
  </si>
  <si>
    <t>Part 2 without High</t>
  </si>
  <si>
    <t>Percentage Change with project (Low)</t>
  </si>
  <si>
    <t>Percentage Change with Project High</t>
  </si>
  <si>
    <t>Percenatge Change without Project Low</t>
  </si>
  <si>
    <t>Percentage Change Without Project High</t>
  </si>
  <si>
    <t>Days with project (low impact)</t>
  </si>
  <si>
    <t>Days with project (high impact)</t>
  </si>
  <si>
    <t>Days without project (low impact)</t>
  </si>
  <si>
    <t xml:space="preserve">Part 1 with Low </t>
  </si>
  <si>
    <t xml:space="preserve"> User Costs with project (Low)</t>
  </si>
  <si>
    <t>User Costs with project  (High)</t>
  </si>
  <si>
    <t xml:space="preserve">Days without (high impact) </t>
  </si>
  <si>
    <t>No/ Low</t>
  </si>
  <si>
    <t>High Impact</t>
  </si>
  <si>
    <t>Total CAPEX</t>
  </si>
  <si>
    <t>Impact on Infrastructure (CAPEX Calculations)</t>
  </si>
  <si>
    <t>% of Roads Damaged</t>
  </si>
  <si>
    <t xml:space="preserve">Change in Average Conditions </t>
  </si>
  <si>
    <t>With Project Low</t>
  </si>
  <si>
    <t>Without Project Low</t>
  </si>
  <si>
    <t>Without Project High</t>
  </si>
  <si>
    <t>Alpha</t>
  </si>
  <si>
    <t>User Costs without Climate Change</t>
  </si>
  <si>
    <t>% change</t>
  </si>
  <si>
    <r>
      <rPr>
        <b/>
        <i/>
        <sz val="11"/>
        <rFont val="Calibri"/>
        <family val="2"/>
        <scheme val="minor"/>
      </rPr>
      <t>Guidance on Intepreting Results</t>
    </r>
    <r>
      <rPr>
        <i/>
        <sz val="11"/>
        <rFont val="Calibri"/>
        <family val="2"/>
        <scheme val="minor"/>
      </rPr>
      <t>:</t>
    </r>
    <r>
      <rPr>
        <b/>
        <sz val="11"/>
        <rFont val="Calibri"/>
        <family val="2"/>
        <scheme val="minor"/>
      </rPr>
      <t xml:space="preserve">
Step 1: Decision point -</t>
    </r>
    <r>
      <rPr>
        <sz val="11"/>
        <rFont val="Calibri"/>
        <family val="2"/>
        <scheme val="minor"/>
      </rPr>
      <t xml:space="preserve"> Is the project viable in the high climate impact and pessimistic baseline scenario? 
- Set 'All climate parameters' and 'Baseline level of pessimism' at 100% (red cells)
- Decide if NPV and BCR for 'All climate risk adjusted results' is above threshold (</t>
    </r>
    <r>
      <rPr>
        <b/>
        <sz val="11"/>
        <rFont val="Calibri"/>
        <family val="2"/>
        <scheme val="minor"/>
      </rPr>
      <t>if yes, no further actions required</t>
    </r>
    <r>
      <rPr>
        <sz val="11"/>
        <rFont val="Calibri"/>
        <family val="2"/>
        <scheme val="minor"/>
      </rPr>
      <t xml:space="preserve">, if no -&gt; proceed to Step 2)
</t>
    </r>
    <r>
      <rPr>
        <b/>
        <sz val="11"/>
        <rFont val="Calibri"/>
        <family val="2"/>
        <scheme val="minor"/>
      </rPr>
      <t xml:space="preserve">Step 2: Identify climate switching scenario - </t>
    </r>
    <r>
      <rPr>
        <sz val="11"/>
        <rFont val="Calibri"/>
        <family val="2"/>
        <scheme val="minor"/>
      </rPr>
      <t xml:space="preserve">Identify what level of climate impact would be needed to make the project fail (NPV or BCR below threshold) at a given level of baseline pessimism?
- Set 'Level of pessimism on baseline' (cell D22) at a certain value (e.g. 50%)
- Identify approximate level of climate impact by looking at the NPV or BCR result graphs below
- Change "All climate parameters" value (cell D14) until you have found the 'switching value' (the level of climate impact which leads to a NPV/BCR below threshold)
- Look at the result boxes below which show your input parameters for this switching value. 
</t>
    </r>
    <r>
      <rPr>
        <b/>
        <sz val="11"/>
        <rFont val="Calibri"/>
        <family val="2"/>
        <scheme val="minor"/>
      </rPr>
      <t xml:space="preserve">Step 3: </t>
    </r>
    <r>
      <rPr>
        <sz val="11"/>
        <rFont val="Calibri"/>
        <family val="2"/>
        <scheme val="minor"/>
      </rPr>
      <t xml:space="preserve">Report NPV and BCRs of the extreme scenarios (i.e. results when climate impacts are set to 0% and 100% and pessimism is set at 0% and 100%). Input results in reporting table and include in project documents/discussions with decisions makers. See sample table below. </t>
    </r>
  </si>
  <si>
    <t xml:space="preserve">SAMPLE REPORTING TABLE: NPVs and BCRs Under Extreme Scenarios (climate impact at 0% and 100%; project pessimism at 0% and 100%) </t>
  </si>
  <si>
    <t xml:space="preserve">Adjusted NPVs and BCRs Under Extreme Scenarios </t>
  </si>
  <si>
    <t xml:space="preserve">No/low impact </t>
  </si>
  <si>
    <t xml:space="preserve">NPV </t>
  </si>
  <si>
    <t>BC ratio</t>
  </si>
  <si>
    <t>Loss of Service with Low Impact</t>
  </si>
  <si>
    <t>Loss of Service with project (Low)</t>
  </si>
  <si>
    <t>Loss of Service with project (High)</t>
  </si>
  <si>
    <t>Loss of Service without project (Low)</t>
  </si>
  <si>
    <t>Loss of service without project (High)</t>
  </si>
  <si>
    <t>Magnitude of extreme event impacts (0 - 100%) Floods</t>
  </si>
  <si>
    <t>Future change in extreme event frequency (0 - 100%) Floods</t>
  </si>
  <si>
    <t>Magnitude of extreme event impacts (0 - 100%) Landslides</t>
  </si>
  <si>
    <t>Future change in extreme event frequency (0 - 100%) Landslides</t>
  </si>
  <si>
    <t>Change in extreme event frequency  Floods</t>
  </si>
  <si>
    <t>Magnitude of extreme event impacts Landslides</t>
  </si>
  <si>
    <t>Change in extreme event frequency  Landslides</t>
  </si>
  <si>
    <t>Disaster 2 - Floods</t>
  </si>
  <si>
    <t>Disaster 3 - [Landslides]</t>
  </si>
  <si>
    <t>Summary of Sensitivity Analysis</t>
  </si>
  <si>
    <t>Disaster 1 -</t>
  </si>
  <si>
    <t>Magnitude of extreme event impacts (floods)</t>
  </si>
  <si>
    <t>Change in extreme event frequency  (floods)</t>
  </si>
  <si>
    <t>Magnitude of extreme event impacts floods</t>
  </si>
  <si>
    <t>Magnitude of extreme event impacts (landslides)</t>
  </si>
  <si>
    <t>Change in extreme event frequency  (landslides)</t>
  </si>
  <si>
    <t>Excel-Sheet Navigation</t>
  </si>
  <si>
    <t>Color Guide</t>
  </si>
  <si>
    <t>Inputs: Light green cells/sheets indicate inputs needed from users</t>
  </si>
  <si>
    <t>Calculation: Light orange cells/sheets indicate model calculations</t>
  </si>
  <si>
    <t xml:space="preserve">Result: Grey/blue represents parameters and results </t>
  </si>
  <si>
    <t>Guidance: Beige indicates further guidance</t>
  </si>
  <si>
    <t>OVERVIEW of the Risk Stress Test (RiST) tool</t>
  </si>
  <si>
    <t>Purpose</t>
  </si>
  <si>
    <t>RiST provides a simple approach to test a project's resilience to climate change and natural disasters based on its economic analysis. Although uncertainty around climate futures is too large to provide a precise estimate of climate impacts over a project's lifetime, this "stress test" can help to improve understanding of possible impacts, enhance preparation and project design, as well as inform decision-makers.</t>
  </si>
  <si>
    <t>How RiST works</t>
  </si>
  <si>
    <t>The analysis estimates climate and disaster impacts on the cost and benefit flows of a project’s net present value (NPV). The methodology accounts for: (i) changes in average climate conditions, (ii) impacts from natural disasters, and (iii) changes in the frequency of disasters. The results of this analysis should be considered as a stress test of project robustness: If the NPV or a project’s benefit cost ration (BCR) fall below a certain threshold (e.g. NPV&lt;0 or BCR&lt;1), due to the additional impact of climate and disasters, project teams can modify the project to include risk management measures where necessary, and report to stakeholders on how risks were considered.</t>
  </si>
  <si>
    <t>Disclaimer</t>
  </si>
  <si>
    <r>
      <t>The Risk Stress Testing Methodology (</t>
    </r>
    <r>
      <rPr>
        <u/>
        <sz val="11"/>
        <color theme="4"/>
        <rFont val="Calibri"/>
        <family val="2"/>
        <scheme val="minor"/>
      </rPr>
      <t>http://hdl.handle.net/10986/35751</t>
    </r>
    <r>
      <rPr>
        <sz val="11"/>
        <color theme="1"/>
        <rFont val="Calibri"/>
        <family val="2"/>
        <scheme val="minor"/>
      </rPr>
      <t>) and associated RiST Tool can help identify potential climate and disaster risks to a project and inform decision makers on project robustness. However, findings, interpretations, and conclusions derived from applying this Methodology or Tool should not be attributed to the World Bank, its affiliated institutions, the Executive Directors of the World Bank or the governments they represent. Use of this tool is at the user's own risk and under no circumstances shall the World Bank be liable for any loss, damage, liability, or expense incurred or suffered which is claimed to result from the use of this Methodology/Tool.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</si>
</sst>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0.0%"/>
    <numFmt numFmtId="165" formatCode="0.0000%"/>
    <numFmt numFmtId="166" formatCode="0.0"/>
    <numFmt numFmtId="167" formatCode="0.0000000"/>
    <numFmt numFmtId="168" formatCode="0.000%"/>
    <numFmt numFmtId="169" formatCode="0.000"/>
    <numFmt numFmtId="170" formatCode="0.000000"/>
  </numFmts>
  <fonts count="3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sz val="11"/>
      <color rgb="FFFF0000"/>
      <name val="Calibri"/>
      <family val="2"/>
      <scheme val="minor"/>
    </font>
    <font>
      <b/>
      <i/>
      <sz val="11"/>
      <color theme="1"/>
      <name val="Calibri"/>
      <family val="2"/>
      <scheme val="minor"/>
    </font>
    <font>
      <b/>
      <u/>
      <sz val="11"/>
      <color theme="1"/>
      <name val="Calibri"/>
      <family val="2"/>
      <scheme val="minor"/>
    </font>
    <font>
      <sz val="11"/>
      <name val="Calibri"/>
      <family val="2"/>
      <scheme val="minor"/>
    </font>
    <font>
      <b/>
      <sz val="11"/>
      <name val="Calibri"/>
      <family val="2"/>
      <scheme val="minor"/>
    </font>
    <font>
      <b/>
      <sz val="18"/>
      <color theme="1"/>
      <name val="Calibri"/>
      <family val="2"/>
      <scheme val="minor"/>
    </font>
    <font>
      <b/>
      <sz val="18"/>
      <name val="Calibri"/>
      <family val="2"/>
      <scheme val="minor"/>
    </font>
    <font>
      <i/>
      <sz val="11"/>
      <name val="Calibri"/>
      <family val="2"/>
      <scheme val="minor"/>
    </font>
    <font>
      <sz val="11"/>
      <color theme="0" tint="-0.499984740745262"/>
      <name val="Calibri"/>
      <family val="2"/>
      <scheme val="minor"/>
    </font>
    <font>
      <u/>
      <sz val="11"/>
      <color theme="1"/>
      <name val="Calibri"/>
      <family val="2"/>
      <scheme val="minor"/>
    </font>
    <font>
      <i/>
      <sz val="12"/>
      <color theme="1"/>
      <name val="Calibri (Body)"/>
    </font>
    <font>
      <b/>
      <sz val="11"/>
      <color theme="1"/>
      <name val="Calibri (Body)"/>
    </font>
    <font>
      <sz val="11"/>
      <color rgb="FF000000"/>
      <name val="Calibri"/>
      <family val="2"/>
      <scheme val="minor"/>
    </font>
    <font>
      <b/>
      <sz val="14"/>
      <color theme="1"/>
      <name val="Calibri (Body)"/>
    </font>
    <font>
      <b/>
      <sz val="14"/>
      <color theme="1"/>
      <name val="Calibri"/>
      <family val="2"/>
      <scheme val="minor"/>
    </font>
    <font>
      <b/>
      <sz val="12"/>
      <color indexed="8"/>
      <name val="MS Sans Serif"/>
    </font>
    <font>
      <sz val="12"/>
      <color indexed="8"/>
      <name val="MS Sans Serif"/>
    </font>
    <font>
      <sz val="11"/>
      <color rgb="FFFFC000"/>
      <name val="Calibri"/>
      <family val="2"/>
      <scheme val="minor"/>
    </font>
    <font>
      <sz val="12"/>
      <name val="Calibri"/>
      <family val="2"/>
      <scheme val="minor"/>
    </font>
    <font>
      <b/>
      <i/>
      <sz val="11"/>
      <name val="Calibri"/>
      <family val="2"/>
      <scheme val="minor"/>
    </font>
    <font>
      <b/>
      <sz val="10"/>
      <color theme="1"/>
      <name val="Calibri"/>
      <family val="2"/>
      <scheme val="minor"/>
    </font>
    <font>
      <b/>
      <sz val="10"/>
      <color rgb="FF000000"/>
      <name val="Calibri"/>
      <family val="2"/>
      <scheme val="minor"/>
    </font>
    <font>
      <b/>
      <i/>
      <sz val="10"/>
      <color rgb="FF000000"/>
      <name val="Calibri"/>
      <family val="2"/>
      <scheme val="minor"/>
    </font>
    <font>
      <sz val="10"/>
      <color rgb="FF70AD47"/>
      <name val="Calibri"/>
      <family val="2"/>
      <scheme val="minor"/>
    </font>
    <font>
      <sz val="10"/>
      <color theme="9"/>
      <name val="Calibri"/>
      <family val="2"/>
      <scheme val="minor"/>
    </font>
    <font>
      <b/>
      <sz val="24"/>
      <color theme="1"/>
      <name val="Calibri"/>
      <family val="2"/>
      <scheme val="minor"/>
    </font>
    <font>
      <u/>
      <sz val="11"/>
      <color theme="4"/>
      <name val="Calibri"/>
      <family val="2"/>
      <scheme val="minor"/>
    </font>
  </fonts>
  <fills count="24">
    <fill>
      <patternFill patternType="none"/>
    </fill>
    <fill>
      <patternFill patternType="gray125"/>
    </fill>
    <fill>
      <patternFill patternType="solid">
        <fgColor rgb="FFFFFF00"/>
        <bgColor indexed="64"/>
      </patternFill>
    </fill>
    <fill>
      <patternFill patternType="solid">
        <fgColor theme="2"/>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theme="7" tint="0.79998168889431442"/>
        <bgColor indexed="64"/>
      </patternFill>
    </fill>
    <fill>
      <patternFill patternType="solid">
        <fgColor theme="9"/>
        <bgColor indexed="64"/>
      </patternFill>
    </fill>
    <fill>
      <patternFill patternType="solid">
        <fgColor rgb="FFFF0000"/>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3" tint="0.59999389629810485"/>
        <bgColor indexed="64"/>
      </patternFill>
    </fill>
    <fill>
      <patternFill patternType="solid">
        <fgColor rgb="FFEA3800"/>
        <bgColor indexed="64"/>
      </patternFill>
    </fill>
    <fill>
      <patternFill patternType="solid">
        <fgColor rgb="FFFFF4CA"/>
        <bgColor indexed="64"/>
      </patternFill>
    </fill>
    <fill>
      <patternFill patternType="solid">
        <fgColor rgb="FF92D050"/>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rgb="FF00B050"/>
        <bgColor indexed="64"/>
      </patternFill>
    </fill>
    <fill>
      <patternFill patternType="solid">
        <fgColor theme="6" tint="0.39997558519241921"/>
        <bgColor indexed="64"/>
      </patternFill>
    </fill>
    <fill>
      <patternFill patternType="solid">
        <fgColor theme="0" tint="-0.249977111117893"/>
        <bgColor indexed="64"/>
      </patternFill>
    </fill>
    <fill>
      <patternFill patternType="solid">
        <fgColor rgb="FFA5A5A5"/>
        <bgColor indexed="64"/>
      </patternFill>
    </fill>
    <fill>
      <patternFill patternType="solid">
        <fgColor rgb="FFE1E1E1"/>
        <bgColor indexed="64"/>
      </patternFill>
    </fill>
    <fill>
      <patternFill patternType="solid">
        <fgColor rgb="FFF0F0F0"/>
        <bgColor indexed="64"/>
      </patternFill>
    </fill>
  </fills>
  <borders count="39">
    <border>
      <left/>
      <right/>
      <top/>
      <bottom/>
      <diagonal/>
    </border>
    <border>
      <left/>
      <right/>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right style="thin">
        <color auto="1"/>
      </right>
      <top/>
      <bottom style="thin">
        <color auto="1"/>
      </bottom>
      <diagonal/>
    </border>
    <border>
      <left/>
      <right style="medium">
        <color auto="1"/>
      </right>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rgb="FFFFFFFF"/>
      </left>
      <right/>
      <top style="medium">
        <color rgb="FFFFFFFF"/>
      </top>
      <bottom/>
      <diagonal/>
    </border>
    <border>
      <left/>
      <right style="medium">
        <color rgb="FFFFFFFF"/>
      </right>
      <top style="medium">
        <color rgb="FFFFFFFF"/>
      </top>
      <bottom/>
      <diagonal/>
    </border>
    <border>
      <left style="medium">
        <color rgb="FFFFFFFF"/>
      </left>
      <right/>
      <top/>
      <bottom style="thick">
        <color rgb="FFFFFFFF"/>
      </bottom>
      <diagonal/>
    </border>
    <border>
      <left/>
      <right/>
      <top/>
      <bottom style="thick">
        <color rgb="FFFFFFFF"/>
      </bottom>
      <diagonal/>
    </border>
    <border>
      <left/>
      <right style="medium">
        <color rgb="FFFFFFFF"/>
      </right>
      <top/>
      <bottom style="thick">
        <color rgb="FFFFFFFF"/>
      </bottom>
      <diagonal/>
    </border>
    <border>
      <left style="medium">
        <color rgb="FFFFFFFF"/>
      </left>
      <right/>
      <top/>
      <bottom/>
      <diagonal/>
    </border>
    <border>
      <left/>
      <right style="medium">
        <color rgb="FFFFFFFF"/>
      </right>
      <top/>
      <bottom/>
      <diagonal/>
    </border>
    <border>
      <left style="medium">
        <color rgb="FFFFFFFF"/>
      </left>
      <right/>
      <top style="thick">
        <color rgb="FFFFFFFF"/>
      </top>
      <bottom style="medium">
        <color rgb="FFFFFFFF"/>
      </bottom>
      <diagonal/>
    </border>
    <border>
      <left/>
      <right style="medium">
        <color rgb="FFFFFFFF"/>
      </right>
      <top style="thick">
        <color rgb="FFFFFFFF"/>
      </top>
      <bottom style="medium">
        <color rgb="FFFFFFFF"/>
      </bottom>
      <diagonal/>
    </border>
    <border>
      <left/>
      <right style="medium">
        <color rgb="FFFFFFFF"/>
      </right>
      <top/>
      <bottom style="medium">
        <color rgb="FFFFFFFF"/>
      </bottom>
      <diagonal/>
    </border>
    <border>
      <left style="medium">
        <color rgb="FFFFFFFF"/>
      </left>
      <right style="medium">
        <color rgb="FFFFFFFF"/>
      </right>
      <top style="thick">
        <color rgb="FFFFFFFF"/>
      </top>
      <bottom/>
      <diagonal/>
    </border>
    <border>
      <left style="medium">
        <color rgb="FFFFFFFF"/>
      </left>
      <right style="medium">
        <color rgb="FFFFFFFF"/>
      </right>
      <top/>
      <bottom style="medium">
        <color rgb="FFFFFFFF"/>
      </bottom>
      <diagonal/>
    </border>
    <border>
      <left/>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369">
    <xf numFmtId="0" fontId="0" fillId="0" borderId="0" xfId="0"/>
    <xf numFmtId="9" fontId="0" fillId="0" borderId="0" xfId="2" applyFont="1"/>
    <xf numFmtId="164" fontId="0" fillId="0" borderId="0" xfId="2" applyNumberFormat="1" applyFont="1"/>
    <xf numFmtId="165" fontId="0" fillId="0" borderId="0" xfId="2" applyNumberFormat="1" applyFont="1"/>
    <xf numFmtId="164" fontId="0" fillId="0" borderId="0" xfId="0" applyNumberFormat="1"/>
    <xf numFmtId="10" fontId="0" fillId="0" borderId="0" xfId="0" applyNumberFormat="1"/>
    <xf numFmtId="0" fontId="0" fillId="2" borderId="0" xfId="0" applyFill="1"/>
    <xf numFmtId="164" fontId="0" fillId="2" borderId="0" xfId="2" applyNumberFormat="1" applyFont="1" applyFill="1"/>
    <xf numFmtId="164" fontId="0" fillId="2" borderId="0" xfId="0" applyNumberFormat="1" applyFill="1"/>
    <xf numFmtId="43" fontId="0" fillId="0" borderId="0" xfId="1" applyFont="1"/>
    <xf numFmtId="0" fontId="0" fillId="0" borderId="0" xfId="0" applyAlignment="1">
      <alignment vertical="center"/>
    </xf>
    <xf numFmtId="0" fontId="0" fillId="0" borderId="0" xfId="0" applyAlignment="1"/>
    <xf numFmtId="0" fontId="0" fillId="0" borderId="0" xfId="0" applyFill="1"/>
    <xf numFmtId="0" fontId="2" fillId="0" borderId="0" xfId="0" applyFont="1"/>
    <xf numFmtId="2" fontId="0" fillId="0" borderId="0" xfId="1" applyNumberFormat="1" applyFont="1"/>
    <xf numFmtId="2" fontId="0" fillId="0" borderId="0" xfId="0" applyNumberFormat="1"/>
    <xf numFmtId="166" fontId="0" fillId="0" borderId="0" xfId="0" applyNumberFormat="1"/>
    <xf numFmtId="0" fontId="2" fillId="0" borderId="0" xfId="0" applyFont="1" applyBorder="1"/>
    <xf numFmtId="9" fontId="0" fillId="0" borderId="0" xfId="0" applyNumberFormat="1" applyFill="1"/>
    <xf numFmtId="0" fontId="0" fillId="0" borderId="3" xfId="0" applyBorder="1"/>
    <xf numFmtId="0" fontId="0" fillId="0" borderId="4" xfId="0" applyFill="1" applyBorder="1"/>
    <xf numFmtId="0" fontId="0" fillId="0" borderId="5" xfId="0" applyBorder="1"/>
    <xf numFmtId="0" fontId="0" fillId="0" borderId="0" xfId="0" applyBorder="1"/>
    <xf numFmtId="0" fontId="0" fillId="0" borderId="6" xfId="0" applyFill="1" applyBorder="1"/>
    <xf numFmtId="0" fontId="2" fillId="0" borderId="5" xfId="0" applyFont="1" applyBorder="1"/>
    <xf numFmtId="0" fontId="0" fillId="0" borderId="0" xfId="0" applyBorder="1" applyAlignment="1"/>
    <xf numFmtId="0" fontId="0" fillId="0" borderId="6" xfId="0" applyBorder="1" applyAlignment="1"/>
    <xf numFmtId="0" fontId="0" fillId="0" borderId="0" xfId="1" applyNumberFormat="1" applyFont="1" applyBorder="1"/>
    <xf numFmtId="0" fontId="0" fillId="0" borderId="6" xfId="1" applyNumberFormat="1" applyFont="1" applyBorder="1"/>
    <xf numFmtId="164" fontId="0" fillId="0" borderId="0" xfId="2" applyNumberFormat="1" applyFont="1" applyBorder="1"/>
    <xf numFmtId="164" fontId="0" fillId="0" borderId="0" xfId="1" applyNumberFormat="1" applyFont="1" applyBorder="1"/>
    <xf numFmtId="164" fontId="0" fillId="0" borderId="6" xfId="1" applyNumberFormat="1" applyFont="1" applyBorder="1"/>
    <xf numFmtId="0" fontId="0" fillId="0" borderId="0" xfId="2" applyNumberFormat="1" applyFont="1" applyBorder="1"/>
    <xf numFmtId="0" fontId="0" fillId="0" borderId="7" xfId="0" applyBorder="1"/>
    <xf numFmtId="0" fontId="0" fillId="0" borderId="8" xfId="0" applyBorder="1"/>
    <xf numFmtId="0" fontId="0" fillId="0" borderId="8" xfId="2" applyNumberFormat="1" applyFont="1" applyBorder="1"/>
    <xf numFmtId="0" fontId="0" fillId="0" borderId="8" xfId="1" applyNumberFormat="1" applyFont="1" applyBorder="1"/>
    <xf numFmtId="0" fontId="0" fillId="0" borderId="9" xfId="1" applyNumberFormat="1" applyFont="1" applyBorder="1"/>
    <xf numFmtId="0" fontId="3" fillId="0" borderId="0" xfId="0" applyFont="1"/>
    <xf numFmtId="0" fontId="2" fillId="5" borderId="2" xfId="0" applyFont="1" applyFill="1" applyBorder="1"/>
    <xf numFmtId="0" fontId="2" fillId="0" borderId="0" xfId="0" applyFont="1" applyFill="1"/>
    <xf numFmtId="0" fontId="4" fillId="0" borderId="0" xfId="0" applyFont="1"/>
    <xf numFmtId="0" fontId="2" fillId="4" borderId="0" xfId="0" applyFont="1" applyFill="1"/>
    <xf numFmtId="0" fontId="0" fillId="0" borderId="0" xfId="0" applyFill="1" applyBorder="1"/>
    <xf numFmtId="9" fontId="0" fillId="0" borderId="0" xfId="0" applyNumberFormat="1" applyFill="1" applyBorder="1"/>
    <xf numFmtId="0" fontId="0" fillId="3" borderId="0" xfId="0" applyFill="1" applyBorder="1"/>
    <xf numFmtId="0" fontId="0" fillId="0" borderId="6" xfId="0" applyBorder="1"/>
    <xf numFmtId="9" fontId="0" fillId="4" borderId="0" xfId="2" applyFont="1" applyFill="1" applyBorder="1"/>
    <xf numFmtId="9" fontId="0" fillId="4" borderId="6" xfId="2" applyFont="1" applyFill="1" applyBorder="1"/>
    <xf numFmtId="0" fontId="0" fillId="4" borderId="0" xfId="0" applyFill="1" applyBorder="1"/>
    <xf numFmtId="0" fontId="0" fillId="4" borderId="6" xfId="0" applyFill="1" applyBorder="1"/>
    <xf numFmtId="0" fontId="0" fillId="3" borderId="8" xfId="0" applyFill="1" applyBorder="1"/>
    <xf numFmtId="0" fontId="0" fillId="4" borderId="8" xfId="0" applyFill="1" applyBorder="1"/>
    <xf numFmtId="0" fontId="0" fillId="4" borderId="9" xfId="0" applyFill="1" applyBorder="1"/>
    <xf numFmtId="0" fontId="5" fillId="0" borderId="5" xfId="0" applyFont="1" applyFill="1" applyBorder="1"/>
    <xf numFmtId="0" fontId="2" fillId="0" borderId="0" xfId="0" applyFont="1" applyFill="1" applyBorder="1"/>
    <xf numFmtId="0" fontId="2" fillId="3" borderId="5" xfId="0" applyFont="1" applyFill="1" applyBorder="1"/>
    <xf numFmtId="0" fontId="0" fillId="3" borderId="6" xfId="0" applyFill="1" applyBorder="1"/>
    <xf numFmtId="9" fontId="0" fillId="0" borderId="0" xfId="2" applyFont="1" applyBorder="1"/>
    <xf numFmtId="9" fontId="0" fillId="0" borderId="6" xfId="2" applyFont="1" applyBorder="1"/>
    <xf numFmtId="0" fontId="0" fillId="0" borderId="6" xfId="2" applyNumberFormat="1" applyFont="1" applyBorder="1"/>
    <xf numFmtId="0" fontId="0" fillId="0" borderId="9" xfId="2" applyNumberFormat="1" applyFont="1" applyBorder="1"/>
    <xf numFmtId="0" fontId="0" fillId="0" borderId="0" xfId="0" applyBorder="1" applyAlignment="1">
      <alignment vertical="center"/>
    </xf>
    <xf numFmtId="0" fontId="2" fillId="7" borderId="2" xfId="0" applyFont="1" applyFill="1" applyBorder="1"/>
    <xf numFmtId="0" fontId="0" fillId="7" borderId="3" xfId="0" applyFill="1" applyBorder="1"/>
    <xf numFmtId="9" fontId="0" fillId="7" borderId="3" xfId="0" applyNumberFormat="1" applyFill="1" applyBorder="1"/>
    <xf numFmtId="0" fontId="0" fillId="7" borderId="4" xfId="0" applyFill="1" applyBorder="1"/>
    <xf numFmtId="0" fontId="0" fillId="0" borderId="4" xfId="0" applyBorder="1"/>
    <xf numFmtId="0" fontId="2" fillId="7" borderId="5" xfId="0" applyFont="1" applyFill="1" applyBorder="1"/>
    <xf numFmtId="0" fontId="0" fillId="7" borderId="0" xfId="0" applyFill="1" applyBorder="1"/>
    <xf numFmtId="0" fontId="2" fillId="0" borderId="8" xfId="0" applyFont="1" applyBorder="1"/>
    <xf numFmtId="0" fontId="0" fillId="0" borderId="9" xfId="0" applyBorder="1"/>
    <xf numFmtId="0" fontId="2" fillId="0" borderId="8" xfId="0" applyFont="1" applyFill="1" applyBorder="1"/>
    <xf numFmtId="0" fontId="0" fillId="0" borderId="0" xfId="0" applyFont="1" applyBorder="1"/>
    <xf numFmtId="0" fontId="0" fillId="8" borderId="5" xfId="0" applyFill="1" applyBorder="1"/>
    <xf numFmtId="0" fontId="4" fillId="0" borderId="0" xfId="0" applyFont="1" applyFill="1" applyBorder="1"/>
    <xf numFmtId="0" fontId="0" fillId="0" borderId="3" xfId="0" applyFill="1" applyBorder="1"/>
    <xf numFmtId="9" fontId="0" fillId="0" borderId="6" xfId="0" applyNumberFormat="1" applyFill="1" applyBorder="1"/>
    <xf numFmtId="0" fontId="0" fillId="0" borderId="0" xfId="0" applyBorder="1" applyAlignment="1">
      <alignment vertical="center" wrapText="1"/>
    </xf>
    <xf numFmtId="0" fontId="7" fillId="0" borderId="0" xfId="0" applyFont="1" applyFill="1" applyAlignment="1">
      <alignment wrapText="1"/>
    </xf>
    <xf numFmtId="9" fontId="0" fillId="0" borderId="3" xfId="0" applyNumberFormat="1" applyFill="1" applyBorder="1"/>
    <xf numFmtId="0" fontId="0" fillId="0" borderId="5" xfId="0" applyFill="1" applyBorder="1"/>
    <xf numFmtId="164" fontId="0" fillId="0" borderId="8" xfId="2" applyNumberFormat="1" applyFont="1" applyBorder="1"/>
    <xf numFmtId="164" fontId="0" fillId="0" borderId="9" xfId="2" applyNumberFormat="1" applyFont="1" applyBorder="1"/>
    <xf numFmtId="0" fontId="0" fillId="4" borderId="0" xfId="0" applyFill="1"/>
    <xf numFmtId="0" fontId="9" fillId="0" borderId="0" xfId="0" applyFont="1"/>
    <xf numFmtId="9" fontId="0" fillId="0" borderId="0" xfId="2" applyFont="1" applyFill="1" applyBorder="1"/>
    <xf numFmtId="9" fontId="0" fillId="0" borderId="6" xfId="2" applyFont="1" applyFill="1" applyBorder="1"/>
    <xf numFmtId="166" fontId="0" fillId="0" borderId="0" xfId="0" applyNumberFormat="1" applyFill="1" applyBorder="1"/>
    <xf numFmtId="2" fontId="0" fillId="0" borderId="0" xfId="0" applyNumberFormat="1" applyFill="1" applyBorder="1"/>
    <xf numFmtId="9" fontId="0" fillId="0" borderId="5" xfId="2" applyFont="1" applyBorder="1"/>
    <xf numFmtId="167" fontId="0" fillId="0" borderId="0" xfId="0" applyNumberFormat="1" applyBorder="1"/>
    <xf numFmtId="9" fontId="0" fillId="0" borderId="7" xfId="2" applyFont="1" applyBorder="1"/>
    <xf numFmtId="0" fontId="2" fillId="0" borderId="0" xfId="0" applyFont="1" applyBorder="1" applyAlignment="1"/>
    <xf numFmtId="0" fontId="2" fillId="0" borderId="6" xfId="0" applyFont="1" applyBorder="1" applyAlignment="1"/>
    <xf numFmtId="9" fontId="0" fillId="0" borderId="4" xfId="0" applyNumberFormat="1" applyFill="1" applyBorder="1"/>
    <xf numFmtId="0" fontId="2" fillId="0" borderId="12" xfId="0" applyFont="1" applyFill="1" applyBorder="1"/>
    <xf numFmtId="0" fontId="2" fillId="0" borderId="5" xfId="0" applyFont="1" applyFill="1" applyBorder="1"/>
    <xf numFmtId="0" fontId="0" fillId="0" borderId="7" xfId="0" applyFill="1" applyBorder="1"/>
    <xf numFmtId="0" fontId="0" fillId="0" borderId="8" xfId="0" applyFill="1" applyBorder="1"/>
    <xf numFmtId="9" fontId="0" fillId="0" borderId="8" xfId="0" applyNumberFormat="1" applyFill="1" applyBorder="1"/>
    <xf numFmtId="0" fontId="0" fillId="0" borderId="9" xfId="0" applyFill="1" applyBorder="1"/>
    <xf numFmtId="0" fontId="0" fillId="0" borderId="0" xfId="0" applyBorder="1" applyAlignment="1">
      <alignment horizontal="center" vertical="center"/>
    </xf>
    <xf numFmtId="0" fontId="0" fillId="3" borderId="0" xfId="0" applyFill="1"/>
    <xf numFmtId="9" fontId="0" fillId="3" borderId="0" xfId="0" applyNumberFormat="1" applyFill="1"/>
    <xf numFmtId="0" fontId="10" fillId="3" borderId="0" xfId="0" applyFont="1" applyFill="1"/>
    <xf numFmtId="0" fontId="0" fillId="0" borderId="17" xfId="0" applyBorder="1"/>
    <xf numFmtId="0" fontId="0" fillId="0" borderId="18" xfId="0" applyBorder="1"/>
    <xf numFmtId="0" fontId="0" fillId="0" borderId="19" xfId="0" applyBorder="1"/>
    <xf numFmtId="0" fontId="0" fillId="0" borderId="20" xfId="0" applyBorder="1"/>
    <xf numFmtId="9" fontId="0" fillId="0" borderId="20" xfId="2" applyFont="1" applyFill="1" applyBorder="1"/>
    <xf numFmtId="166" fontId="0" fillId="0" borderId="20" xfId="0" applyNumberFormat="1" applyFill="1" applyBorder="1"/>
    <xf numFmtId="2" fontId="0" fillId="0" borderId="20" xfId="0" applyNumberFormat="1" applyFill="1" applyBorder="1"/>
    <xf numFmtId="9" fontId="0" fillId="0" borderId="1" xfId="2" applyFont="1" applyFill="1" applyBorder="1"/>
    <xf numFmtId="2" fontId="0" fillId="0" borderId="1" xfId="0" applyNumberFormat="1" applyFill="1" applyBorder="1"/>
    <xf numFmtId="2" fontId="0" fillId="0" borderId="21" xfId="0" applyNumberFormat="1" applyFill="1" applyBorder="1"/>
    <xf numFmtId="0" fontId="2" fillId="10" borderId="16" xfId="0" applyFont="1" applyFill="1" applyBorder="1"/>
    <xf numFmtId="0" fontId="2" fillId="10" borderId="2" xfId="0" applyFont="1" applyFill="1" applyBorder="1"/>
    <xf numFmtId="0" fontId="2" fillId="4" borderId="2" xfId="0" applyFont="1" applyFill="1" applyBorder="1" applyAlignment="1"/>
    <xf numFmtId="0" fontId="2" fillId="12" borderId="2" xfId="0" applyFont="1" applyFill="1" applyBorder="1"/>
    <xf numFmtId="0" fontId="5" fillId="0" borderId="0" xfId="0" applyFont="1" applyFill="1" applyBorder="1" applyAlignment="1">
      <alignment vertical="center"/>
    </xf>
    <xf numFmtId="0" fontId="9" fillId="0" borderId="0" xfId="0" applyFont="1" applyBorder="1"/>
    <xf numFmtId="0" fontId="2" fillId="11" borderId="2" xfId="0" applyFont="1" applyFill="1" applyBorder="1"/>
    <xf numFmtId="9" fontId="0" fillId="13" borderId="6" xfId="2" applyNumberFormat="1" applyFont="1" applyFill="1" applyBorder="1"/>
    <xf numFmtId="9" fontId="0" fillId="13" borderId="9" xfId="0" applyNumberFormat="1" applyFill="1" applyBorder="1"/>
    <xf numFmtId="0" fontId="2" fillId="3" borderId="13" xfId="0" applyFont="1" applyFill="1" applyBorder="1"/>
    <xf numFmtId="0" fontId="0" fillId="3" borderId="14" xfId="0" applyFont="1" applyFill="1" applyBorder="1"/>
    <xf numFmtId="0" fontId="0" fillId="3" borderId="15" xfId="0" applyFont="1" applyFill="1" applyBorder="1"/>
    <xf numFmtId="0" fontId="2" fillId="3" borderId="21" xfId="0" applyFont="1" applyFill="1" applyBorder="1" applyAlignment="1">
      <alignment horizontal="center"/>
    </xf>
    <xf numFmtId="0" fontId="2" fillId="3" borderId="22" xfId="0" applyFont="1" applyFill="1" applyBorder="1" applyAlignment="1">
      <alignment horizontal="center"/>
    </xf>
    <xf numFmtId="0" fontId="0" fillId="0" borderId="10" xfId="0" applyFont="1" applyFill="1" applyBorder="1"/>
    <xf numFmtId="0" fontId="0" fillId="0" borderId="11" xfId="0" applyFont="1" applyFill="1" applyBorder="1"/>
    <xf numFmtId="0" fontId="2" fillId="3" borderId="5" xfId="0" applyFont="1" applyFill="1" applyBorder="1" applyAlignment="1"/>
    <xf numFmtId="0" fontId="2" fillId="3" borderId="0" xfId="0" applyFont="1" applyFill="1" applyBorder="1"/>
    <xf numFmtId="9" fontId="2" fillId="3" borderId="6" xfId="2" applyFont="1" applyFill="1" applyBorder="1"/>
    <xf numFmtId="9" fontId="0" fillId="3" borderId="6" xfId="0" applyNumberFormat="1" applyFill="1" applyBorder="1"/>
    <xf numFmtId="0" fontId="2" fillId="3" borderId="2" xfId="0" applyFont="1" applyFill="1" applyBorder="1"/>
    <xf numFmtId="0" fontId="0" fillId="3" borderId="3" xfId="0" applyFill="1" applyBorder="1"/>
    <xf numFmtId="0" fontId="2" fillId="12" borderId="0" xfId="0" applyFont="1" applyFill="1" applyBorder="1"/>
    <xf numFmtId="0" fontId="2" fillId="12" borderId="8" xfId="0" applyFont="1" applyFill="1" applyBorder="1"/>
    <xf numFmtId="0" fontId="2" fillId="12" borderId="5" xfId="0" applyFont="1" applyFill="1" applyBorder="1"/>
    <xf numFmtId="0" fontId="2" fillId="12" borderId="7" xfId="0" applyFont="1" applyFill="1" applyBorder="1"/>
    <xf numFmtId="0" fontId="2" fillId="11" borderId="5" xfId="0" applyFont="1" applyFill="1" applyBorder="1" applyAlignment="1"/>
    <xf numFmtId="0" fontId="0" fillId="11" borderId="0" xfId="0" applyFill="1" applyBorder="1"/>
    <xf numFmtId="0" fontId="4" fillId="11" borderId="0" xfId="0" applyFont="1" applyFill="1" applyBorder="1"/>
    <xf numFmtId="0" fontId="0" fillId="0" borderId="5" xfId="0" applyFont="1" applyBorder="1"/>
    <xf numFmtId="9" fontId="0" fillId="0" borderId="6" xfId="0" applyNumberFormat="1" applyFont="1" applyFill="1" applyBorder="1"/>
    <xf numFmtId="0" fontId="0" fillId="11" borderId="3" xfId="0" applyFill="1" applyBorder="1"/>
    <xf numFmtId="0" fontId="2" fillId="11" borderId="2" xfId="0" applyFont="1" applyFill="1" applyBorder="1" applyAlignment="1">
      <alignment vertical="center"/>
    </xf>
    <xf numFmtId="0" fontId="0" fillId="0" borderId="0" xfId="0" applyNumberFormat="1" applyBorder="1"/>
    <xf numFmtId="0" fontId="0" fillId="0" borderId="6" xfId="0" applyNumberFormat="1" applyBorder="1"/>
    <xf numFmtId="0" fontId="0" fillId="0" borderId="5" xfId="0" applyBorder="1" applyAlignment="1">
      <alignment vertical="center"/>
    </xf>
    <xf numFmtId="2" fontId="0" fillId="0" borderId="5" xfId="1" applyNumberFormat="1" applyFont="1" applyBorder="1" applyAlignment="1">
      <alignment vertical="center"/>
    </xf>
    <xf numFmtId="2" fontId="0" fillId="0" borderId="0" xfId="1" applyNumberFormat="1" applyFont="1" applyBorder="1"/>
    <xf numFmtId="2" fontId="0" fillId="0" borderId="0" xfId="1" applyNumberFormat="1" applyFont="1" applyFill="1" applyBorder="1"/>
    <xf numFmtId="2" fontId="0" fillId="0" borderId="6" xfId="1" applyNumberFormat="1" applyFont="1" applyBorder="1"/>
    <xf numFmtId="2" fontId="0" fillId="0" borderId="8" xfId="1" applyNumberFormat="1" applyFont="1" applyBorder="1"/>
    <xf numFmtId="43" fontId="0" fillId="0" borderId="3" xfId="1" applyFont="1" applyBorder="1"/>
    <xf numFmtId="0" fontId="4" fillId="0" borderId="5" xfId="0" applyFont="1" applyBorder="1" applyAlignment="1">
      <alignment vertical="center"/>
    </xf>
    <xf numFmtId="43" fontId="0" fillId="0" borderId="0" xfId="1" applyFont="1" applyBorder="1"/>
    <xf numFmtId="1" fontId="0" fillId="0" borderId="0" xfId="1" applyNumberFormat="1" applyFont="1" applyBorder="1"/>
    <xf numFmtId="10" fontId="0" fillId="0" borderId="0" xfId="1" applyNumberFormat="1" applyFont="1" applyBorder="1"/>
    <xf numFmtId="10" fontId="0" fillId="0" borderId="6" xfId="1" applyNumberFormat="1" applyFont="1" applyBorder="1"/>
    <xf numFmtId="1" fontId="0" fillId="0" borderId="6" xfId="1" applyNumberFormat="1" applyFont="1" applyBorder="1"/>
    <xf numFmtId="0" fontId="2" fillId="12" borderId="2" xfId="0" applyFont="1" applyFill="1" applyBorder="1" applyAlignment="1">
      <alignment wrapText="1"/>
    </xf>
    <xf numFmtId="164" fontId="0" fillId="0" borderId="0" xfId="2" applyNumberFormat="1" applyFont="1" applyFill="1" applyBorder="1"/>
    <xf numFmtId="164" fontId="0" fillId="0" borderId="6" xfId="2" applyNumberFormat="1" applyFont="1" applyFill="1" applyBorder="1"/>
    <xf numFmtId="0" fontId="0" fillId="7" borderId="3" xfId="0" applyFill="1" applyBorder="1" applyAlignment="1"/>
    <xf numFmtId="0" fontId="0" fillId="7" borderId="4" xfId="0" applyFill="1" applyBorder="1" applyAlignment="1"/>
    <xf numFmtId="9" fontId="12" fillId="0" borderId="0" xfId="2" applyFont="1" applyFill="1" applyBorder="1"/>
    <xf numFmtId="0" fontId="12" fillId="0" borderId="0" xfId="0" applyFont="1" applyFill="1" applyBorder="1"/>
    <xf numFmtId="0" fontId="12" fillId="0" borderId="0" xfId="2" applyNumberFormat="1" applyFont="1" applyFill="1" applyBorder="1"/>
    <xf numFmtId="0" fontId="0" fillId="0" borderId="0" xfId="0" applyFont="1" applyFill="1" applyBorder="1"/>
    <xf numFmtId="0" fontId="2" fillId="7" borderId="2" xfId="0" applyFont="1" applyFill="1" applyBorder="1" applyAlignment="1"/>
    <xf numFmtId="0" fontId="2" fillId="7" borderId="3" xfId="0" applyFont="1" applyFill="1" applyBorder="1" applyAlignment="1"/>
    <xf numFmtId="0" fontId="2" fillId="7" borderId="4" xfId="0" applyFont="1" applyFill="1" applyBorder="1" applyAlignment="1"/>
    <xf numFmtId="0" fontId="0" fillId="0" borderId="7" xfId="0" applyFont="1" applyBorder="1"/>
    <xf numFmtId="0" fontId="0" fillId="0" borderId="3" xfId="0" applyFont="1" applyFill="1" applyBorder="1"/>
    <xf numFmtId="0" fontId="0" fillId="0" borderId="4" xfId="0" applyFont="1" applyBorder="1"/>
    <xf numFmtId="0" fontId="0" fillId="0" borderId="6" xfId="0" applyFont="1" applyBorder="1"/>
    <xf numFmtId="0" fontId="0" fillId="0" borderId="5" xfId="0" applyFont="1" applyFill="1" applyBorder="1"/>
    <xf numFmtId="0" fontId="0" fillId="0" borderId="6" xfId="0" applyFont="1" applyFill="1" applyBorder="1"/>
    <xf numFmtId="0" fontId="0" fillId="0" borderId="8" xfId="0" applyFont="1" applyFill="1" applyBorder="1"/>
    <xf numFmtId="0" fontId="0" fillId="0" borderId="0" xfId="0" applyNumberFormat="1" applyFont="1" applyFill="1" applyBorder="1"/>
    <xf numFmtId="10" fontId="0" fillId="0" borderId="0" xfId="0" applyNumberFormat="1" applyFont="1" applyFill="1" applyBorder="1"/>
    <xf numFmtId="168" fontId="0" fillId="0" borderId="0" xfId="0" applyNumberFormat="1" applyFont="1" applyFill="1" applyBorder="1"/>
    <xf numFmtId="164" fontId="0" fillId="0" borderId="0" xfId="0" applyNumberFormat="1" applyFont="1" applyFill="1" applyBorder="1"/>
    <xf numFmtId="2" fontId="0" fillId="0" borderId="5" xfId="1" applyNumberFormat="1" applyFont="1" applyBorder="1"/>
    <xf numFmtId="10" fontId="0" fillId="0" borderId="6" xfId="0" applyNumberFormat="1" applyFont="1" applyFill="1" applyBorder="1"/>
    <xf numFmtId="10" fontId="0" fillId="0" borderId="6" xfId="0" applyNumberFormat="1" applyFont="1" applyBorder="1"/>
    <xf numFmtId="0" fontId="0" fillId="0" borderId="6" xfId="1" applyNumberFormat="1" applyFont="1" applyFill="1" applyBorder="1"/>
    <xf numFmtId="2" fontId="0" fillId="0" borderId="0" xfId="0" applyNumberFormat="1" applyBorder="1"/>
    <xf numFmtId="0" fontId="0" fillId="0" borderId="3" xfId="1" applyNumberFormat="1" applyFont="1" applyBorder="1"/>
    <xf numFmtId="0" fontId="0" fillId="0" borderId="5" xfId="1" applyNumberFormat="1" applyFont="1" applyBorder="1"/>
    <xf numFmtId="2" fontId="0" fillId="0" borderId="5" xfId="0" applyNumberFormat="1" applyBorder="1"/>
    <xf numFmtId="2" fontId="0" fillId="0" borderId="8" xfId="0" applyNumberFormat="1" applyBorder="1"/>
    <xf numFmtId="2" fontId="16" fillId="0" borderId="0" xfId="0" applyNumberFormat="1" applyFont="1"/>
    <xf numFmtId="2" fontId="0" fillId="0" borderId="3" xfId="1" applyNumberFormat="1" applyFont="1" applyBorder="1"/>
    <xf numFmtId="0" fontId="2" fillId="0" borderId="0" xfId="0" applyFont="1" applyFill="1" applyBorder="1" applyAlignment="1"/>
    <xf numFmtId="0" fontId="14" fillId="0" borderId="0" xfId="0" applyFont="1" applyFill="1" applyBorder="1" applyAlignment="1">
      <alignment vertical="top"/>
    </xf>
    <xf numFmtId="0" fontId="0" fillId="0" borderId="0" xfId="0" applyFill="1" applyBorder="1" applyAlignment="1"/>
    <xf numFmtId="0" fontId="0" fillId="3" borderId="0" xfId="2" applyNumberFormat="1" applyFont="1" applyFill="1" applyBorder="1"/>
    <xf numFmtId="9" fontId="12" fillId="0" borderId="0" xfId="2" applyNumberFormat="1" applyFont="1" applyFill="1" applyBorder="1"/>
    <xf numFmtId="9" fontId="0" fillId="0" borderId="6" xfId="2" applyNumberFormat="1" applyFont="1" applyBorder="1"/>
    <xf numFmtId="0" fontId="0" fillId="0" borderId="3" xfId="0" applyFont="1" applyBorder="1"/>
    <xf numFmtId="0" fontId="0" fillId="0" borderId="4" xfId="0" applyFont="1" applyFill="1" applyBorder="1"/>
    <xf numFmtId="0" fontId="0" fillId="0" borderId="0" xfId="0" applyFont="1" applyBorder="1" applyAlignment="1"/>
    <xf numFmtId="0" fontId="0" fillId="0" borderId="6" xfId="0" applyFont="1" applyBorder="1" applyAlignment="1"/>
    <xf numFmtId="0" fontId="0" fillId="0" borderId="8" xfId="0" applyFont="1" applyBorder="1"/>
    <xf numFmtId="0" fontId="0" fillId="0" borderId="6" xfId="0" applyNumberFormat="1" applyFont="1" applyBorder="1"/>
    <xf numFmtId="0" fontId="0" fillId="0" borderId="0" xfId="0" applyNumberFormat="1" applyFill="1" applyBorder="1"/>
    <xf numFmtId="9" fontId="0" fillId="0" borderId="0" xfId="2" applyNumberFormat="1" applyFont="1" applyFill="1" applyBorder="1"/>
    <xf numFmtId="9" fontId="0" fillId="0" borderId="0" xfId="2" applyNumberFormat="1" applyFont="1" applyBorder="1"/>
    <xf numFmtId="169" fontId="0" fillId="0" borderId="0" xfId="1" applyNumberFormat="1" applyFont="1" applyBorder="1"/>
    <xf numFmtId="169" fontId="0" fillId="0" borderId="0" xfId="0" applyNumberFormat="1" applyFill="1" applyBorder="1"/>
    <xf numFmtId="166" fontId="0" fillId="0" borderId="0" xfId="1" applyNumberFormat="1" applyFont="1" applyBorder="1"/>
    <xf numFmtId="169" fontId="0" fillId="0" borderId="0" xfId="0" applyNumberFormat="1" applyBorder="1"/>
    <xf numFmtId="166" fontId="0" fillId="0" borderId="0" xfId="0" applyNumberFormat="1" applyBorder="1"/>
    <xf numFmtId="169" fontId="0" fillId="0" borderId="8" xfId="1" applyNumberFormat="1" applyFont="1" applyBorder="1"/>
    <xf numFmtId="169" fontId="0" fillId="0" borderId="0" xfId="1" applyNumberFormat="1" applyFont="1" applyFill="1" applyBorder="1"/>
    <xf numFmtId="169" fontId="0" fillId="0" borderId="0" xfId="2" applyNumberFormat="1" applyFont="1" applyBorder="1"/>
    <xf numFmtId="0" fontId="2" fillId="11" borderId="2" xfId="1" applyNumberFormat="1" applyFont="1" applyFill="1" applyBorder="1"/>
    <xf numFmtId="2" fontId="2" fillId="11" borderId="2" xfId="1" applyNumberFormat="1" applyFont="1" applyFill="1" applyBorder="1"/>
    <xf numFmtId="0" fontId="0" fillId="0" borderId="6" xfId="0" applyNumberFormat="1" applyFont="1" applyFill="1" applyBorder="1"/>
    <xf numFmtId="0" fontId="0" fillId="0" borderId="8" xfId="0" applyNumberFormat="1" applyFont="1" applyFill="1" applyBorder="1"/>
    <xf numFmtId="168" fontId="0" fillId="0" borderId="6" xfId="0" applyNumberFormat="1" applyBorder="1"/>
    <xf numFmtId="0" fontId="12" fillId="0" borderId="8" xfId="2" applyNumberFormat="1" applyFont="1" applyFill="1" applyBorder="1"/>
    <xf numFmtId="0" fontId="17" fillId="5" borderId="0" xfId="0" applyFont="1" applyFill="1" applyAlignment="1"/>
    <xf numFmtId="0" fontId="0" fillId="5" borderId="0" xfId="0" applyFill="1" applyAlignment="1"/>
    <xf numFmtId="0" fontId="17" fillId="4" borderId="0" xfId="0" applyFont="1" applyFill="1"/>
    <xf numFmtId="0" fontId="18" fillId="5" borderId="0" xfId="0" applyFont="1" applyFill="1" applyAlignment="1"/>
    <xf numFmtId="0" fontId="18" fillId="5" borderId="0" xfId="0" applyFont="1" applyFill="1" applyAlignment="1">
      <alignment horizontal="left"/>
    </xf>
    <xf numFmtId="0" fontId="19" fillId="0" borderId="0" xfId="0" applyFont="1"/>
    <xf numFmtId="0" fontId="20" fillId="15" borderId="0" xfId="0" applyFont="1" applyFill="1"/>
    <xf numFmtId="0" fontId="20" fillId="2" borderId="0" xfId="0" applyFont="1" applyFill="1"/>
    <xf numFmtId="0" fontId="20" fillId="0" borderId="0" xfId="0" applyFont="1" applyFill="1"/>
    <xf numFmtId="0" fontId="2" fillId="16" borderId="0" xfId="0" applyFont="1" applyFill="1" applyAlignment="1">
      <alignment horizontal="center"/>
    </xf>
    <xf numFmtId="0" fontId="4" fillId="4" borderId="0" xfId="0" applyFont="1" applyFill="1"/>
    <xf numFmtId="0" fontId="21" fillId="4" borderId="0" xfId="0" applyFont="1" applyFill="1"/>
    <xf numFmtId="0" fontId="4" fillId="4" borderId="6" xfId="0" applyFont="1" applyFill="1" applyBorder="1"/>
    <xf numFmtId="0" fontId="21" fillId="4" borderId="0" xfId="0" applyFont="1" applyFill="1" applyBorder="1"/>
    <xf numFmtId="0" fontId="4" fillId="4" borderId="8" xfId="0" applyFont="1" applyFill="1" applyBorder="1"/>
    <xf numFmtId="0" fontId="4" fillId="4" borderId="9" xfId="0" applyFont="1" applyFill="1" applyBorder="1"/>
    <xf numFmtId="0" fontId="4" fillId="4" borderId="0" xfId="0" applyFont="1" applyFill="1" applyBorder="1"/>
    <xf numFmtId="9" fontId="1" fillId="0" borderId="0" xfId="2" applyFont="1" applyFill="1" applyBorder="1"/>
    <xf numFmtId="0" fontId="1" fillId="0" borderId="0" xfId="2" applyNumberFormat="1" applyFont="1" applyFill="1" applyBorder="1"/>
    <xf numFmtId="2" fontId="0" fillId="0" borderId="0" xfId="2" applyNumberFormat="1" applyFont="1" applyBorder="1"/>
    <xf numFmtId="2" fontId="0" fillId="0" borderId="0" xfId="2" applyNumberFormat="1" applyFont="1" applyFill="1" applyBorder="1"/>
    <xf numFmtId="2" fontId="0" fillId="0" borderId="6" xfId="2" applyNumberFormat="1" applyFont="1" applyBorder="1"/>
    <xf numFmtId="2" fontId="0" fillId="0" borderId="0" xfId="0" applyNumberFormat="1" applyFont="1" applyFill="1" applyBorder="1"/>
    <xf numFmtId="2" fontId="0" fillId="0" borderId="6" xfId="0" applyNumberFormat="1" applyFont="1" applyFill="1" applyBorder="1"/>
    <xf numFmtId="2" fontId="0" fillId="0" borderId="6" xfId="0" applyNumberFormat="1" applyFont="1" applyBorder="1"/>
    <xf numFmtId="0" fontId="22" fillId="0" borderId="0" xfId="0" applyFont="1" applyFill="1"/>
    <xf numFmtId="0" fontId="2" fillId="18" borderId="0" xfId="0" applyFont="1" applyFill="1"/>
    <xf numFmtId="0" fontId="2" fillId="8" borderId="0" xfId="0" applyFont="1" applyFill="1"/>
    <xf numFmtId="0" fontId="2" fillId="18" borderId="19" xfId="0" applyFont="1" applyFill="1" applyBorder="1"/>
    <xf numFmtId="0" fontId="2" fillId="0" borderId="0" xfId="0" applyFont="1" applyFill="1" applyAlignment="1">
      <alignment horizontal="center"/>
    </xf>
    <xf numFmtId="2" fontId="2" fillId="0" borderId="0" xfId="2" applyNumberFormat="1" applyFont="1" applyFill="1" applyAlignment="1">
      <alignment horizontal="center"/>
    </xf>
    <xf numFmtId="170" fontId="2" fillId="0" borderId="0" xfId="2" applyNumberFormat="1" applyFont="1" applyFill="1" applyAlignment="1">
      <alignment horizontal="center"/>
    </xf>
    <xf numFmtId="0" fontId="2" fillId="19" borderId="0" xfId="0" applyFont="1" applyFill="1" applyBorder="1"/>
    <xf numFmtId="0" fontId="2" fillId="19" borderId="0" xfId="0" applyFont="1" applyFill="1"/>
    <xf numFmtId="9" fontId="0" fillId="0" borderId="0" xfId="0" applyNumberFormat="1"/>
    <xf numFmtId="0" fontId="2" fillId="20" borderId="0" xfId="0" applyFont="1" applyFill="1"/>
    <xf numFmtId="166" fontId="2" fillId="12" borderId="8" xfId="0" applyNumberFormat="1" applyFont="1" applyFill="1" applyBorder="1"/>
    <xf numFmtId="0" fontId="7" fillId="18" borderId="0" xfId="0" applyFont="1" applyFill="1"/>
    <xf numFmtId="0" fontId="0" fillId="8" borderId="0" xfId="0" applyFill="1"/>
    <xf numFmtId="9" fontId="4" fillId="4" borderId="0" xfId="2" applyFont="1" applyFill="1" applyBorder="1"/>
    <xf numFmtId="9" fontId="4" fillId="4" borderId="0" xfId="0" applyNumberFormat="1" applyFont="1" applyFill="1" applyBorder="1"/>
    <xf numFmtId="9" fontId="4" fillId="4" borderId="8" xfId="0" applyNumberFormat="1" applyFont="1" applyFill="1" applyBorder="1"/>
    <xf numFmtId="9" fontId="21" fillId="4" borderId="0" xfId="2" applyFont="1" applyFill="1"/>
    <xf numFmtId="164" fontId="21" fillId="4" borderId="0" xfId="2" applyNumberFormat="1" applyFont="1" applyFill="1"/>
    <xf numFmtId="0" fontId="18" fillId="20" borderId="0" xfId="0" applyFont="1" applyFill="1"/>
    <xf numFmtId="0" fontId="7" fillId="6" borderId="0" xfId="0" applyFont="1" applyFill="1" applyAlignment="1">
      <alignment horizontal="left" vertical="center" wrapText="1"/>
    </xf>
    <xf numFmtId="0" fontId="0" fillId="0" borderId="1" xfId="0" applyBorder="1"/>
    <xf numFmtId="0" fontId="25" fillId="23" borderId="35" xfId="0" applyFont="1" applyFill="1" applyBorder="1" applyAlignment="1">
      <alignment vertical="center" wrapText="1"/>
    </xf>
    <xf numFmtId="0" fontId="26" fillId="22" borderId="35" xfId="0" applyFont="1" applyFill="1" applyBorder="1" applyAlignment="1">
      <alignment vertical="center" wrapText="1"/>
    </xf>
    <xf numFmtId="2" fontId="27" fillId="22" borderId="35" xfId="0" applyNumberFormat="1" applyFont="1" applyFill="1" applyBorder="1" applyAlignment="1">
      <alignment vertical="center" wrapText="1"/>
    </xf>
    <xf numFmtId="0" fontId="26" fillId="23" borderId="35" xfId="0" applyFont="1" applyFill="1" applyBorder="1" applyAlignment="1">
      <alignment vertical="center" wrapText="1"/>
    </xf>
    <xf numFmtId="2" fontId="27" fillId="23" borderId="35" xfId="0" applyNumberFormat="1" applyFont="1" applyFill="1" applyBorder="1" applyAlignment="1">
      <alignment vertical="center" wrapText="1"/>
    </xf>
    <xf numFmtId="2" fontId="28" fillId="23" borderId="35" xfId="0" applyNumberFormat="1" applyFont="1" applyFill="1" applyBorder="1" applyAlignment="1">
      <alignment vertical="center" wrapText="1"/>
    </xf>
    <xf numFmtId="0" fontId="7" fillId="6" borderId="0" xfId="0" applyFont="1" applyFill="1" applyAlignment="1">
      <alignment horizontal="left" vertical="center" wrapText="1"/>
    </xf>
    <xf numFmtId="0" fontId="2" fillId="9" borderId="0" xfId="0" applyFont="1" applyFill="1"/>
    <xf numFmtId="0" fontId="8" fillId="18" borderId="0" xfId="0" applyFont="1" applyFill="1"/>
    <xf numFmtId="0" fontId="0" fillId="0" borderId="0" xfId="0" applyFont="1"/>
    <xf numFmtId="0" fontId="5" fillId="0" borderId="0" xfId="0" applyFont="1"/>
    <xf numFmtId="0" fontId="29" fillId="0" borderId="0" xfId="0" applyFont="1"/>
    <xf numFmtId="0" fontId="0" fillId="4" borderId="0" xfId="0" applyFill="1" applyAlignment="1">
      <alignment vertical="center" wrapText="1"/>
    </xf>
    <xf numFmtId="0" fontId="0" fillId="11" borderId="0" xfId="0" applyFill="1" applyAlignment="1">
      <alignment wrapText="1"/>
    </xf>
    <xf numFmtId="0" fontId="0" fillId="0" borderId="0" xfId="0" applyAlignment="1">
      <alignment vertical="center" wrapText="1"/>
    </xf>
    <xf numFmtId="0" fontId="0" fillId="12" borderId="0" xfId="0" applyFill="1" applyAlignment="1">
      <alignment wrapText="1"/>
    </xf>
    <xf numFmtId="0" fontId="0" fillId="6" borderId="0" xfId="0" applyFill="1" applyAlignment="1">
      <alignment wrapText="1"/>
    </xf>
    <xf numFmtId="0" fontId="0" fillId="0" borderId="0" xfId="0" applyAlignment="1">
      <alignment wrapText="1"/>
    </xf>
    <xf numFmtId="0" fontId="2" fillId="0" borderId="38" xfId="0" applyFont="1" applyBorder="1" applyAlignment="1">
      <alignment horizontal="left" vertical="top"/>
    </xf>
    <xf numFmtId="0" fontId="18" fillId="0" borderId="0" xfId="0" applyFont="1" applyAlignment="1">
      <alignment horizontal="left" vertical="center"/>
    </xf>
    <xf numFmtId="0" fontId="18" fillId="0" borderId="0" xfId="0" applyFont="1"/>
    <xf numFmtId="0" fontId="2" fillId="0" borderId="0" xfId="0" applyFont="1" applyAlignment="1">
      <alignment vertical="top" wrapText="1"/>
    </xf>
    <xf numFmtId="0" fontId="2" fillId="0" borderId="38" xfId="0" applyFont="1" applyBorder="1" applyAlignment="1">
      <alignment vertical="top" wrapText="1"/>
    </xf>
    <xf numFmtId="0" fontId="0" fillId="0" borderId="38" xfId="0" applyBorder="1" applyAlignment="1">
      <alignment horizontal="left" vertical="top" wrapText="1"/>
    </xf>
    <xf numFmtId="0" fontId="0" fillId="0" borderId="0" xfId="0" applyAlignment="1">
      <alignment horizontal="left" vertical="top" wrapText="1"/>
    </xf>
    <xf numFmtId="0" fontId="2" fillId="16" borderId="0" xfId="0" applyFont="1" applyFill="1" applyAlignment="1">
      <alignment horizontal="center"/>
    </xf>
    <xf numFmtId="0" fontId="2" fillId="17" borderId="0" xfId="0" applyFont="1" applyFill="1" applyAlignment="1">
      <alignment horizontal="center"/>
    </xf>
    <xf numFmtId="0" fontId="26" fillId="22" borderId="33" xfId="0" applyFont="1" applyFill="1" applyBorder="1" applyAlignment="1">
      <alignment vertical="center" wrapText="1"/>
    </xf>
    <xf numFmtId="0" fontId="26" fillId="22" borderId="34" xfId="0" applyFont="1" applyFill="1" applyBorder="1" applyAlignment="1">
      <alignment vertical="center" wrapText="1"/>
    </xf>
    <xf numFmtId="0" fontId="25" fillId="21" borderId="36" xfId="0" applyFont="1" applyFill="1" applyBorder="1" applyAlignment="1">
      <alignment vertical="center" wrapText="1"/>
    </xf>
    <xf numFmtId="0" fontId="25" fillId="21" borderId="37" xfId="0" applyFont="1" applyFill="1" applyBorder="1" applyAlignment="1">
      <alignment vertical="center" wrapText="1"/>
    </xf>
    <xf numFmtId="0" fontId="7" fillId="6" borderId="0" xfId="0" applyFont="1" applyFill="1" applyAlignment="1">
      <alignment horizontal="left" wrapText="1"/>
    </xf>
    <xf numFmtId="0" fontId="0" fillId="0" borderId="19" xfId="0" applyBorder="1" applyAlignment="1">
      <alignment horizontal="center" vertical="center"/>
    </xf>
    <xf numFmtId="0" fontId="0" fillId="0" borderId="0" xfId="0" applyBorder="1" applyAlignment="1">
      <alignment horizontal="center"/>
    </xf>
    <xf numFmtId="0" fontId="0" fillId="0" borderId="20" xfId="0" applyBorder="1" applyAlignment="1">
      <alignment horizontal="center"/>
    </xf>
    <xf numFmtId="0" fontId="7" fillId="6" borderId="0" xfId="0" applyFont="1" applyFill="1" applyAlignment="1">
      <alignment horizontal="left" vertical="center" wrapText="1"/>
    </xf>
    <xf numFmtId="0" fontId="24" fillId="21" borderId="26" xfId="0" applyFont="1" applyFill="1" applyBorder="1" applyAlignment="1">
      <alignment vertical="center" wrapText="1"/>
    </xf>
    <xf numFmtId="0" fontId="24" fillId="21" borderId="27" xfId="0" applyFont="1" applyFill="1" applyBorder="1" applyAlignment="1">
      <alignment vertical="center" wrapText="1"/>
    </xf>
    <xf numFmtId="0" fontId="24" fillId="21" borderId="31" xfId="0" applyFont="1" applyFill="1" applyBorder="1" applyAlignment="1">
      <alignment vertical="center" wrapText="1"/>
    </xf>
    <xf numFmtId="0" fontId="24" fillId="21" borderId="32" xfId="0" applyFont="1" applyFill="1" applyBorder="1" applyAlignment="1">
      <alignment vertical="center" wrapText="1"/>
    </xf>
    <xf numFmtId="0" fontId="24" fillId="21" borderId="28" xfId="0" applyFont="1" applyFill="1" applyBorder="1" applyAlignment="1">
      <alignment vertical="center" wrapText="1"/>
    </xf>
    <xf numFmtId="0" fontId="24" fillId="21" borderId="30" xfId="0" applyFont="1" applyFill="1" applyBorder="1" applyAlignment="1">
      <alignment vertical="center" wrapText="1"/>
    </xf>
    <xf numFmtId="0" fontId="25" fillId="21" borderId="28" xfId="0" applyFont="1" applyFill="1" applyBorder="1" applyAlignment="1">
      <alignment vertical="center" wrapText="1"/>
    </xf>
    <xf numFmtId="0" fontId="25" fillId="21" borderId="29" xfId="0" applyFont="1" applyFill="1" applyBorder="1" applyAlignment="1">
      <alignment vertical="center" wrapText="1"/>
    </xf>
    <xf numFmtId="0" fontId="25" fillId="21" borderId="30" xfId="0" applyFont="1" applyFill="1" applyBorder="1" applyAlignment="1">
      <alignment vertical="center" wrapText="1"/>
    </xf>
    <xf numFmtId="0" fontId="0" fillId="0" borderId="5" xfId="0" applyBorder="1" applyAlignment="1">
      <alignment horizontal="center" vertical="center"/>
    </xf>
    <xf numFmtId="0" fontId="0" fillId="0" borderId="7" xfId="0" applyBorder="1" applyAlignment="1">
      <alignment horizontal="center" vertical="center"/>
    </xf>
    <xf numFmtId="0" fontId="2" fillId="3" borderId="5" xfId="0" applyFont="1" applyFill="1" applyBorder="1" applyAlignment="1">
      <alignment horizontal="left"/>
    </xf>
    <xf numFmtId="0" fontId="2" fillId="3" borderId="0" xfId="0" applyFont="1" applyFill="1" applyBorder="1" applyAlignment="1">
      <alignment horizontal="left"/>
    </xf>
    <xf numFmtId="0" fontId="2" fillId="3" borderId="6" xfId="0" applyFont="1" applyFill="1" applyBorder="1" applyAlignment="1">
      <alignment horizontal="left"/>
    </xf>
    <xf numFmtId="0" fontId="0" fillId="0" borderId="5" xfId="0" applyBorder="1" applyAlignment="1">
      <alignment horizontal="left" vertical="center"/>
    </xf>
    <xf numFmtId="0" fontId="9" fillId="2" borderId="0" xfId="0" applyFont="1" applyFill="1" applyAlignment="1">
      <alignment horizontal="left"/>
    </xf>
    <xf numFmtId="0" fontId="2" fillId="3" borderId="0" xfId="0" applyFont="1" applyFill="1" applyBorder="1" applyAlignment="1">
      <alignment horizontal="center"/>
    </xf>
    <xf numFmtId="0" fontId="2" fillId="7" borderId="2" xfId="0" applyFont="1" applyFill="1" applyBorder="1" applyAlignment="1">
      <alignment horizontal="left"/>
    </xf>
    <xf numFmtId="0" fontId="2" fillId="7" borderId="3" xfId="0" applyFont="1" applyFill="1" applyBorder="1" applyAlignment="1">
      <alignment horizontal="left"/>
    </xf>
    <xf numFmtId="0" fontId="2" fillId="7" borderId="4" xfId="0" applyFont="1" applyFill="1" applyBorder="1" applyAlignment="1">
      <alignment horizontal="left"/>
    </xf>
    <xf numFmtId="0" fontId="3" fillId="6" borderId="5" xfId="0" applyFont="1" applyFill="1" applyBorder="1" applyAlignment="1">
      <alignment horizontal="left" vertical="top" wrapText="1"/>
    </xf>
    <xf numFmtId="0" fontId="3" fillId="6" borderId="0" xfId="0" applyFont="1" applyFill="1" applyBorder="1" applyAlignment="1">
      <alignment horizontal="left" vertical="top" wrapText="1"/>
    </xf>
    <xf numFmtId="0" fontId="3" fillId="6" borderId="6" xfId="0" applyFont="1" applyFill="1" applyBorder="1" applyAlignment="1">
      <alignment horizontal="left" vertical="top" wrapText="1"/>
    </xf>
    <xf numFmtId="0" fontId="2" fillId="0" borderId="0" xfId="0" applyFont="1" applyFill="1" applyBorder="1" applyAlignment="1">
      <alignment horizontal="center"/>
    </xf>
    <xf numFmtId="0" fontId="2" fillId="0" borderId="6" xfId="0" applyFont="1" applyFill="1" applyBorder="1" applyAlignment="1">
      <alignment horizontal="center"/>
    </xf>
    <xf numFmtId="0" fontId="3" fillId="14" borderId="5" xfId="0" applyFont="1" applyFill="1" applyBorder="1" applyAlignment="1">
      <alignment horizontal="left" vertical="top" wrapText="1"/>
    </xf>
    <xf numFmtId="0" fontId="3" fillId="14" borderId="0" xfId="0" applyFont="1" applyFill="1" applyBorder="1" applyAlignment="1">
      <alignment horizontal="left" vertical="top" wrapText="1"/>
    </xf>
    <xf numFmtId="0" fontId="3" fillId="14" borderId="6" xfId="0" applyFont="1" applyFill="1" applyBorder="1" applyAlignment="1">
      <alignment horizontal="left" vertical="top" wrapText="1"/>
    </xf>
    <xf numFmtId="0" fontId="14" fillId="14" borderId="5" xfId="0" applyFont="1" applyFill="1" applyBorder="1" applyAlignment="1">
      <alignment horizontal="left" vertical="top"/>
    </xf>
    <xf numFmtId="0" fontId="14" fillId="14" borderId="0" xfId="0" applyFont="1" applyFill="1" applyBorder="1" applyAlignment="1">
      <alignment horizontal="left" vertical="top"/>
    </xf>
    <xf numFmtId="0" fontId="14" fillId="14" borderId="6" xfId="0" applyFont="1" applyFill="1" applyBorder="1" applyAlignment="1">
      <alignment horizontal="left" vertical="top"/>
    </xf>
    <xf numFmtId="0" fontId="0" fillId="2" borderId="0" xfId="0" applyFill="1" applyBorder="1" applyAlignment="1">
      <alignment horizontal="center"/>
    </xf>
    <xf numFmtId="0" fontId="0" fillId="2" borderId="6" xfId="0" applyFill="1" applyBorder="1" applyAlignment="1">
      <alignment horizontal="center"/>
    </xf>
    <xf numFmtId="0" fontId="0" fillId="2" borderId="1" xfId="0" applyFill="1" applyBorder="1" applyAlignment="1">
      <alignment horizontal="center"/>
    </xf>
    <xf numFmtId="0" fontId="0" fillId="2" borderId="22" xfId="0" applyFill="1" applyBorder="1" applyAlignment="1">
      <alignment horizontal="center"/>
    </xf>
    <xf numFmtId="0" fontId="2" fillId="19" borderId="0" xfId="0" applyFont="1" applyFill="1" applyAlignment="1">
      <alignment horizontal="center"/>
    </xf>
    <xf numFmtId="0" fontId="0" fillId="0" borderId="7" xfId="0" applyBorder="1" applyAlignment="1">
      <alignment horizontal="left" vertical="center"/>
    </xf>
    <xf numFmtId="0" fontId="2" fillId="0" borderId="0" xfId="0" applyFont="1" applyBorder="1" applyAlignment="1">
      <alignment horizontal="center"/>
    </xf>
    <xf numFmtId="0" fontId="2" fillId="0" borderId="6" xfId="0" applyFont="1" applyBorder="1" applyAlignment="1">
      <alignment horizontal="center"/>
    </xf>
    <xf numFmtId="0" fontId="2" fillId="3" borderId="0" xfId="0" applyFont="1" applyFill="1" applyAlignment="1">
      <alignment horizontal="center"/>
    </xf>
    <xf numFmtId="0" fontId="3" fillId="14" borderId="5" xfId="0" applyFont="1" applyFill="1" applyBorder="1" applyAlignment="1">
      <alignment horizontal="left" vertical="top"/>
    </xf>
    <xf numFmtId="0" fontId="3" fillId="14" borderId="0" xfId="0" applyFont="1" applyFill="1" applyBorder="1" applyAlignment="1">
      <alignment horizontal="left" vertical="top"/>
    </xf>
    <xf numFmtId="0" fontId="3" fillId="14" borderId="6" xfId="0" applyFont="1" applyFill="1" applyBorder="1" applyAlignment="1">
      <alignment horizontal="left" vertical="top"/>
    </xf>
    <xf numFmtId="0" fontId="2" fillId="7" borderId="23" xfId="0" applyFont="1" applyFill="1" applyBorder="1" applyAlignment="1"/>
    <xf numFmtId="0" fontId="2" fillId="7" borderId="24" xfId="0" applyFont="1" applyFill="1" applyBorder="1" applyAlignment="1"/>
    <xf numFmtId="0" fontId="2" fillId="7" borderId="25" xfId="0" applyFont="1" applyFill="1" applyBorder="1" applyAlignment="1"/>
    <xf numFmtId="0" fontId="3" fillId="6" borderId="23" xfId="0" applyFont="1" applyFill="1" applyBorder="1" applyAlignment="1">
      <alignment horizontal="left" vertical="top" wrapText="1"/>
    </xf>
    <xf numFmtId="0" fontId="3" fillId="6" borderId="24" xfId="0" applyFont="1" applyFill="1" applyBorder="1" applyAlignment="1">
      <alignment horizontal="left" vertical="top" wrapText="1"/>
    </xf>
    <xf numFmtId="0" fontId="3" fillId="6" borderId="25" xfId="0" applyFont="1" applyFill="1" applyBorder="1" applyAlignment="1">
      <alignment horizontal="left" vertical="top" wrapText="1"/>
    </xf>
    <xf numFmtId="0" fontId="2" fillId="3" borderId="8" xfId="0" applyFont="1" applyFill="1" applyBorder="1" applyAlignment="1">
      <alignment horizontal="center"/>
    </xf>
    <xf numFmtId="0" fontId="2" fillId="0" borderId="5" xfId="0" applyFont="1" applyBorder="1" applyAlignment="1">
      <alignment horizontal="center"/>
    </xf>
    <xf numFmtId="0" fontId="0" fillId="0" borderId="6" xfId="0" applyBorder="1" applyAlignment="1">
      <alignment horizontal="center"/>
    </xf>
    <xf numFmtId="0" fontId="2" fillId="0" borderId="5" xfId="0" applyFont="1" applyFill="1" applyBorder="1" applyAlignment="1">
      <alignment horizontal="center"/>
    </xf>
    <xf numFmtId="0" fontId="0" fillId="0" borderId="0" xfId="0" applyFont="1" applyFill="1" applyBorder="1" applyAlignment="1">
      <alignment horizontal="center"/>
    </xf>
    <xf numFmtId="0" fontId="0" fillId="0" borderId="6" xfId="0" applyFont="1" applyFill="1" applyBorder="1" applyAlignment="1">
      <alignment horizontal="center"/>
    </xf>
    <xf numFmtId="0" fontId="15" fillId="0" borderId="5" xfId="0" applyFont="1" applyFill="1" applyBorder="1" applyAlignment="1">
      <alignment horizontal="center"/>
    </xf>
    <xf numFmtId="0" fontId="0" fillId="0" borderId="0" xfId="0" applyAlignment="1">
      <alignment horizontal="center" vertical="center"/>
    </xf>
    <xf numFmtId="0" fontId="0" fillId="0" borderId="0" xfId="0" applyAlignment="1">
      <alignment horizontal="center"/>
    </xf>
    <xf numFmtId="0" fontId="0" fillId="0" borderId="0" xfId="0" applyAlignment="1">
      <alignment horizontal="center" vertical="center" wrapText="1"/>
    </xf>
  </cellXfs>
  <cellStyles count="3">
    <cellStyle name="Comma" xfId="1" builtinId="3"/>
    <cellStyle name="Normal" xfId="0" builtinId="0"/>
    <cellStyle name="Percent" xfId="2" builtinId="5"/>
  </cellStyles>
  <dxfs count="0"/>
  <tableStyles count="0" defaultTableStyle="TableStyleMedium2" defaultPivotStyle="PivotStyleLight16"/>
  <colors>
    <mruColors>
      <color rgb="FFFFF4CA"/>
      <color rgb="FFEA3800"/>
      <color rgb="FFCC3300"/>
      <color rgb="FFA5002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Benefit-cost ratio</a:t>
            </a:r>
            <a:r>
              <a:rPr lang="en-US" baseline="0"/>
              <a:t> </a:t>
            </a:r>
            <a:r>
              <a:rPr lang="en-US"/>
              <a:t>for different climate and baseline scenarios</a:t>
            </a:r>
          </a:p>
        </c:rich>
      </c:tx>
      <c:layout>
        <c:manualLayout>
          <c:xMode val="edge"/>
          <c:yMode val="edge"/>
          <c:x val="0.12386158069636501"/>
          <c:y val="0"/>
        </c:manualLayout>
      </c:layout>
      <c:overlay val="0"/>
      <c:spPr>
        <a:noFill/>
        <a:ln>
          <a:noFill/>
        </a:ln>
        <a:effectLst/>
      </c:spPr>
    </c:title>
    <c:autoTitleDeleted val="0"/>
    <c:view3D>
      <c:rotX val="90"/>
      <c:rotY val="0"/>
      <c:rAngAx val="0"/>
      <c:perspective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2140252602653"/>
          <c:y val="0.119866385372715"/>
          <c:w val="0.765495076538252"/>
          <c:h val="0.74931697620075999"/>
        </c:manualLayout>
      </c:layout>
      <c:surfaceChart>
        <c:wireframe val="0"/>
        <c:ser>
          <c:idx val="0"/>
          <c:order val="0"/>
          <c:tx>
            <c:strRef>
              <c:f>Tables!$B$3</c:f>
              <c:strCache>
                <c:ptCount val="1"/>
                <c:pt idx="0">
                  <c:v>0%</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sp3d/>
          </c:spPr>
          <c:cat>
            <c:numRef>
              <c:f>Tables!$C$2:$M$2</c:f>
              <c:numCache>
                <c:formatCode>0%</c:formatCode>
                <c:ptCount val="11"/>
                <c:pt idx="0">
                  <c:v>0</c:v>
                </c:pt>
                <c:pt idx="1">
                  <c:v>0.1</c:v>
                </c:pt>
                <c:pt idx="2">
                  <c:v>0.2</c:v>
                </c:pt>
                <c:pt idx="3">
                  <c:v>0.3</c:v>
                </c:pt>
                <c:pt idx="4">
                  <c:v>0.4</c:v>
                </c:pt>
                <c:pt idx="5">
                  <c:v>0.5</c:v>
                </c:pt>
                <c:pt idx="6">
                  <c:v>0.6</c:v>
                </c:pt>
                <c:pt idx="7">
                  <c:v>0.7</c:v>
                </c:pt>
                <c:pt idx="8">
                  <c:v>0.8</c:v>
                </c:pt>
                <c:pt idx="9">
                  <c:v>0.9</c:v>
                </c:pt>
                <c:pt idx="10">
                  <c:v>1</c:v>
                </c:pt>
              </c:numCache>
            </c:numRef>
          </c:cat>
          <c:val>
            <c:numRef>
              <c:f>Tables!$C$3:$M$3</c:f>
              <c:numCache>
                <c:formatCode>0.00</c:formatCode>
                <c:ptCount val="11"/>
                <c:pt idx="0">
                  <c:v>3.2442745871027845</c:v>
                </c:pt>
                <c:pt idx="1">
                  <c:v>3.2046713399781863</c:v>
                </c:pt>
                <c:pt idx="2">
                  <c:v>3.1660233154666013</c:v>
                </c:pt>
                <c:pt idx="3">
                  <c:v>3.1282963657125626</c:v>
                </c:pt>
                <c:pt idx="4">
                  <c:v>3.0914579513435663</c:v>
                </c:pt>
                <c:pt idx="5">
                  <c:v>3.055477047865899</c:v>
                </c:pt>
                <c:pt idx="6">
                  <c:v>3.0203240585219153</c:v>
                </c:pt>
                <c:pt idx="7">
                  <c:v>2.9859707330943124</c:v>
                </c:pt>
                <c:pt idx="8">
                  <c:v>2.952390092189229</c:v>
                </c:pt>
                <c:pt idx="9">
                  <c:v>2.91955635657167</c:v>
                </c:pt>
                <c:pt idx="10">
                  <c:v>2.8874448811642579</c:v>
                </c:pt>
              </c:numCache>
            </c:numRef>
          </c:val>
          <c:extLst>
            <c:ext xmlns:c16="http://schemas.microsoft.com/office/drawing/2014/chart" uri="{C3380CC4-5D6E-409C-BE32-E72D297353CC}">
              <c16:uniqueId val="{00000000-EE0D-4598-BFB8-968D3BC8A960}"/>
            </c:ext>
          </c:extLst>
        </c:ser>
        <c:ser>
          <c:idx val="1"/>
          <c:order val="1"/>
          <c:tx>
            <c:strRef>
              <c:f>Tables!$B$4</c:f>
              <c:strCache>
                <c:ptCount val="1"/>
                <c:pt idx="0">
                  <c:v>10%</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effectLst/>
            <a:sp3d/>
          </c:spPr>
          <c:cat>
            <c:numRef>
              <c:f>Tables!$C$2:$M$2</c:f>
              <c:numCache>
                <c:formatCode>0%</c:formatCode>
                <c:ptCount val="11"/>
                <c:pt idx="0">
                  <c:v>0</c:v>
                </c:pt>
                <c:pt idx="1">
                  <c:v>0.1</c:v>
                </c:pt>
                <c:pt idx="2">
                  <c:v>0.2</c:v>
                </c:pt>
                <c:pt idx="3">
                  <c:v>0.3</c:v>
                </c:pt>
                <c:pt idx="4">
                  <c:v>0.4</c:v>
                </c:pt>
                <c:pt idx="5">
                  <c:v>0.5</c:v>
                </c:pt>
                <c:pt idx="6">
                  <c:v>0.6</c:v>
                </c:pt>
                <c:pt idx="7">
                  <c:v>0.7</c:v>
                </c:pt>
                <c:pt idx="8">
                  <c:v>0.8</c:v>
                </c:pt>
                <c:pt idx="9">
                  <c:v>0.9</c:v>
                </c:pt>
                <c:pt idx="10">
                  <c:v>1</c:v>
                </c:pt>
              </c:numCache>
            </c:numRef>
          </c:cat>
          <c:val>
            <c:numRef>
              <c:f>Tables!$C$4:$M$4</c:f>
              <c:numCache>
                <c:formatCode>0.00</c:formatCode>
                <c:ptCount val="11"/>
                <c:pt idx="0">
                  <c:v>3.120728610470425</c:v>
                </c:pt>
                <c:pt idx="1">
                  <c:v>3.0836658909878283</c:v>
                </c:pt>
                <c:pt idx="2">
                  <c:v>3.0474731752717341</c:v>
                </c:pt>
                <c:pt idx="3">
                  <c:v>3.0121201852201915</c:v>
                </c:pt>
                <c:pt idx="4">
                  <c:v>2.9775780316145308</c:v>
                </c:pt>
                <c:pt idx="5">
                  <c:v>2.9438191353856493</c:v>
                </c:pt>
                <c:pt idx="6">
                  <c:v>2.9108171541761738</c:v>
                </c:pt>
                <c:pt idx="7">
                  <c:v>2.878546913787591</c:v>
                </c:pt>
                <c:pt idx="8">
                  <c:v>2.8469843441373341</c:v>
                </c:pt>
                <c:pt idx="9">
                  <c:v>2.8161064193834968</c:v>
                </c:pt>
                <c:pt idx="10">
                  <c:v>2.7858911019041002</c:v>
                </c:pt>
              </c:numCache>
            </c:numRef>
          </c:val>
          <c:extLst>
            <c:ext xmlns:c16="http://schemas.microsoft.com/office/drawing/2014/chart" uri="{C3380CC4-5D6E-409C-BE32-E72D297353CC}">
              <c16:uniqueId val="{00000001-EE0D-4598-BFB8-968D3BC8A960}"/>
            </c:ext>
          </c:extLst>
        </c:ser>
        <c:ser>
          <c:idx val="2"/>
          <c:order val="2"/>
          <c:tx>
            <c:strRef>
              <c:f>Tables!$B$5</c:f>
              <c:strCache>
                <c:ptCount val="1"/>
                <c:pt idx="0">
                  <c:v>20%</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effectLst/>
            <a:sp3d/>
          </c:spPr>
          <c:cat>
            <c:numRef>
              <c:f>Tables!$C$2:$M$2</c:f>
              <c:numCache>
                <c:formatCode>0%</c:formatCode>
                <c:ptCount val="11"/>
                <c:pt idx="0">
                  <c:v>0</c:v>
                </c:pt>
                <c:pt idx="1">
                  <c:v>0.1</c:v>
                </c:pt>
                <c:pt idx="2">
                  <c:v>0.2</c:v>
                </c:pt>
                <c:pt idx="3">
                  <c:v>0.3</c:v>
                </c:pt>
                <c:pt idx="4">
                  <c:v>0.4</c:v>
                </c:pt>
                <c:pt idx="5">
                  <c:v>0.5</c:v>
                </c:pt>
                <c:pt idx="6">
                  <c:v>0.6</c:v>
                </c:pt>
                <c:pt idx="7">
                  <c:v>0.7</c:v>
                </c:pt>
                <c:pt idx="8">
                  <c:v>0.8</c:v>
                </c:pt>
                <c:pt idx="9">
                  <c:v>0.9</c:v>
                </c:pt>
                <c:pt idx="10">
                  <c:v>1</c:v>
                </c:pt>
              </c:numCache>
            </c:numRef>
          </c:cat>
          <c:val>
            <c:numRef>
              <c:f>Tables!$C$5:$M$5</c:f>
              <c:numCache>
                <c:formatCode>0.00</c:formatCode>
                <c:ptCount val="11"/>
                <c:pt idx="0">
                  <c:v>2.9949142720974384</c:v>
                </c:pt>
                <c:pt idx="1">
                  <c:v>2.9603565058474683</c:v>
                </c:pt>
                <c:pt idx="2">
                  <c:v>2.9265871536796015</c:v>
                </c:pt>
                <c:pt idx="3">
                  <c:v>2.8935795391272627</c:v>
                </c:pt>
                <c:pt idx="4">
                  <c:v>2.8613081757875083</c:v>
                </c:pt>
                <c:pt idx="5">
                  <c:v>2.8297487016905927</c:v>
                </c:pt>
                <c:pt idx="6">
                  <c:v>2.7988778179654576</c:v>
                </c:pt>
                <c:pt idx="7">
                  <c:v>2.7686732314766482</c:v>
                </c:pt>
                <c:pt idx="8">
                  <c:v>2.7391136011358279</c:v>
                </c:pt>
                <c:pt idx="9">
                  <c:v>2.710178487616183</c:v>
                </c:pt>
                <c:pt idx="10">
                  <c:v>2.6818483062207186</c:v>
                </c:pt>
              </c:numCache>
            </c:numRef>
          </c:val>
          <c:extLst>
            <c:ext xmlns:c16="http://schemas.microsoft.com/office/drawing/2014/chart" uri="{C3380CC4-5D6E-409C-BE32-E72D297353CC}">
              <c16:uniqueId val="{00000002-EE0D-4598-BFB8-968D3BC8A960}"/>
            </c:ext>
          </c:extLst>
        </c:ser>
        <c:ser>
          <c:idx val="3"/>
          <c:order val="3"/>
          <c:tx>
            <c:strRef>
              <c:f>Tables!$B$6</c:f>
              <c:strCache>
                <c:ptCount val="1"/>
                <c:pt idx="0">
                  <c:v>30%</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effectLst/>
            <a:sp3d/>
          </c:spPr>
          <c:cat>
            <c:numRef>
              <c:f>Tables!$C$2:$M$2</c:f>
              <c:numCache>
                <c:formatCode>0%</c:formatCode>
                <c:ptCount val="11"/>
                <c:pt idx="0">
                  <c:v>0</c:v>
                </c:pt>
                <c:pt idx="1">
                  <c:v>0.1</c:v>
                </c:pt>
                <c:pt idx="2">
                  <c:v>0.2</c:v>
                </c:pt>
                <c:pt idx="3">
                  <c:v>0.3</c:v>
                </c:pt>
                <c:pt idx="4">
                  <c:v>0.4</c:v>
                </c:pt>
                <c:pt idx="5">
                  <c:v>0.5</c:v>
                </c:pt>
                <c:pt idx="6">
                  <c:v>0.6</c:v>
                </c:pt>
                <c:pt idx="7">
                  <c:v>0.7</c:v>
                </c:pt>
                <c:pt idx="8">
                  <c:v>0.8</c:v>
                </c:pt>
                <c:pt idx="9">
                  <c:v>0.9</c:v>
                </c:pt>
                <c:pt idx="10">
                  <c:v>1</c:v>
                </c:pt>
              </c:numCache>
            </c:numRef>
          </c:cat>
          <c:val>
            <c:numRef>
              <c:f>Tables!$C$6:$M$6</c:f>
              <c:numCache>
                <c:formatCode>0.00</c:formatCode>
                <c:ptCount val="11"/>
                <c:pt idx="0">
                  <c:v>2.8663267745759207</c:v>
                </c:pt>
                <c:pt idx="1">
                  <c:v>2.8342432302028153</c:v>
                </c:pt>
                <c:pt idx="2">
                  <c:v>2.8028699743715442</c:v>
                </c:pt>
                <c:pt idx="3">
                  <c:v>2.7721836780034459</c:v>
                </c:pt>
                <c:pt idx="4">
                  <c:v>2.7421620225987309</c:v>
                </c:pt>
                <c:pt idx="5">
                  <c:v>2.7127836461018768</c:v>
                </c:pt>
                <c:pt idx="6">
                  <c:v>2.6840280922100064</c:v>
                </c:pt>
                <c:pt idx="7">
                  <c:v>2.65587576287143</c:v>
                </c:pt>
                <c:pt idx="8">
                  <c:v>2.6283078737425773</c:v>
                </c:pt>
                <c:pt idx="9">
                  <c:v>2.6013064123905507</c:v>
                </c:pt>
                <c:pt idx="10">
                  <c:v>2.5748540990458837</c:v>
                </c:pt>
              </c:numCache>
            </c:numRef>
          </c:val>
          <c:extLst>
            <c:ext xmlns:c16="http://schemas.microsoft.com/office/drawing/2014/chart" uri="{C3380CC4-5D6E-409C-BE32-E72D297353CC}">
              <c16:uniqueId val="{00000003-EE0D-4598-BFB8-968D3BC8A960}"/>
            </c:ext>
          </c:extLst>
        </c:ser>
        <c:ser>
          <c:idx val="4"/>
          <c:order val="4"/>
          <c:tx>
            <c:strRef>
              <c:f>Tables!$B$7</c:f>
              <c:strCache>
                <c:ptCount val="1"/>
                <c:pt idx="0">
                  <c:v>40%</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effectLst/>
            <a:sp3d/>
          </c:spPr>
          <c:cat>
            <c:numRef>
              <c:f>Tables!$C$2:$M$2</c:f>
              <c:numCache>
                <c:formatCode>0%</c:formatCode>
                <c:ptCount val="11"/>
                <c:pt idx="0">
                  <c:v>0</c:v>
                </c:pt>
                <c:pt idx="1">
                  <c:v>0.1</c:v>
                </c:pt>
                <c:pt idx="2">
                  <c:v>0.2</c:v>
                </c:pt>
                <c:pt idx="3">
                  <c:v>0.3</c:v>
                </c:pt>
                <c:pt idx="4">
                  <c:v>0.4</c:v>
                </c:pt>
                <c:pt idx="5">
                  <c:v>0.5</c:v>
                </c:pt>
                <c:pt idx="6">
                  <c:v>0.6</c:v>
                </c:pt>
                <c:pt idx="7">
                  <c:v>0.7</c:v>
                </c:pt>
                <c:pt idx="8">
                  <c:v>0.8</c:v>
                </c:pt>
                <c:pt idx="9">
                  <c:v>0.9</c:v>
                </c:pt>
                <c:pt idx="10">
                  <c:v>1</c:v>
                </c:pt>
              </c:numCache>
            </c:numRef>
          </c:cat>
          <c:val>
            <c:numRef>
              <c:f>Tables!$C$7:$M$7</c:f>
              <c:numCache>
                <c:formatCode>0.00</c:formatCode>
                <c:ptCount val="11"/>
                <c:pt idx="0">
                  <c:v>2.7343917540630529</c:v>
                </c:pt>
                <c:pt idx="1">
                  <c:v>2.7047562978277946</c:v>
                </c:pt>
                <c:pt idx="2">
                  <c:v>2.675756334805484</c:v>
                </c:pt>
                <c:pt idx="3">
                  <c:v>2.6473716408672079</c:v>
                </c:pt>
                <c:pt idx="4">
                  <c:v>2.6195828410346067</c:v>
                </c:pt>
                <c:pt idx="5">
                  <c:v>2.5923713653762022</c:v>
                </c:pt>
                <c:pt idx="6">
                  <c:v>2.5657194076242988</c:v>
                </c:pt>
                <c:pt idx="7">
                  <c:v>2.5396098863186363</c:v>
                </c:pt>
                <c:pt idx="8">
                  <c:v>2.5140264082986259</c:v>
                </c:pt>
                <c:pt idx="9">
                  <c:v>2.4889532343802081</c:v>
                </c:pt>
                <c:pt idx="10">
                  <c:v>2.464375247066322</c:v>
                </c:pt>
              </c:numCache>
            </c:numRef>
          </c:val>
          <c:extLst>
            <c:ext xmlns:c16="http://schemas.microsoft.com/office/drawing/2014/chart" uri="{C3380CC4-5D6E-409C-BE32-E72D297353CC}">
              <c16:uniqueId val="{00000004-EE0D-4598-BFB8-968D3BC8A960}"/>
            </c:ext>
          </c:extLst>
        </c:ser>
        <c:ser>
          <c:idx val="5"/>
          <c:order val="5"/>
          <c:tx>
            <c:strRef>
              <c:f>Tables!$B$8</c:f>
              <c:strCache>
                <c:ptCount val="1"/>
                <c:pt idx="0">
                  <c:v>50%</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effectLst/>
            <a:sp3d/>
          </c:spPr>
          <c:cat>
            <c:numRef>
              <c:f>Tables!$C$2:$M$2</c:f>
              <c:numCache>
                <c:formatCode>0%</c:formatCode>
                <c:ptCount val="11"/>
                <c:pt idx="0">
                  <c:v>0</c:v>
                </c:pt>
                <c:pt idx="1">
                  <c:v>0.1</c:v>
                </c:pt>
                <c:pt idx="2">
                  <c:v>0.2</c:v>
                </c:pt>
                <c:pt idx="3">
                  <c:v>0.3</c:v>
                </c:pt>
                <c:pt idx="4">
                  <c:v>0.4</c:v>
                </c:pt>
                <c:pt idx="5">
                  <c:v>0.5</c:v>
                </c:pt>
                <c:pt idx="6">
                  <c:v>0.6</c:v>
                </c:pt>
                <c:pt idx="7">
                  <c:v>0.7</c:v>
                </c:pt>
                <c:pt idx="8">
                  <c:v>0.8</c:v>
                </c:pt>
                <c:pt idx="9">
                  <c:v>0.9</c:v>
                </c:pt>
                <c:pt idx="10">
                  <c:v>1</c:v>
                </c:pt>
              </c:numCache>
            </c:numRef>
          </c:cat>
          <c:val>
            <c:numRef>
              <c:f>Tables!$C$8:$M$8</c:f>
              <c:numCache>
                <c:formatCode>0.00</c:formatCode>
                <c:ptCount val="11"/>
                <c:pt idx="0">
                  <c:v>2.5984501177100712</c:v>
                </c:pt>
                <c:pt idx="1">
                  <c:v>2.5712408907306994</c:v>
                </c:pt>
                <c:pt idx="2">
                  <c:v>2.544595592224618</c:v>
                </c:pt>
                <c:pt idx="3">
                  <c:v>2.5184968703433461</c:v>
                </c:pt>
                <c:pt idx="4">
                  <c:v>2.4929280778901663</c:v>
                </c:pt>
                <c:pt idx="5">
                  <c:v>2.4678732369100751</c:v>
                </c:pt>
                <c:pt idx="6">
                  <c:v>2.4433170053937996</c:v>
                </c:pt>
                <c:pt idx="7">
                  <c:v>2.4192446459500698</c:v>
                </c:pt>
                <c:pt idx="8">
                  <c:v>2.395641996311729</c:v>
                </c:pt>
                <c:pt idx="9">
                  <c:v>2.3724954415516528</c:v>
                </c:pt>
                <c:pt idx="10">
                  <c:v>2.3497918878939452</c:v>
                </c:pt>
              </c:numCache>
            </c:numRef>
          </c:val>
          <c:extLst>
            <c:ext xmlns:c16="http://schemas.microsoft.com/office/drawing/2014/chart" uri="{C3380CC4-5D6E-409C-BE32-E72D297353CC}">
              <c16:uniqueId val="{00000005-EE0D-4598-BFB8-968D3BC8A960}"/>
            </c:ext>
          </c:extLst>
        </c:ser>
        <c:ser>
          <c:idx val="6"/>
          <c:order val="6"/>
          <c:tx>
            <c:strRef>
              <c:f>Tables!$B$9</c:f>
              <c:strCache>
                <c:ptCount val="1"/>
                <c:pt idx="0">
                  <c:v>60%</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effectLst/>
            <a:sp3d/>
          </c:spPr>
          <c:cat>
            <c:numRef>
              <c:f>Tables!$C$2:$M$2</c:f>
              <c:numCache>
                <c:formatCode>0%</c:formatCode>
                <c:ptCount val="11"/>
                <c:pt idx="0">
                  <c:v>0</c:v>
                </c:pt>
                <c:pt idx="1">
                  <c:v>0.1</c:v>
                </c:pt>
                <c:pt idx="2">
                  <c:v>0.2</c:v>
                </c:pt>
                <c:pt idx="3">
                  <c:v>0.3</c:v>
                </c:pt>
                <c:pt idx="4">
                  <c:v>0.4</c:v>
                </c:pt>
                <c:pt idx="5">
                  <c:v>0.5</c:v>
                </c:pt>
                <c:pt idx="6">
                  <c:v>0.6</c:v>
                </c:pt>
                <c:pt idx="7">
                  <c:v>0.7</c:v>
                </c:pt>
                <c:pt idx="8">
                  <c:v>0.8</c:v>
                </c:pt>
                <c:pt idx="9">
                  <c:v>0.9</c:v>
                </c:pt>
                <c:pt idx="10">
                  <c:v>1</c:v>
                </c:pt>
              </c:numCache>
            </c:numRef>
          </c:cat>
          <c:val>
            <c:numRef>
              <c:f>Tables!$C$9:$M$9</c:f>
              <c:numCache>
                <c:formatCode>0.00</c:formatCode>
                <c:ptCount val="11"/>
                <c:pt idx="0">
                  <c:v>2.4577389650275672</c:v>
                </c:pt>
                <c:pt idx="1">
                  <c:v>2.4329379385835375</c:v>
                </c:pt>
                <c:pt idx="2">
                  <c:v>2.4086324456775716</c:v>
                </c:pt>
                <c:pt idx="3">
                  <c:v>2.3848077817996365</c:v>
                </c:pt>
                <c:pt idx="4">
                  <c:v>2.3614498185320993</c:v>
                </c:pt>
                <c:pt idx="5">
                  <c:v>2.3385449756107222</c:v>
                </c:pt>
                <c:pt idx="6">
                  <c:v>2.3160801945960183</c:v>
                </c:pt>
                <c:pt idx="7">
                  <c:v>2.2940429140476915</c:v>
                </c:pt>
                <c:pt idx="8">
                  <c:v>2.2724210461029903</c:v>
                </c:pt>
                <c:pt idx="9">
                  <c:v>2.2512029543672232</c:v>
                </c:pt>
                <c:pt idx="10">
                  <c:v>2.2303774330314643</c:v>
                </c:pt>
              </c:numCache>
            </c:numRef>
          </c:val>
          <c:extLst>
            <c:ext xmlns:c16="http://schemas.microsoft.com/office/drawing/2014/chart" uri="{C3380CC4-5D6E-409C-BE32-E72D297353CC}">
              <c16:uniqueId val="{00000006-EE0D-4598-BFB8-968D3BC8A960}"/>
            </c:ext>
          </c:extLst>
        </c:ser>
        <c:ser>
          <c:idx val="7"/>
          <c:order val="7"/>
          <c:tx>
            <c:strRef>
              <c:f>Tables!$B$10</c:f>
              <c:strCache>
                <c:ptCount val="1"/>
                <c:pt idx="0">
                  <c:v>70%</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effectLst/>
            <a:sp3d/>
          </c:spPr>
          <c:cat>
            <c:numRef>
              <c:f>Tables!$C$2:$M$2</c:f>
              <c:numCache>
                <c:formatCode>0%</c:formatCode>
                <c:ptCount val="11"/>
                <c:pt idx="0">
                  <c:v>0</c:v>
                </c:pt>
                <c:pt idx="1">
                  <c:v>0.1</c:v>
                </c:pt>
                <c:pt idx="2">
                  <c:v>0.2</c:v>
                </c:pt>
                <c:pt idx="3">
                  <c:v>0.3</c:v>
                </c:pt>
                <c:pt idx="4">
                  <c:v>0.4</c:v>
                </c:pt>
                <c:pt idx="5">
                  <c:v>0.5</c:v>
                </c:pt>
                <c:pt idx="6">
                  <c:v>0.6</c:v>
                </c:pt>
                <c:pt idx="7">
                  <c:v>0.7</c:v>
                </c:pt>
                <c:pt idx="8">
                  <c:v>0.8</c:v>
                </c:pt>
                <c:pt idx="9">
                  <c:v>0.9</c:v>
                </c:pt>
                <c:pt idx="10">
                  <c:v>1</c:v>
                </c:pt>
              </c:numCache>
            </c:numRef>
          </c:cat>
          <c:val>
            <c:numRef>
              <c:f>Tables!$C$10:$M$10</c:f>
              <c:numCache>
                <c:formatCode>0.00</c:formatCode>
                <c:ptCount val="11"/>
                <c:pt idx="0">
                  <c:v>2.311367341909174</c:v>
                </c:pt>
                <c:pt idx="1">
                  <c:v>2.288959685490533</c:v>
                </c:pt>
                <c:pt idx="2">
                  <c:v>2.2669823216806799</c:v>
                </c:pt>
                <c:pt idx="3">
                  <c:v>2.2454229740345957</c:v>
                </c:pt>
                <c:pt idx="4">
                  <c:v>2.2242698287112876</c:v>
                </c:pt>
                <c:pt idx="5">
                  <c:v>2.2035115128871943</c:v>
                </c:pt>
                <c:pt idx="6">
                  <c:v>2.1831370743671794</c:v>
                </c:pt>
                <c:pt idx="7">
                  <c:v>2.1631359623163058</c:v>
                </c:pt>
                <c:pt idx="8">
                  <c:v>2.1434980090411626</c:v>
                </c:pt>
                <c:pt idx="9">
                  <c:v>2.1242134127546484</c:v>
                </c:pt>
                <c:pt idx="10">
                  <c:v>2.1052727212628355</c:v>
                </c:pt>
              </c:numCache>
            </c:numRef>
          </c:val>
          <c:extLst>
            <c:ext xmlns:c16="http://schemas.microsoft.com/office/drawing/2014/chart" uri="{C3380CC4-5D6E-409C-BE32-E72D297353CC}">
              <c16:uniqueId val="{00000007-EE0D-4598-BFB8-968D3BC8A960}"/>
            </c:ext>
          </c:extLst>
        </c:ser>
        <c:ser>
          <c:idx val="8"/>
          <c:order val="8"/>
          <c:tx>
            <c:strRef>
              <c:f>Tables!$B$11</c:f>
              <c:strCache>
                <c:ptCount val="1"/>
                <c:pt idx="0">
                  <c:v>80%</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effectLst/>
            <a:sp3d/>
          </c:spPr>
          <c:cat>
            <c:numRef>
              <c:f>Tables!$C$2:$M$2</c:f>
              <c:numCache>
                <c:formatCode>0%</c:formatCode>
                <c:ptCount val="11"/>
                <c:pt idx="0">
                  <c:v>0</c:v>
                </c:pt>
                <c:pt idx="1">
                  <c:v>0.1</c:v>
                </c:pt>
                <c:pt idx="2">
                  <c:v>0.2</c:v>
                </c:pt>
                <c:pt idx="3">
                  <c:v>0.3</c:v>
                </c:pt>
                <c:pt idx="4">
                  <c:v>0.4</c:v>
                </c:pt>
                <c:pt idx="5">
                  <c:v>0.5</c:v>
                </c:pt>
                <c:pt idx="6">
                  <c:v>0.6</c:v>
                </c:pt>
                <c:pt idx="7">
                  <c:v>0.7</c:v>
                </c:pt>
                <c:pt idx="8">
                  <c:v>0.8</c:v>
                </c:pt>
                <c:pt idx="9">
                  <c:v>0.9</c:v>
                </c:pt>
                <c:pt idx="10">
                  <c:v>1</c:v>
                </c:pt>
              </c:numCache>
            </c:numRef>
          </c:cat>
          <c:val>
            <c:numRef>
              <c:f>Tables!$C$11:$M$11</c:f>
              <c:numCache>
                <c:formatCode>0.00</c:formatCode>
                <c:ptCount val="11"/>
                <c:pt idx="0">
                  <c:v>2.1582850989852558</c:v>
                </c:pt>
                <c:pt idx="1">
                  <c:v>2.1382582643704318</c:v>
                </c:pt>
                <c:pt idx="2">
                  <c:v>2.1185996727960124</c:v>
                </c:pt>
                <c:pt idx="3">
                  <c:v>2.0992992601955658</c:v>
                </c:pt>
                <c:pt idx="4">
                  <c:v>2.0803473259258807</c:v>
                </c:pt>
                <c:pt idx="5">
                  <c:v>2.0617345165092837</c:v>
                </c:pt>
                <c:pt idx="6">
                  <c:v>2.0434518102409505</c:v>
                </c:pt>
                <c:pt idx="7">
                  <c:v>2.0254905026080068</c:v>
                </c:pt>
                <c:pt idx="8">
                  <c:v>2.0078421924708953</c:v>
                </c:pt>
                <c:pt idx="9">
                  <c:v>1.9904987689609219</c:v>
                </c:pt>
                <c:pt idx="10">
                  <c:v>1.9734523990510453</c:v>
                </c:pt>
              </c:numCache>
            </c:numRef>
          </c:val>
          <c:extLst>
            <c:ext xmlns:c16="http://schemas.microsoft.com/office/drawing/2014/chart" uri="{C3380CC4-5D6E-409C-BE32-E72D297353CC}">
              <c16:uniqueId val="{00000008-EE0D-4598-BFB8-968D3BC8A960}"/>
            </c:ext>
          </c:extLst>
        </c:ser>
        <c:ser>
          <c:idx val="9"/>
          <c:order val="9"/>
          <c:tx>
            <c:strRef>
              <c:f>Tables!$B$12</c:f>
              <c:strCache>
                <c:ptCount val="1"/>
                <c:pt idx="0">
                  <c:v>90%</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effectLst/>
            <a:sp3d/>
          </c:spPr>
          <c:cat>
            <c:numRef>
              <c:f>Tables!$C$2:$M$2</c:f>
              <c:numCache>
                <c:formatCode>0%</c:formatCode>
                <c:ptCount val="11"/>
                <c:pt idx="0">
                  <c:v>0</c:v>
                </c:pt>
                <c:pt idx="1">
                  <c:v>0.1</c:v>
                </c:pt>
                <c:pt idx="2">
                  <c:v>0.2</c:v>
                </c:pt>
                <c:pt idx="3">
                  <c:v>0.3</c:v>
                </c:pt>
                <c:pt idx="4">
                  <c:v>0.4</c:v>
                </c:pt>
                <c:pt idx="5">
                  <c:v>0.5</c:v>
                </c:pt>
                <c:pt idx="6">
                  <c:v>0.6</c:v>
                </c:pt>
                <c:pt idx="7">
                  <c:v>0.7</c:v>
                </c:pt>
                <c:pt idx="8">
                  <c:v>0.8</c:v>
                </c:pt>
                <c:pt idx="9">
                  <c:v>0.9</c:v>
                </c:pt>
                <c:pt idx="10">
                  <c:v>1</c:v>
                </c:pt>
              </c:numCache>
            </c:numRef>
          </c:cat>
          <c:val>
            <c:numRef>
              <c:f>Tables!$C$12:$M$12</c:f>
              <c:numCache>
                <c:formatCode>0.00</c:formatCode>
                <c:ptCount val="11"/>
                <c:pt idx="0">
                  <c:v>1.9972424338967456</c:v>
                </c:pt>
                <c:pt idx="1">
                  <c:v>1.9795848103293814</c:v>
                </c:pt>
                <c:pt idx="2">
                  <c:v>1.9622366727525427</c:v>
                </c:pt>
                <c:pt idx="3">
                  <c:v>1.9451899552886842</c:v>
                </c:pt>
                <c:pt idx="4">
                  <c:v>1.9284368699320105</c:v>
                </c:pt>
                <c:pt idx="5">
                  <c:v>1.9119698946847059</c:v>
                </c:pt>
                <c:pt idx="6">
                  <c:v>1.8957817622958468</c:v>
                </c:pt>
                <c:pt idx="7">
                  <c:v>1.8798654495675746</c:v>
                </c:pt>
                <c:pt idx="8">
                  <c:v>1.8642141671954811</c:v>
                </c:pt>
                <c:pt idx="9">
                  <c:v>1.8488213501123121</c:v>
                </c:pt>
                <c:pt idx="10">
                  <c:v>1.833680648306153</c:v>
                </c:pt>
              </c:numCache>
            </c:numRef>
          </c:val>
          <c:extLst>
            <c:ext xmlns:c16="http://schemas.microsoft.com/office/drawing/2014/chart" uri="{C3380CC4-5D6E-409C-BE32-E72D297353CC}">
              <c16:uniqueId val="{00000009-EE0D-4598-BFB8-968D3BC8A960}"/>
            </c:ext>
          </c:extLst>
        </c:ser>
        <c:ser>
          <c:idx val="10"/>
          <c:order val="10"/>
          <c:tx>
            <c:strRef>
              <c:f>Tables!$B$13</c:f>
              <c:strCache>
                <c:ptCount val="1"/>
                <c:pt idx="0">
                  <c:v>100%</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effectLst/>
            <a:sp3d/>
          </c:spPr>
          <c:cat>
            <c:numRef>
              <c:f>Tables!$C$2:$M$2</c:f>
              <c:numCache>
                <c:formatCode>0%</c:formatCode>
                <c:ptCount val="11"/>
                <c:pt idx="0">
                  <c:v>0</c:v>
                </c:pt>
                <c:pt idx="1">
                  <c:v>0.1</c:v>
                </c:pt>
                <c:pt idx="2">
                  <c:v>0.2</c:v>
                </c:pt>
                <c:pt idx="3">
                  <c:v>0.3</c:v>
                </c:pt>
                <c:pt idx="4">
                  <c:v>0.4</c:v>
                </c:pt>
                <c:pt idx="5">
                  <c:v>0.5</c:v>
                </c:pt>
                <c:pt idx="6">
                  <c:v>0.6</c:v>
                </c:pt>
                <c:pt idx="7">
                  <c:v>0.7</c:v>
                </c:pt>
                <c:pt idx="8">
                  <c:v>0.8</c:v>
                </c:pt>
                <c:pt idx="9">
                  <c:v>0.9</c:v>
                </c:pt>
                <c:pt idx="10">
                  <c:v>1</c:v>
                </c:pt>
              </c:numCache>
            </c:numRef>
          </c:cat>
          <c:val>
            <c:numRef>
              <c:f>Tables!$C$13:$M$13</c:f>
              <c:numCache>
                <c:formatCode>0.00</c:formatCode>
                <c:ptCount val="11"/>
                <c:pt idx="0">
                  <c:v>1.8267366766149209</c:v>
                </c:pt>
                <c:pt idx="1">
                  <c:v>1.8114355970327842</c:v>
                </c:pt>
                <c:pt idx="2">
                  <c:v>1.7963887174914355</c:v>
                </c:pt>
                <c:pt idx="3">
                  <c:v>1.781589755558753</c:v>
                </c:pt>
                <c:pt idx="4">
                  <c:v>1.7670326341341227</c:v>
                </c:pt>
                <c:pt idx="5">
                  <c:v>1.7527114731277489</c:v>
                </c:pt>
                <c:pt idx="6">
                  <c:v>1.7386205815413303</c:v>
                </c:pt>
                <c:pt idx="7">
                  <c:v>1.724754449927691</c:v>
                </c:pt>
                <c:pt idx="8">
                  <c:v>1.7111077432083843</c:v>
                </c:pt>
                <c:pt idx="9">
                  <c:v>1.6976752938295898</c:v>
                </c:pt>
                <c:pt idx="10">
                  <c:v>1.6844520952378614</c:v>
                </c:pt>
              </c:numCache>
            </c:numRef>
          </c:val>
          <c:extLst>
            <c:ext xmlns:c16="http://schemas.microsoft.com/office/drawing/2014/chart" uri="{C3380CC4-5D6E-409C-BE32-E72D297353CC}">
              <c16:uniqueId val="{0000000A-EE0D-4598-BFB8-968D3BC8A960}"/>
            </c:ext>
          </c:extLst>
        </c:ser>
        <c:bandFmts>
          <c:band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sp3d/>
            </c:spPr>
          </c:bandFmt>
          <c:band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effectLst/>
              <a:sp3d/>
            </c:spPr>
          </c:bandFmt>
          <c:band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effectLst/>
              <a:sp3d/>
            </c:spPr>
          </c:bandFmt>
          <c:band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effectLst/>
              <a:sp3d/>
            </c:spPr>
          </c:bandFmt>
          <c:band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effectLst/>
              <a:sp3d/>
            </c:spPr>
          </c:bandFmt>
          <c:band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effectLst/>
              <a:sp3d/>
            </c:spPr>
          </c:bandFmt>
          <c:bandFmt>
            <c:idx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effectLst/>
              <a:sp3d/>
            </c:spPr>
          </c:bandFmt>
          <c:bandFmt>
            <c:idx val="7"/>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effectLst/>
              <a:sp3d/>
            </c:spPr>
          </c:bandFmt>
          <c:bandFmt>
            <c:idx val="8"/>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effectLst/>
              <a:sp3d/>
            </c:spPr>
          </c:bandFmt>
          <c:bandFmt>
            <c:idx val="9"/>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effectLst/>
              <a:sp3d/>
            </c:spPr>
          </c:bandFmt>
          <c:bandFmt>
            <c:idx val="1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effectLst/>
              <a:sp3d/>
            </c:spPr>
          </c:bandFmt>
          <c:bandFmt>
            <c:idx val="11"/>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effectLst/>
              <a:sp3d/>
            </c:spPr>
          </c:bandFmt>
          <c:bandFmt>
            <c:idx val="12"/>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effectLst/>
              <a:sp3d/>
            </c:spPr>
          </c:bandFmt>
          <c:bandFmt>
            <c:idx val="13"/>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effectLst/>
              <a:sp3d/>
            </c:spPr>
          </c:bandFmt>
          <c:bandFmt>
            <c:idx val="14"/>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effectLst/>
              <a:sp3d/>
            </c:spPr>
          </c:bandFmt>
        </c:bandFmts>
        <c:axId val="174860176"/>
        <c:axId val="165018992"/>
        <c:axId val="164975712"/>
      </c:surfaceChart>
      <c:catAx>
        <c:axId val="17486017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sz="900" b="1" i="0" baseline="0">
                    <a:effectLst/>
                  </a:rPr>
                  <a:t>Level of pessimism in baseline scenario (no climate impacts)</a:t>
                </a:r>
                <a:endParaRPr lang="en-US" sz="900">
                  <a:effectLst/>
                </a:endParaRPr>
              </a:p>
              <a:p>
                <a:pPr>
                  <a:defRPr sz="900" b="1" i="0" u="none" strike="noStrike" kern="1200" baseline="0">
                    <a:solidFill>
                      <a:schemeClr val="tx2"/>
                    </a:solidFill>
                    <a:latin typeface="+mn-lt"/>
                    <a:ea typeface="+mn-ea"/>
                    <a:cs typeface="+mn-cs"/>
                  </a:defRPr>
                </a:pPr>
                <a:r>
                  <a:rPr lang="en-US" sz="900" b="1" i="0" baseline="0">
                    <a:effectLst/>
                  </a:rPr>
                  <a:t>0% = optimisitc, 100% = pessimistic</a:t>
                </a:r>
                <a:r>
                  <a:rPr lang="en-US" sz="900"/>
                  <a:t> </a:t>
                </a:r>
              </a:p>
            </c:rich>
          </c:tx>
          <c:layout>
            <c:manualLayout>
              <c:xMode val="edge"/>
              <c:yMode val="edge"/>
              <c:x val="0.25310155532635797"/>
              <c:y val="0.92131380089116699"/>
            </c:manualLayout>
          </c:layout>
          <c:overlay val="0"/>
          <c:spPr>
            <a:noFill/>
            <a:ln>
              <a:noFill/>
            </a:ln>
            <a:effectLst/>
          </c:spPr>
        </c:title>
        <c:numFmt formatCode="0%"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5018992"/>
        <c:crosses val="autoZero"/>
        <c:auto val="1"/>
        <c:lblAlgn val="ctr"/>
        <c:lblOffset val="100"/>
        <c:noMultiLvlLbl val="0"/>
      </c:catAx>
      <c:valAx>
        <c:axId val="165018992"/>
        <c:scaling>
          <c:orientation val="minMax"/>
        </c:scaling>
        <c:delete val="1"/>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sz="900" b="1" i="0" baseline="0">
                    <a:effectLst/>
                  </a:rPr>
                  <a:t>Leve of climate impact </a:t>
                </a:r>
                <a:br>
                  <a:rPr lang="en-US" sz="900" b="1" i="0" baseline="0">
                    <a:effectLst/>
                  </a:rPr>
                </a:br>
                <a:r>
                  <a:rPr lang="en-US" sz="900" b="1" i="0" baseline="0">
                    <a:effectLst/>
                  </a:rPr>
                  <a:t>0% = no/low impact, 100% = high impact </a:t>
                </a:r>
                <a:endParaRPr lang="en-US" sz="900">
                  <a:effectLst/>
                </a:endParaRPr>
              </a:p>
            </c:rich>
          </c:tx>
          <c:layout>
            <c:manualLayout>
              <c:xMode val="edge"/>
              <c:yMode val="edge"/>
              <c:x val="0.92191063745514501"/>
              <c:y val="0.26996566791132098"/>
            </c:manualLayout>
          </c:layout>
          <c:overlay val="0"/>
          <c:spPr>
            <a:noFill/>
            <a:ln>
              <a:noFill/>
            </a:ln>
            <a:effectLst/>
          </c:spPr>
        </c:title>
        <c:numFmt formatCode="0.00" sourceLinked="1"/>
        <c:majorTickMark val="none"/>
        <c:minorTickMark val="none"/>
        <c:tickLblPos val="nextTo"/>
        <c:crossAx val="174860176"/>
        <c:crosses val="autoZero"/>
        <c:crossBetween val="midCat"/>
        <c:majorUnit val="0.2"/>
        <c:minorUnit val="0.1"/>
      </c:valAx>
      <c:serAx>
        <c:axId val="164975712"/>
        <c:scaling>
          <c:orientation val="minMax"/>
        </c:scaling>
        <c:delete val="0"/>
        <c:axPos val="b"/>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5018992"/>
        <c:crosses val="autoZero"/>
      </c:serAx>
      <c:spPr>
        <a:noFill/>
        <a:ln>
          <a:noFill/>
        </a:ln>
        <a:effectLst/>
      </c:spPr>
    </c:plotArea>
    <c:legend>
      <c:legendPos val="l"/>
      <c:legendEntry>
        <c:idx val="0"/>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legendEntry>
      <c:legendEntry>
        <c:idx val="1"/>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legendEntry>
      <c:layout>
        <c:manualLayout>
          <c:xMode val="edge"/>
          <c:yMode val="edge"/>
          <c:x val="8.8076541523060305E-3"/>
          <c:y val="0.27078692154796402"/>
          <c:w val="0.14263507222983199"/>
          <c:h val="0.46782497547274798"/>
        </c:manualLayout>
      </c:layout>
      <c:overlay val="0"/>
      <c:spPr>
        <a:noFill/>
        <a:ln>
          <a:no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NPV for different climate and baseline scenarios, in USD</a:t>
            </a:r>
          </a:p>
        </c:rich>
      </c:tx>
      <c:layout>
        <c:manualLayout>
          <c:xMode val="edge"/>
          <c:yMode val="edge"/>
          <c:x val="0.10352250401060201"/>
          <c:y val="3.40096639056435E-2"/>
        </c:manualLayout>
      </c:layout>
      <c:overlay val="0"/>
      <c:spPr>
        <a:noFill/>
        <a:ln>
          <a:noFill/>
        </a:ln>
        <a:effectLst/>
      </c:spPr>
    </c:title>
    <c:autoTitleDeleted val="0"/>
    <c:view3D>
      <c:rotX val="90"/>
      <c:rotY val="0"/>
      <c:rAngAx val="0"/>
      <c:perspective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1360101764639901E-2"/>
          <c:y val="0.14334297208275501"/>
          <c:w val="0.89292465335772397"/>
          <c:h val="0.70656454970961602"/>
        </c:manualLayout>
      </c:layout>
      <c:surfaceChart>
        <c:wireframe val="0"/>
        <c:ser>
          <c:idx val="0"/>
          <c:order val="0"/>
          <c:tx>
            <c:strRef>
              <c:f>Tables!$B$18</c:f>
              <c:strCache>
                <c:ptCount val="1"/>
                <c:pt idx="0">
                  <c:v>0%</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sp3d/>
          </c:spPr>
          <c:cat>
            <c:numRef>
              <c:f>Tables!$C$17:$M$17</c:f>
              <c:numCache>
                <c:formatCode>0%</c:formatCode>
                <c:ptCount val="11"/>
                <c:pt idx="0">
                  <c:v>0</c:v>
                </c:pt>
                <c:pt idx="1">
                  <c:v>0.1</c:v>
                </c:pt>
                <c:pt idx="2">
                  <c:v>0.2</c:v>
                </c:pt>
                <c:pt idx="3">
                  <c:v>0.3</c:v>
                </c:pt>
                <c:pt idx="4">
                  <c:v>0.4</c:v>
                </c:pt>
                <c:pt idx="5">
                  <c:v>0.5</c:v>
                </c:pt>
                <c:pt idx="6">
                  <c:v>0.6</c:v>
                </c:pt>
                <c:pt idx="7">
                  <c:v>0.7</c:v>
                </c:pt>
                <c:pt idx="8">
                  <c:v>0.8</c:v>
                </c:pt>
                <c:pt idx="9">
                  <c:v>0.9</c:v>
                </c:pt>
                <c:pt idx="10">
                  <c:v>1</c:v>
                </c:pt>
              </c:numCache>
            </c:numRef>
          </c:cat>
          <c:val>
            <c:numRef>
              <c:f>Tables!$C$18:$M$18</c:f>
              <c:numCache>
                <c:formatCode>0.0</c:formatCode>
                <c:ptCount val="11"/>
                <c:pt idx="0">
                  <c:v>9015.7947858271473</c:v>
                </c:pt>
                <c:pt idx="1">
                  <c:v>8966.1498074923347</c:v>
                </c:pt>
                <c:pt idx="2">
                  <c:v>8916.5048291575258</c:v>
                </c:pt>
                <c:pt idx="3">
                  <c:v>8866.8598508227115</c:v>
                </c:pt>
                <c:pt idx="4">
                  <c:v>8817.2148724879007</c:v>
                </c:pt>
                <c:pt idx="5">
                  <c:v>8767.5698941530864</c:v>
                </c:pt>
                <c:pt idx="6">
                  <c:v>8717.9249158182756</c:v>
                </c:pt>
                <c:pt idx="7">
                  <c:v>8668.2799374834631</c:v>
                </c:pt>
                <c:pt idx="8">
                  <c:v>8618.6349591486505</c:v>
                </c:pt>
                <c:pt idx="9">
                  <c:v>8568.9899808138398</c:v>
                </c:pt>
                <c:pt idx="10">
                  <c:v>8519.3450024790254</c:v>
                </c:pt>
              </c:numCache>
            </c:numRef>
          </c:val>
          <c:extLst>
            <c:ext xmlns:c16="http://schemas.microsoft.com/office/drawing/2014/chart" uri="{C3380CC4-5D6E-409C-BE32-E72D297353CC}">
              <c16:uniqueId val="{00000000-3E0A-4C68-B0C2-5A224854F24B}"/>
            </c:ext>
          </c:extLst>
        </c:ser>
        <c:ser>
          <c:idx val="1"/>
          <c:order val="1"/>
          <c:tx>
            <c:strRef>
              <c:f>Tables!$B$19</c:f>
              <c:strCache>
                <c:ptCount val="1"/>
                <c:pt idx="0">
                  <c:v>10%</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effectLst/>
            <a:sp3d/>
          </c:spPr>
          <c:cat>
            <c:numRef>
              <c:f>Tables!$C$17:$M$17</c:f>
              <c:numCache>
                <c:formatCode>0%</c:formatCode>
                <c:ptCount val="11"/>
                <c:pt idx="0">
                  <c:v>0</c:v>
                </c:pt>
                <c:pt idx="1">
                  <c:v>0.1</c:v>
                </c:pt>
                <c:pt idx="2">
                  <c:v>0.2</c:v>
                </c:pt>
                <c:pt idx="3">
                  <c:v>0.3</c:v>
                </c:pt>
                <c:pt idx="4">
                  <c:v>0.4</c:v>
                </c:pt>
                <c:pt idx="5">
                  <c:v>0.5</c:v>
                </c:pt>
                <c:pt idx="6">
                  <c:v>0.6</c:v>
                </c:pt>
                <c:pt idx="7">
                  <c:v>0.7</c:v>
                </c:pt>
                <c:pt idx="8">
                  <c:v>0.8</c:v>
                </c:pt>
                <c:pt idx="9">
                  <c:v>0.9</c:v>
                </c:pt>
                <c:pt idx="10">
                  <c:v>1</c:v>
                </c:pt>
              </c:numCache>
            </c:numRef>
          </c:cat>
          <c:val>
            <c:numRef>
              <c:f>Tables!$C$19:$M$19</c:f>
              <c:numCache>
                <c:formatCode>0.0</c:formatCode>
                <c:ptCount val="11"/>
                <c:pt idx="0">
                  <c:v>8759.7246585594894</c:v>
                </c:pt>
                <c:pt idx="1">
                  <c:v>8710.079680224675</c:v>
                </c:pt>
                <c:pt idx="2">
                  <c:v>8660.4347018898588</c:v>
                </c:pt>
                <c:pt idx="3">
                  <c:v>8610.7897235550481</c:v>
                </c:pt>
                <c:pt idx="4">
                  <c:v>8561.1447452202374</c:v>
                </c:pt>
                <c:pt idx="5">
                  <c:v>8511.4997668854267</c:v>
                </c:pt>
                <c:pt idx="6">
                  <c:v>8461.8547885506123</c:v>
                </c:pt>
                <c:pt idx="7">
                  <c:v>8412.2098102158016</c:v>
                </c:pt>
                <c:pt idx="8">
                  <c:v>8362.5648318809854</c:v>
                </c:pt>
                <c:pt idx="9">
                  <c:v>8312.9198535461765</c:v>
                </c:pt>
                <c:pt idx="10">
                  <c:v>8263.2748752113639</c:v>
                </c:pt>
              </c:numCache>
            </c:numRef>
          </c:val>
          <c:extLst>
            <c:ext xmlns:c16="http://schemas.microsoft.com/office/drawing/2014/chart" uri="{C3380CC4-5D6E-409C-BE32-E72D297353CC}">
              <c16:uniqueId val="{00000001-3E0A-4C68-B0C2-5A224854F24B}"/>
            </c:ext>
          </c:extLst>
        </c:ser>
        <c:ser>
          <c:idx val="2"/>
          <c:order val="2"/>
          <c:tx>
            <c:strRef>
              <c:f>Tables!$B$20</c:f>
              <c:strCache>
                <c:ptCount val="1"/>
                <c:pt idx="0">
                  <c:v>20%</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effectLst/>
            <a:sp3d/>
          </c:spPr>
          <c:cat>
            <c:numRef>
              <c:f>Tables!$C$17:$M$17</c:f>
              <c:numCache>
                <c:formatCode>0%</c:formatCode>
                <c:ptCount val="11"/>
                <c:pt idx="0">
                  <c:v>0</c:v>
                </c:pt>
                <c:pt idx="1">
                  <c:v>0.1</c:v>
                </c:pt>
                <c:pt idx="2">
                  <c:v>0.2</c:v>
                </c:pt>
                <c:pt idx="3">
                  <c:v>0.3</c:v>
                </c:pt>
                <c:pt idx="4">
                  <c:v>0.4</c:v>
                </c:pt>
                <c:pt idx="5">
                  <c:v>0.5</c:v>
                </c:pt>
                <c:pt idx="6">
                  <c:v>0.6</c:v>
                </c:pt>
                <c:pt idx="7">
                  <c:v>0.7</c:v>
                </c:pt>
                <c:pt idx="8">
                  <c:v>0.8</c:v>
                </c:pt>
                <c:pt idx="9">
                  <c:v>0.9</c:v>
                </c:pt>
                <c:pt idx="10">
                  <c:v>1</c:v>
                </c:pt>
              </c:numCache>
            </c:numRef>
          </c:cat>
          <c:val>
            <c:numRef>
              <c:f>Tables!$C$20:$M$20</c:f>
              <c:numCache>
                <c:formatCode>0.0</c:formatCode>
                <c:ptCount val="11"/>
                <c:pt idx="0">
                  <c:v>8483.9463795210868</c:v>
                </c:pt>
                <c:pt idx="1">
                  <c:v>8434.3014011862779</c:v>
                </c:pt>
                <c:pt idx="2">
                  <c:v>8384.6564228514653</c:v>
                </c:pt>
                <c:pt idx="3">
                  <c:v>8335.011444516651</c:v>
                </c:pt>
                <c:pt idx="4">
                  <c:v>8285.3664661818384</c:v>
                </c:pt>
                <c:pt idx="5">
                  <c:v>8235.7214878470259</c:v>
                </c:pt>
                <c:pt idx="6">
                  <c:v>8186.0765095122142</c:v>
                </c:pt>
                <c:pt idx="7">
                  <c:v>8136.4315311774017</c:v>
                </c:pt>
                <c:pt idx="8">
                  <c:v>8086.7865528425891</c:v>
                </c:pt>
                <c:pt idx="9">
                  <c:v>8037.1415745077766</c:v>
                </c:pt>
                <c:pt idx="10">
                  <c:v>7987.4965961729649</c:v>
                </c:pt>
              </c:numCache>
            </c:numRef>
          </c:val>
          <c:extLst>
            <c:ext xmlns:c16="http://schemas.microsoft.com/office/drawing/2014/chart" uri="{C3380CC4-5D6E-409C-BE32-E72D297353CC}">
              <c16:uniqueId val="{00000002-3E0A-4C68-B0C2-5A224854F24B}"/>
            </c:ext>
          </c:extLst>
        </c:ser>
        <c:ser>
          <c:idx val="3"/>
          <c:order val="3"/>
          <c:tx>
            <c:strRef>
              <c:f>Tables!$B$21</c:f>
              <c:strCache>
                <c:ptCount val="1"/>
                <c:pt idx="0">
                  <c:v>30%</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effectLst/>
            <a:sp3d/>
          </c:spPr>
          <c:cat>
            <c:numRef>
              <c:f>Tables!$C$17:$M$17</c:f>
              <c:numCache>
                <c:formatCode>0%</c:formatCode>
                <c:ptCount val="11"/>
                <c:pt idx="0">
                  <c:v>0</c:v>
                </c:pt>
                <c:pt idx="1">
                  <c:v>0.1</c:v>
                </c:pt>
                <c:pt idx="2">
                  <c:v>0.2</c:v>
                </c:pt>
                <c:pt idx="3">
                  <c:v>0.3</c:v>
                </c:pt>
                <c:pt idx="4">
                  <c:v>0.4</c:v>
                </c:pt>
                <c:pt idx="5">
                  <c:v>0.5</c:v>
                </c:pt>
                <c:pt idx="6">
                  <c:v>0.6</c:v>
                </c:pt>
                <c:pt idx="7">
                  <c:v>0.7</c:v>
                </c:pt>
                <c:pt idx="8">
                  <c:v>0.8</c:v>
                </c:pt>
                <c:pt idx="9">
                  <c:v>0.9</c:v>
                </c:pt>
                <c:pt idx="10">
                  <c:v>1</c:v>
                </c:pt>
              </c:numCache>
            </c:numRef>
          </c:cat>
          <c:val>
            <c:numRef>
              <c:f>Tables!$C$21:$M$21</c:f>
              <c:numCache>
                <c:formatCode>0.0</c:formatCode>
                <c:ptCount val="11"/>
                <c:pt idx="0">
                  <c:v>8184.9831529069143</c:v>
                </c:pt>
                <c:pt idx="1">
                  <c:v>8135.3381745721035</c:v>
                </c:pt>
                <c:pt idx="2">
                  <c:v>8085.6931962372919</c:v>
                </c:pt>
                <c:pt idx="3">
                  <c:v>8036.0482179024775</c:v>
                </c:pt>
                <c:pt idx="4">
                  <c:v>7986.4032395676659</c:v>
                </c:pt>
                <c:pt idx="5">
                  <c:v>7936.7582612328533</c:v>
                </c:pt>
                <c:pt idx="6">
                  <c:v>7887.1132828980408</c:v>
                </c:pt>
                <c:pt idx="7">
                  <c:v>7837.4683045632273</c:v>
                </c:pt>
                <c:pt idx="8">
                  <c:v>7787.8233262284157</c:v>
                </c:pt>
                <c:pt idx="9">
                  <c:v>7738.1783478936031</c:v>
                </c:pt>
                <c:pt idx="10">
                  <c:v>7688.5333695587906</c:v>
                </c:pt>
              </c:numCache>
            </c:numRef>
          </c:val>
          <c:extLst>
            <c:ext xmlns:c16="http://schemas.microsoft.com/office/drawing/2014/chart" uri="{C3380CC4-5D6E-409C-BE32-E72D297353CC}">
              <c16:uniqueId val="{00000003-3E0A-4C68-B0C2-5A224854F24B}"/>
            </c:ext>
          </c:extLst>
        </c:ser>
        <c:ser>
          <c:idx val="4"/>
          <c:order val="4"/>
          <c:tx>
            <c:strRef>
              <c:f>Tables!$B$22</c:f>
              <c:strCache>
                <c:ptCount val="1"/>
                <c:pt idx="0">
                  <c:v>40%</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effectLst/>
            <a:sp3d/>
          </c:spPr>
          <c:cat>
            <c:numRef>
              <c:f>Tables!$C$17:$M$17</c:f>
              <c:numCache>
                <c:formatCode>0%</c:formatCode>
                <c:ptCount val="11"/>
                <c:pt idx="0">
                  <c:v>0</c:v>
                </c:pt>
                <c:pt idx="1">
                  <c:v>0.1</c:v>
                </c:pt>
                <c:pt idx="2">
                  <c:v>0.2</c:v>
                </c:pt>
                <c:pt idx="3">
                  <c:v>0.3</c:v>
                </c:pt>
                <c:pt idx="4">
                  <c:v>0.4</c:v>
                </c:pt>
                <c:pt idx="5">
                  <c:v>0.5</c:v>
                </c:pt>
                <c:pt idx="6">
                  <c:v>0.6</c:v>
                </c:pt>
                <c:pt idx="7">
                  <c:v>0.7</c:v>
                </c:pt>
                <c:pt idx="8">
                  <c:v>0.8</c:v>
                </c:pt>
                <c:pt idx="9">
                  <c:v>0.9</c:v>
                </c:pt>
                <c:pt idx="10">
                  <c:v>1</c:v>
                </c:pt>
              </c:numCache>
            </c:numRef>
          </c:cat>
          <c:val>
            <c:numRef>
              <c:f>Tables!$C$22:$M$22</c:f>
              <c:numCache>
                <c:formatCode>0.0</c:formatCode>
                <c:ptCount val="11"/>
                <c:pt idx="0">
                  <c:v>7858.4889839606822</c:v>
                </c:pt>
                <c:pt idx="1">
                  <c:v>7808.8440056258669</c:v>
                </c:pt>
                <c:pt idx="2">
                  <c:v>7759.1990272910607</c:v>
                </c:pt>
                <c:pt idx="3">
                  <c:v>7709.5540489562445</c:v>
                </c:pt>
                <c:pt idx="4">
                  <c:v>7659.9090706214338</c:v>
                </c:pt>
                <c:pt idx="5">
                  <c:v>7610.2640922866212</c:v>
                </c:pt>
                <c:pt idx="6">
                  <c:v>7560.6191139518078</c:v>
                </c:pt>
                <c:pt idx="7">
                  <c:v>7510.9741356169952</c:v>
                </c:pt>
                <c:pt idx="8">
                  <c:v>7461.3291572821836</c:v>
                </c:pt>
                <c:pt idx="9">
                  <c:v>7411.684178947371</c:v>
                </c:pt>
                <c:pt idx="10">
                  <c:v>7362.0392006125585</c:v>
                </c:pt>
              </c:numCache>
            </c:numRef>
          </c:val>
          <c:extLst>
            <c:ext xmlns:c16="http://schemas.microsoft.com/office/drawing/2014/chart" uri="{C3380CC4-5D6E-409C-BE32-E72D297353CC}">
              <c16:uniqueId val="{00000004-3E0A-4C68-B0C2-5A224854F24B}"/>
            </c:ext>
          </c:extLst>
        </c:ser>
        <c:ser>
          <c:idx val="5"/>
          <c:order val="5"/>
          <c:tx>
            <c:strRef>
              <c:f>Tables!$B$23</c:f>
              <c:strCache>
                <c:ptCount val="1"/>
                <c:pt idx="0">
                  <c:v>50%</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effectLst/>
            <a:sp3d/>
          </c:spPr>
          <c:cat>
            <c:numRef>
              <c:f>Tables!$C$17:$M$17</c:f>
              <c:numCache>
                <c:formatCode>0%</c:formatCode>
                <c:ptCount val="11"/>
                <c:pt idx="0">
                  <c:v>0</c:v>
                </c:pt>
                <c:pt idx="1">
                  <c:v>0.1</c:v>
                </c:pt>
                <c:pt idx="2">
                  <c:v>0.2</c:v>
                </c:pt>
                <c:pt idx="3">
                  <c:v>0.3</c:v>
                </c:pt>
                <c:pt idx="4">
                  <c:v>0.4</c:v>
                </c:pt>
                <c:pt idx="5">
                  <c:v>0.5</c:v>
                </c:pt>
                <c:pt idx="6">
                  <c:v>0.6</c:v>
                </c:pt>
                <c:pt idx="7">
                  <c:v>0.7</c:v>
                </c:pt>
                <c:pt idx="8">
                  <c:v>0.8</c:v>
                </c:pt>
                <c:pt idx="9">
                  <c:v>0.9</c:v>
                </c:pt>
                <c:pt idx="10">
                  <c:v>1</c:v>
                </c:pt>
              </c:numCache>
            </c:numRef>
          </c:cat>
          <c:val>
            <c:numRef>
              <c:f>Tables!$C$23:$M$23</c:f>
              <c:numCache>
                <c:formatCode>0.0</c:formatCode>
                <c:ptCount val="11"/>
                <c:pt idx="0">
                  <c:v>7498.9589459910894</c:v>
                </c:pt>
                <c:pt idx="1">
                  <c:v>7449.313967656276</c:v>
                </c:pt>
                <c:pt idx="2">
                  <c:v>7399.6689893214671</c:v>
                </c:pt>
                <c:pt idx="3">
                  <c:v>7350.0240109866518</c:v>
                </c:pt>
                <c:pt idx="4">
                  <c:v>7300.3790326518401</c:v>
                </c:pt>
                <c:pt idx="5">
                  <c:v>7250.7340543170285</c:v>
                </c:pt>
                <c:pt idx="6">
                  <c:v>7201.0890759822159</c:v>
                </c:pt>
                <c:pt idx="7">
                  <c:v>7151.4440976474034</c:v>
                </c:pt>
                <c:pt idx="8">
                  <c:v>7101.7991193125918</c:v>
                </c:pt>
                <c:pt idx="9">
                  <c:v>7052.1541409777792</c:v>
                </c:pt>
                <c:pt idx="10">
                  <c:v>7002.5091626429667</c:v>
                </c:pt>
              </c:numCache>
            </c:numRef>
          </c:val>
          <c:extLst>
            <c:ext xmlns:c16="http://schemas.microsoft.com/office/drawing/2014/chart" uri="{C3380CC4-5D6E-409C-BE32-E72D297353CC}">
              <c16:uniqueId val="{00000005-3E0A-4C68-B0C2-5A224854F24B}"/>
            </c:ext>
          </c:extLst>
        </c:ser>
        <c:ser>
          <c:idx val="6"/>
          <c:order val="6"/>
          <c:tx>
            <c:strRef>
              <c:f>Tables!$B$24</c:f>
              <c:strCache>
                <c:ptCount val="1"/>
                <c:pt idx="0">
                  <c:v>60%</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effectLst/>
            <a:sp3d/>
          </c:spPr>
          <c:cat>
            <c:numRef>
              <c:f>Tables!$C$17:$M$17</c:f>
              <c:numCache>
                <c:formatCode>0%</c:formatCode>
                <c:ptCount val="11"/>
                <c:pt idx="0">
                  <c:v>0</c:v>
                </c:pt>
                <c:pt idx="1">
                  <c:v>0.1</c:v>
                </c:pt>
                <c:pt idx="2">
                  <c:v>0.2</c:v>
                </c:pt>
                <c:pt idx="3">
                  <c:v>0.3</c:v>
                </c:pt>
                <c:pt idx="4">
                  <c:v>0.4</c:v>
                </c:pt>
                <c:pt idx="5">
                  <c:v>0.5</c:v>
                </c:pt>
                <c:pt idx="6">
                  <c:v>0.6</c:v>
                </c:pt>
                <c:pt idx="7">
                  <c:v>0.7</c:v>
                </c:pt>
                <c:pt idx="8">
                  <c:v>0.8</c:v>
                </c:pt>
                <c:pt idx="9">
                  <c:v>0.9</c:v>
                </c:pt>
                <c:pt idx="10">
                  <c:v>1</c:v>
                </c:pt>
              </c:numCache>
            </c:numRef>
          </c:cat>
          <c:val>
            <c:numRef>
              <c:f>Tables!$C$24:$M$24</c:f>
              <c:numCache>
                <c:formatCode>0.0</c:formatCode>
                <c:ptCount val="11"/>
                <c:pt idx="0">
                  <c:v>7099.3152761093279</c:v>
                </c:pt>
                <c:pt idx="1">
                  <c:v>7049.6702977745135</c:v>
                </c:pt>
                <c:pt idx="2">
                  <c:v>7000.0253194397064</c:v>
                </c:pt>
                <c:pt idx="3">
                  <c:v>6950.3803411048875</c:v>
                </c:pt>
                <c:pt idx="4">
                  <c:v>6900.7353627700759</c:v>
                </c:pt>
                <c:pt idx="5">
                  <c:v>6851.0903844352652</c:v>
                </c:pt>
                <c:pt idx="6">
                  <c:v>6801.4454061004508</c:v>
                </c:pt>
                <c:pt idx="7">
                  <c:v>6751.8004277656391</c:v>
                </c:pt>
                <c:pt idx="8">
                  <c:v>6702.1554494308284</c:v>
                </c:pt>
                <c:pt idx="9">
                  <c:v>6652.5104710960159</c:v>
                </c:pt>
                <c:pt idx="10">
                  <c:v>6602.8654927612042</c:v>
                </c:pt>
              </c:numCache>
            </c:numRef>
          </c:val>
          <c:extLst>
            <c:ext xmlns:c16="http://schemas.microsoft.com/office/drawing/2014/chart" uri="{C3380CC4-5D6E-409C-BE32-E72D297353CC}">
              <c16:uniqueId val="{00000006-3E0A-4C68-B0C2-5A224854F24B}"/>
            </c:ext>
          </c:extLst>
        </c:ser>
        <c:ser>
          <c:idx val="7"/>
          <c:order val="7"/>
          <c:tx>
            <c:strRef>
              <c:f>Tables!$B$25</c:f>
              <c:strCache>
                <c:ptCount val="1"/>
                <c:pt idx="0">
                  <c:v>70%</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effectLst/>
            <a:sp3d/>
          </c:spPr>
          <c:cat>
            <c:numRef>
              <c:f>Tables!$C$17:$M$17</c:f>
              <c:numCache>
                <c:formatCode>0%</c:formatCode>
                <c:ptCount val="11"/>
                <c:pt idx="0">
                  <c:v>0</c:v>
                </c:pt>
                <c:pt idx="1">
                  <c:v>0.1</c:v>
                </c:pt>
                <c:pt idx="2">
                  <c:v>0.2</c:v>
                </c:pt>
                <c:pt idx="3">
                  <c:v>0.3</c:v>
                </c:pt>
                <c:pt idx="4">
                  <c:v>0.4</c:v>
                </c:pt>
                <c:pt idx="5">
                  <c:v>0.5</c:v>
                </c:pt>
                <c:pt idx="6">
                  <c:v>0.6</c:v>
                </c:pt>
                <c:pt idx="7">
                  <c:v>0.7</c:v>
                </c:pt>
                <c:pt idx="8">
                  <c:v>0.8</c:v>
                </c:pt>
                <c:pt idx="9">
                  <c:v>0.9</c:v>
                </c:pt>
                <c:pt idx="10">
                  <c:v>1</c:v>
                </c:pt>
              </c:numCache>
            </c:numRef>
          </c:cat>
          <c:val>
            <c:numRef>
              <c:f>Tables!$C$25:$M$25</c:f>
              <c:numCache>
                <c:formatCode>0.0</c:formatCode>
                <c:ptCount val="11"/>
                <c:pt idx="0">
                  <c:v>6650.3024382300209</c:v>
                </c:pt>
                <c:pt idx="1">
                  <c:v>6600.6574598952047</c:v>
                </c:pt>
                <c:pt idx="2">
                  <c:v>6551.0124815603958</c:v>
                </c:pt>
                <c:pt idx="3">
                  <c:v>6501.3675032255805</c:v>
                </c:pt>
                <c:pt idx="4">
                  <c:v>6451.7225248907707</c:v>
                </c:pt>
                <c:pt idx="5">
                  <c:v>6402.0775465559591</c:v>
                </c:pt>
                <c:pt idx="6">
                  <c:v>6352.4325682211465</c:v>
                </c:pt>
                <c:pt idx="7">
                  <c:v>6302.787589886334</c:v>
                </c:pt>
                <c:pt idx="8">
                  <c:v>6253.1426115515233</c:v>
                </c:pt>
                <c:pt idx="9">
                  <c:v>6203.4976332167089</c:v>
                </c:pt>
                <c:pt idx="10">
                  <c:v>6153.8526548818973</c:v>
                </c:pt>
              </c:numCache>
            </c:numRef>
          </c:val>
          <c:extLst>
            <c:ext xmlns:c16="http://schemas.microsoft.com/office/drawing/2014/chart" uri="{C3380CC4-5D6E-409C-BE32-E72D297353CC}">
              <c16:uniqueId val="{00000007-3E0A-4C68-B0C2-5A224854F24B}"/>
            </c:ext>
          </c:extLst>
        </c:ser>
        <c:ser>
          <c:idx val="8"/>
          <c:order val="8"/>
          <c:tx>
            <c:strRef>
              <c:f>Tables!$B$26</c:f>
              <c:strCache>
                <c:ptCount val="1"/>
                <c:pt idx="0">
                  <c:v>80%</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effectLst/>
            <a:sp3d/>
          </c:spPr>
          <c:cat>
            <c:numRef>
              <c:f>Tables!$C$17:$M$17</c:f>
              <c:numCache>
                <c:formatCode>0%</c:formatCode>
                <c:ptCount val="11"/>
                <c:pt idx="0">
                  <c:v>0</c:v>
                </c:pt>
                <c:pt idx="1">
                  <c:v>0.1</c:v>
                </c:pt>
                <c:pt idx="2">
                  <c:v>0.2</c:v>
                </c:pt>
                <c:pt idx="3">
                  <c:v>0.3</c:v>
                </c:pt>
                <c:pt idx="4">
                  <c:v>0.4</c:v>
                </c:pt>
                <c:pt idx="5">
                  <c:v>0.5</c:v>
                </c:pt>
                <c:pt idx="6">
                  <c:v>0.6</c:v>
                </c:pt>
                <c:pt idx="7">
                  <c:v>0.7</c:v>
                </c:pt>
                <c:pt idx="8">
                  <c:v>0.8</c:v>
                </c:pt>
                <c:pt idx="9">
                  <c:v>0.9</c:v>
                </c:pt>
                <c:pt idx="10">
                  <c:v>1</c:v>
                </c:pt>
              </c:numCache>
            </c:numRef>
          </c:cat>
          <c:val>
            <c:numRef>
              <c:f>Tables!$C$26:$M$26</c:f>
              <c:numCache>
                <c:formatCode>0.0</c:formatCode>
                <c:ptCount val="11"/>
                <c:pt idx="0">
                  <c:v>6139.5797175726766</c:v>
                </c:pt>
                <c:pt idx="1">
                  <c:v>6089.9347392378631</c:v>
                </c:pt>
                <c:pt idx="2">
                  <c:v>6040.2897609030506</c:v>
                </c:pt>
                <c:pt idx="3">
                  <c:v>5990.644782568239</c:v>
                </c:pt>
                <c:pt idx="4">
                  <c:v>5940.9998042334255</c:v>
                </c:pt>
                <c:pt idx="5">
                  <c:v>5891.3548258986139</c:v>
                </c:pt>
                <c:pt idx="6">
                  <c:v>5841.7098475638022</c:v>
                </c:pt>
                <c:pt idx="7">
                  <c:v>5792.0648692289897</c:v>
                </c:pt>
                <c:pt idx="8">
                  <c:v>5742.4198908941753</c:v>
                </c:pt>
                <c:pt idx="9">
                  <c:v>5692.7749125593655</c:v>
                </c:pt>
                <c:pt idx="10">
                  <c:v>5643.129934224552</c:v>
                </c:pt>
              </c:numCache>
            </c:numRef>
          </c:val>
          <c:extLst>
            <c:ext xmlns:c16="http://schemas.microsoft.com/office/drawing/2014/chart" uri="{C3380CC4-5D6E-409C-BE32-E72D297353CC}">
              <c16:uniqueId val="{00000008-3E0A-4C68-B0C2-5A224854F24B}"/>
            </c:ext>
          </c:extLst>
        </c:ser>
        <c:ser>
          <c:idx val="9"/>
          <c:order val="9"/>
          <c:tx>
            <c:strRef>
              <c:f>Tables!$B$27</c:f>
              <c:strCache>
                <c:ptCount val="1"/>
                <c:pt idx="0">
                  <c:v>90%</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effectLst/>
            <a:sp3d/>
          </c:spPr>
          <c:cat>
            <c:numRef>
              <c:f>Tables!$C$17:$M$17</c:f>
              <c:numCache>
                <c:formatCode>0%</c:formatCode>
                <c:ptCount val="11"/>
                <c:pt idx="0">
                  <c:v>0</c:v>
                </c:pt>
                <c:pt idx="1">
                  <c:v>0.1</c:v>
                </c:pt>
                <c:pt idx="2">
                  <c:v>0.2</c:v>
                </c:pt>
                <c:pt idx="3">
                  <c:v>0.3</c:v>
                </c:pt>
                <c:pt idx="4">
                  <c:v>0.4</c:v>
                </c:pt>
                <c:pt idx="5">
                  <c:v>0.5</c:v>
                </c:pt>
                <c:pt idx="6">
                  <c:v>0.6</c:v>
                </c:pt>
                <c:pt idx="7">
                  <c:v>0.7</c:v>
                </c:pt>
                <c:pt idx="8">
                  <c:v>0.8</c:v>
                </c:pt>
                <c:pt idx="9">
                  <c:v>0.9</c:v>
                </c:pt>
                <c:pt idx="10">
                  <c:v>1</c:v>
                </c:pt>
              </c:numCache>
            </c:numRef>
          </c:cat>
          <c:val>
            <c:numRef>
              <c:f>Tables!$C$27:$M$27</c:f>
              <c:numCache>
                <c:formatCode>0.0</c:formatCode>
                <c:ptCount val="11"/>
                <c:pt idx="0">
                  <c:v>5550.3188667093555</c:v>
                </c:pt>
                <c:pt idx="1">
                  <c:v>5500.6738883745411</c:v>
                </c:pt>
                <c:pt idx="2">
                  <c:v>5451.0289100397249</c:v>
                </c:pt>
                <c:pt idx="3">
                  <c:v>5401.3839317049151</c:v>
                </c:pt>
                <c:pt idx="4">
                  <c:v>5351.7389533701034</c:v>
                </c:pt>
                <c:pt idx="5">
                  <c:v>5302.0939750352918</c:v>
                </c:pt>
                <c:pt idx="6">
                  <c:v>5252.4489967004793</c:v>
                </c:pt>
                <c:pt idx="7">
                  <c:v>5202.8040183656658</c:v>
                </c:pt>
                <c:pt idx="8">
                  <c:v>5153.1590400308551</c:v>
                </c:pt>
                <c:pt idx="9">
                  <c:v>5103.5140616960434</c:v>
                </c:pt>
                <c:pt idx="10">
                  <c:v>5053.8690833612309</c:v>
                </c:pt>
              </c:numCache>
            </c:numRef>
          </c:val>
          <c:extLst>
            <c:ext xmlns:c16="http://schemas.microsoft.com/office/drawing/2014/chart" uri="{C3380CC4-5D6E-409C-BE32-E72D297353CC}">
              <c16:uniqueId val="{00000009-3E0A-4C68-B0C2-5A224854F24B}"/>
            </c:ext>
          </c:extLst>
        </c:ser>
        <c:ser>
          <c:idx val="10"/>
          <c:order val="10"/>
          <c:tx>
            <c:strRef>
              <c:f>Tables!$B$28</c:f>
              <c:strCache>
                <c:ptCount val="1"/>
                <c:pt idx="0">
                  <c:v>100%</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effectLst/>
            <a:sp3d/>
          </c:spPr>
          <c:cat>
            <c:numRef>
              <c:f>Tables!$C$17:$M$17</c:f>
              <c:numCache>
                <c:formatCode>0%</c:formatCode>
                <c:ptCount val="11"/>
                <c:pt idx="0">
                  <c:v>0</c:v>
                </c:pt>
                <c:pt idx="1">
                  <c:v>0.1</c:v>
                </c:pt>
                <c:pt idx="2">
                  <c:v>0.2</c:v>
                </c:pt>
                <c:pt idx="3">
                  <c:v>0.3</c:v>
                </c:pt>
                <c:pt idx="4">
                  <c:v>0.4</c:v>
                </c:pt>
                <c:pt idx="5">
                  <c:v>0.5</c:v>
                </c:pt>
                <c:pt idx="6">
                  <c:v>0.6</c:v>
                </c:pt>
                <c:pt idx="7">
                  <c:v>0.7</c:v>
                </c:pt>
                <c:pt idx="8">
                  <c:v>0.8</c:v>
                </c:pt>
                <c:pt idx="9">
                  <c:v>0.9</c:v>
                </c:pt>
                <c:pt idx="10">
                  <c:v>1</c:v>
                </c:pt>
              </c:numCache>
            </c:numRef>
          </c:cat>
          <c:val>
            <c:numRef>
              <c:f>Tables!$C$28:$M$28</c:f>
              <c:numCache>
                <c:formatCode>0.0</c:formatCode>
                <c:ptCount val="11"/>
                <c:pt idx="0">
                  <c:v>4858.9603392409226</c:v>
                </c:pt>
                <c:pt idx="1">
                  <c:v>4809.3153609061101</c:v>
                </c:pt>
                <c:pt idx="2">
                  <c:v>4759.6703825712993</c:v>
                </c:pt>
                <c:pt idx="3">
                  <c:v>4710.025404236485</c:v>
                </c:pt>
                <c:pt idx="4">
                  <c:v>4660.3804259016724</c:v>
                </c:pt>
                <c:pt idx="5">
                  <c:v>4610.7354475668599</c:v>
                </c:pt>
                <c:pt idx="6">
                  <c:v>4561.0904692320491</c:v>
                </c:pt>
                <c:pt idx="7">
                  <c:v>4511.4454908972366</c:v>
                </c:pt>
                <c:pt idx="8">
                  <c:v>4461.800512562424</c:v>
                </c:pt>
                <c:pt idx="9">
                  <c:v>4412.1555342276133</c:v>
                </c:pt>
                <c:pt idx="10">
                  <c:v>4362.510555892798</c:v>
                </c:pt>
              </c:numCache>
            </c:numRef>
          </c:val>
          <c:extLst>
            <c:ext xmlns:c16="http://schemas.microsoft.com/office/drawing/2014/chart" uri="{C3380CC4-5D6E-409C-BE32-E72D297353CC}">
              <c16:uniqueId val="{0000000A-3E0A-4C68-B0C2-5A224854F24B}"/>
            </c:ext>
          </c:extLst>
        </c:ser>
        <c:bandFmts>
          <c:band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sp3d/>
            </c:spPr>
          </c:bandFmt>
          <c:band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effectLst/>
              <a:sp3d/>
            </c:spPr>
          </c:bandFmt>
          <c:band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effectLst/>
              <a:sp3d/>
            </c:spPr>
          </c:bandFmt>
          <c:band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effectLst/>
              <a:sp3d/>
            </c:spPr>
          </c:bandFmt>
          <c:band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effectLst/>
              <a:sp3d/>
            </c:spPr>
          </c:bandFmt>
          <c:band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effectLst/>
              <a:sp3d/>
            </c:spPr>
          </c:bandFmt>
          <c:bandFmt>
            <c:idx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effectLst/>
              <a:sp3d/>
            </c:spPr>
          </c:bandFmt>
          <c:bandFmt>
            <c:idx val="7"/>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effectLst/>
              <a:sp3d/>
            </c:spPr>
          </c:bandFmt>
          <c:bandFmt>
            <c:idx val="8"/>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effectLst/>
              <a:sp3d/>
            </c:spPr>
          </c:bandFmt>
          <c:bandFmt>
            <c:idx val="9"/>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effectLst/>
              <a:sp3d/>
            </c:spPr>
          </c:bandFmt>
          <c:bandFmt>
            <c:idx val="1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effectLst/>
              <a:sp3d/>
            </c:spPr>
          </c:bandFmt>
          <c:bandFmt>
            <c:idx val="11"/>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effectLst/>
              <a:sp3d/>
            </c:spPr>
          </c:bandFmt>
          <c:bandFmt>
            <c:idx val="12"/>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effectLst/>
              <a:sp3d/>
            </c:spPr>
          </c:bandFmt>
          <c:bandFmt>
            <c:idx val="13"/>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effectLst/>
              <a:sp3d/>
            </c:spPr>
          </c:bandFmt>
          <c:bandFmt>
            <c:idx val="14"/>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effectLst/>
              <a:sp3d/>
            </c:spPr>
          </c:bandFmt>
        </c:bandFmts>
        <c:axId val="183388320"/>
        <c:axId val="183370640"/>
        <c:axId val="183374032"/>
      </c:surfaceChart>
      <c:catAx>
        <c:axId val="18338832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Level of pessimism in baseline scenario (no climate impacts)</a:t>
                </a:r>
              </a:p>
              <a:p>
                <a:pPr>
                  <a:defRPr sz="900" b="1" i="0" u="none" strike="noStrike" kern="1200" baseline="0">
                    <a:solidFill>
                      <a:schemeClr val="tx2"/>
                    </a:solidFill>
                    <a:latin typeface="+mn-lt"/>
                    <a:ea typeface="+mn-ea"/>
                    <a:cs typeface="+mn-cs"/>
                  </a:defRPr>
                </a:pPr>
                <a:r>
                  <a:rPr lang="en-US"/>
                  <a:t>0% = optimisitc, 100% = pessimistic</a:t>
                </a:r>
              </a:p>
            </c:rich>
          </c:tx>
          <c:layout>
            <c:manualLayout>
              <c:xMode val="edge"/>
              <c:yMode val="edge"/>
              <c:x val="0.22121399282372201"/>
              <c:y val="0.91525410112239203"/>
            </c:manualLayout>
          </c:layout>
          <c:overlay val="0"/>
          <c:spPr>
            <a:noFill/>
            <a:ln>
              <a:noFill/>
            </a:ln>
            <a:effectLst/>
          </c:spPr>
        </c:title>
        <c:numFmt formatCode="0%"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3370640"/>
        <c:crosses val="autoZero"/>
        <c:auto val="1"/>
        <c:lblAlgn val="ctr"/>
        <c:lblOffset val="100"/>
        <c:noMultiLvlLbl val="0"/>
      </c:catAx>
      <c:valAx>
        <c:axId val="183370640"/>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Leve of climate impact </a:t>
                </a:r>
                <a:br>
                  <a:rPr lang="en-US"/>
                </a:br>
                <a:r>
                  <a:rPr lang="en-US"/>
                  <a:t>0% = no/low impact, 100% = high impact </a:t>
                </a:r>
              </a:p>
            </c:rich>
          </c:tx>
          <c:layout>
            <c:manualLayout>
              <c:xMode val="edge"/>
              <c:yMode val="edge"/>
              <c:x val="0.88779613928099999"/>
              <c:y val="0.24471193546338099"/>
            </c:manualLayout>
          </c:layout>
          <c:overlay val="0"/>
          <c:spPr>
            <a:noFill/>
            <a:ln>
              <a:noFill/>
            </a:ln>
            <a:effectLst/>
          </c:spPr>
        </c:title>
        <c:numFmt formatCode="0.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3388320"/>
        <c:crosses val="autoZero"/>
        <c:crossBetween val="midCat"/>
        <c:majorUnit val="100"/>
      </c:valAx>
      <c:serAx>
        <c:axId val="183374032"/>
        <c:scaling>
          <c:orientation val="minMax"/>
        </c:scaling>
        <c:delete val="0"/>
        <c:axPos val="b"/>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3370640"/>
        <c:crosses val="autoZero"/>
      </c:serAx>
      <c:spPr>
        <a:noFill/>
        <a:ln>
          <a:noFill/>
        </a:ln>
        <a:effectLst/>
      </c:spPr>
    </c:plotArea>
    <c:legend>
      <c:legendPos val="l"/>
      <c:legendEntry>
        <c:idx val="0"/>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legendEntry>
      <c:legendEntry>
        <c:idx val="1"/>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legendEntry>
      <c:layout>
        <c:manualLayout>
          <c:xMode val="edge"/>
          <c:yMode val="edge"/>
          <c:x val="7.3068920001613897E-3"/>
          <c:y val="0.328888448179804"/>
          <c:w val="0.13812523958057099"/>
          <c:h val="0.31175469722881799"/>
        </c:manualLayout>
      </c:layout>
      <c:overlay val="0"/>
      <c:spPr>
        <a:noFill/>
        <a:ln>
          <a:no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Role of the discount rate (on the median scenario)</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scatterChart>
        <c:scatterStyle val="smoothMarker"/>
        <c:varyColors val="0"/>
        <c:ser>
          <c:idx val="0"/>
          <c:order val="0"/>
          <c:spPr>
            <a:ln w="9525" cap="rnd">
              <a:solidFill>
                <a:schemeClr val="accent3"/>
              </a:solidFill>
              <a:round/>
            </a:ln>
            <a:effectLst/>
          </c:spPr>
          <c:marker>
            <c:symbol val="circle"/>
            <c:size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c:spPr>
          </c:marker>
          <c:xVal>
            <c:numRef>
              <c:f>Parameters_Results!$B$223:$B$228</c:f>
              <c:numCache>
                <c:formatCode>0%</c:formatCode>
                <c:ptCount val="6"/>
                <c:pt idx="0">
                  <c:v>0.01</c:v>
                </c:pt>
                <c:pt idx="1">
                  <c:v>0.02</c:v>
                </c:pt>
                <c:pt idx="2">
                  <c:v>0.03</c:v>
                </c:pt>
                <c:pt idx="3">
                  <c:v>0.06</c:v>
                </c:pt>
                <c:pt idx="4">
                  <c:v>0.08</c:v>
                </c:pt>
                <c:pt idx="5">
                  <c:v>0.12</c:v>
                </c:pt>
              </c:numCache>
            </c:numRef>
          </c:xVal>
          <c:yVal>
            <c:numRef>
              <c:f>Parameters_Results!$C$223:$C$228</c:f>
              <c:numCache>
                <c:formatCode>General</c:formatCode>
                <c:ptCount val="6"/>
                <c:pt idx="0">
                  <c:v>12263.22089224205</c:v>
                </c:pt>
                <c:pt idx="1">
                  <c:v>10037.901558583113</c:v>
                </c:pt>
                <c:pt idx="2">
                  <c:v>8201.9899285060364</c:v>
                </c:pt>
                <c:pt idx="3">
                  <c:v>4362.510555892798</c:v>
                </c:pt>
                <c:pt idx="4">
                  <c:v>2736.8469367894913</c:v>
                </c:pt>
                <c:pt idx="5">
                  <c:v>750.36374968716154</c:v>
                </c:pt>
              </c:numCache>
            </c:numRef>
          </c:yVal>
          <c:smooth val="1"/>
          <c:extLst>
            <c:ext xmlns:c16="http://schemas.microsoft.com/office/drawing/2014/chart" uri="{C3380CC4-5D6E-409C-BE32-E72D297353CC}">
              <c16:uniqueId val="{00000000-149A-4A21-8967-06D87BEEBF6D}"/>
            </c:ext>
          </c:extLst>
        </c:ser>
        <c:dLbls>
          <c:showLegendKey val="0"/>
          <c:showVal val="0"/>
          <c:showCatName val="0"/>
          <c:showSerName val="0"/>
          <c:showPercent val="0"/>
          <c:showBubbleSize val="0"/>
        </c:dLbls>
        <c:axId val="174845232"/>
        <c:axId val="174830352"/>
      </c:scatterChart>
      <c:valAx>
        <c:axId val="174845232"/>
        <c:scaling>
          <c:orientation val="minMax"/>
        </c:scaling>
        <c:delete val="0"/>
        <c:axPos val="b"/>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4830352"/>
        <c:crosses val="autoZero"/>
        <c:crossBetween val="midCat"/>
      </c:valAx>
      <c:valAx>
        <c:axId val="174830352"/>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Project NPV</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484523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Sensitivity</a:t>
            </a:r>
            <a:r>
              <a:rPr lang="en-US" baseline="0"/>
              <a:t> Analysis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Parameters_Results!$F$208:$F$216</c:f>
              <c:strCache>
                <c:ptCount val="9"/>
                <c:pt idx="0">
                  <c:v>Quantity</c:v>
                </c:pt>
                <c:pt idx="1">
                  <c:v>Price</c:v>
                </c:pt>
                <c:pt idx="2">
                  <c:v>Costs</c:v>
                </c:pt>
                <c:pt idx="3">
                  <c:v>Magnitude of extreme event impacts (floods)</c:v>
                </c:pt>
                <c:pt idx="4">
                  <c:v>Change in extreme event frequency  (floods)</c:v>
                </c:pt>
                <c:pt idx="5">
                  <c:v>Magnitude of extreme event impacts (landslides)</c:v>
                </c:pt>
                <c:pt idx="6">
                  <c:v>Change in extreme event frequency  (landslides)</c:v>
                </c:pt>
                <c:pt idx="7">
                  <c:v>All climate impacts</c:v>
                </c:pt>
                <c:pt idx="8">
                  <c:v>Baseline scenario</c:v>
                </c:pt>
              </c:strCache>
            </c:strRef>
          </c:cat>
          <c:val>
            <c:numRef>
              <c:f>Parameters_Results!$G$208:$G$216</c:f>
              <c:numCache>
                <c:formatCode>General</c:formatCode>
                <c:ptCount val="9"/>
                <c:pt idx="0">
                  <c:v>261.77162529444286</c:v>
                </c:pt>
                <c:pt idx="1">
                  <c:v>0</c:v>
                </c:pt>
                <c:pt idx="2">
                  <c:v>0.98033704377121467</c:v>
                </c:pt>
                <c:pt idx="3">
                  <c:v>1219.4937829442279</c:v>
                </c:pt>
                <c:pt idx="4">
                  <c:v>1065.3263575848205</c:v>
                </c:pt>
                <c:pt idx="5">
                  <c:v>1230.265384742097</c:v>
                </c:pt>
                <c:pt idx="6">
                  <c:v>1341.5005901226041</c:v>
                </c:pt>
                <c:pt idx="7">
                  <c:v>4156.8344465862274</c:v>
                </c:pt>
                <c:pt idx="8">
                  <c:v>496.44978334812458</c:v>
                </c:pt>
              </c:numCache>
            </c:numRef>
          </c:val>
          <c:extLst>
            <c:ext xmlns:c16="http://schemas.microsoft.com/office/drawing/2014/chart" uri="{C3380CC4-5D6E-409C-BE32-E72D297353CC}">
              <c16:uniqueId val="{00000000-65EA-4804-BE86-1E7C82A7AB6D}"/>
            </c:ext>
          </c:extLst>
        </c:ser>
        <c:dLbls>
          <c:showLegendKey val="0"/>
          <c:showVal val="0"/>
          <c:showCatName val="0"/>
          <c:showSerName val="0"/>
          <c:showPercent val="0"/>
          <c:showBubbleSize val="0"/>
        </c:dLbls>
        <c:gapWidth val="219"/>
        <c:overlap val="-27"/>
        <c:axId val="867207007"/>
        <c:axId val="867785087"/>
      </c:barChart>
      <c:catAx>
        <c:axId val="867207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785087"/>
        <c:crosses val="autoZero"/>
        <c:auto val="1"/>
        <c:lblAlgn val="ctr"/>
        <c:lblOffset val="100"/>
        <c:noMultiLvlLbl val="0"/>
      </c:catAx>
      <c:valAx>
        <c:axId val="867785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2070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Baseline flow of costs and benefits (undiscounted)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'Baseline scenario'!$B$12:$C$12</c:f>
              <c:strCache>
                <c:ptCount val="2"/>
                <c:pt idx="0">
                  <c:v>Flow of costs </c:v>
                </c:pt>
                <c:pt idx="1">
                  <c:v>CAPEX</c:v>
                </c:pt>
              </c:strCache>
            </c:strRef>
          </c:tx>
          <c:spPr>
            <a:ln w="28575" cap="rnd">
              <a:solidFill>
                <a:schemeClr val="accent1"/>
              </a:solidFill>
              <a:round/>
            </a:ln>
            <a:effectLst/>
          </c:spPr>
          <c:marker>
            <c:symbol val="none"/>
          </c:marker>
          <c:cat>
            <c:numRef>
              <c:f>'Baseline scenario'!$D$11:$AC$11</c:f>
              <c:numCache>
                <c:formatCode>General</c:formatCode>
                <c:ptCount val="26"/>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numCache>
            </c:numRef>
          </c:cat>
          <c:val>
            <c:numRef>
              <c:f>'Baseline scenario'!$D$12:$AC$12</c:f>
              <c:numCache>
                <c:formatCode>General</c:formatCode>
                <c:ptCount val="26"/>
                <c:pt idx="0">
                  <c:v>0</c:v>
                </c:pt>
                <c:pt idx="1">
                  <c:v>933.08133600000008</c:v>
                </c:pt>
                <c:pt idx="2">
                  <c:v>974.26470400000005</c:v>
                </c:pt>
                <c:pt idx="3">
                  <c:v>1456.1167120000002</c:v>
                </c:pt>
                <c:pt idx="5">
                  <c:v>0</c:v>
                </c:pt>
                <c:pt idx="6">
                  <c:v>0</c:v>
                </c:pt>
                <c:pt idx="7">
                  <c:v>0</c:v>
                </c:pt>
                <c:pt idx="8">
                  <c:v>0</c:v>
                </c:pt>
                <c:pt idx="9">
                  <c:v>56.879999999999995</c:v>
                </c:pt>
                <c:pt idx="10">
                  <c:v>63.000449999999994</c:v>
                </c:pt>
                <c:pt idx="11">
                  <c:v>0</c:v>
                </c:pt>
                <c:pt idx="12">
                  <c:v>0</c:v>
                </c:pt>
                <c:pt idx="13">
                  <c:v>0</c:v>
                </c:pt>
                <c:pt idx="14">
                  <c:v>0</c:v>
                </c:pt>
                <c:pt idx="15">
                  <c:v>56.879999999999995</c:v>
                </c:pt>
                <c:pt idx="16">
                  <c:v>63.000449999999994</c:v>
                </c:pt>
                <c:pt idx="17">
                  <c:v>0</c:v>
                </c:pt>
                <c:pt idx="18">
                  <c:v>0</c:v>
                </c:pt>
                <c:pt idx="19">
                  <c:v>0</c:v>
                </c:pt>
                <c:pt idx="20">
                  <c:v>0</c:v>
                </c:pt>
                <c:pt idx="21">
                  <c:v>56.879999999999995</c:v>
                </c:pt>
                <c:pt idx="22">
                  <c:v>63.000449999999994</c:v>
                </c:pt>
                <c:pt idx="23">
                  <c:v>0</c:v>
                </c:pt>
                <c:pt idx="24">
                  <c:v>-748.65003200000001</c:v>
                </c:pt>
                <c:pt idx="25">
                  <c:v>0</c:v>
                </c:pt>
              </c:numCache>
            </c:numRef>
          </c:val>
          <c:smooth val="0"/>
          <c:extLst>
            <c:ext xmlns:c16="http://schemas.microsoft.com/office/drawing/2014/chart" uri="{C3380CC4-5D6E-409C-BE32-E72D297353CC}">
              <c16:uniqueId val="{00000000-D9D9-4E71-8C27-53BFF1C21609}"/>
            </c:ext>
          </c:extLst>
        </c:ser>
        <c:ser>
          <c:idx val="1"/>
          <c:order val="1"/>
          <c:tx>
            <c:strRef>
              <c:f>'Baseline scenario'!$B$13:$C$13</c:f>
              <c:strCache>
                <c:ptCount val="2"/>
                <c:pt idx="0">
                  <c:v>Flow of costs </c:v>
                </c:pt>
                <c:pt idx="1">
                  <c:v>OPEX With Project</c:v>
                </c:pt>
              </c:strCache>
            </c:strRef>
          </c:tx>
          <c:spPr>
            <a:ln w="28575" cap="rnd">
              <a:solidFill>
                <a:schemeClr val="accent2"/>
              </a:solidFill>
              <a:round/>
            </a:ln>
            <a:effectLst/>
          </c:spPr>
          <c:marker>
            <c:symbol val="none"/>
          </c:marker>
          <c:cat>
            <c:numRef>
              <c:f>'Baseline scenario'!$D$11:$AC$11</c:f>
              <c:numCache>
                <c:formatCode>General</c:formatCode>
                <c:ptCount val="26"/>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numCache>
            </c:numRef>
          </c:cat>
          <c:val>
            <c:numRef>
              <c:f>'Baseline scenario'!$D$13:$AC$13</c:f>
              <c:numCache>
                <c:formatCode>General</c:formatCode>
                <c:ptCount val="26"/>
                <c:pt idx="0">
                  <c:v>0.14417977000000001</c:v>
                </c:pt>
                <c:pt idx="1">
                  <c:v>0</c:v>
                </c:pt>
                <c:pt idx="2">
                  <c:v>0</c:v>
                </c:pt>
                <c:pt idx="3">
                  <c:v>59.151551999999995</c:v>
                </c:pt>
                <c:pt idx="4">
                  <c:v>50.619564999999994</c:v>
                </c:pt>
                <c:pt idx="5">
                  <c:v>0</c:v>
                </c:pt>
                <c:pt idx="6">
                  <c:v>0</c:v>
                </c:pt>
                <c:pt idx="7">
                  <c:v>0</c:v>
                </c:pt>
                <c:pt idx="8">
                  <c:v>0</c:v>
                </c:pt>
                <c:pt idx="9">
                  <c:v>0.15310362</c:v>
                </c:pt>
                <c:pt idx="10">
                  <c:v>7.6551809999999998E-2</c:v>
                </c:pt>
                <c:pt idx="11">
                  <c:v>0</c:v>
                </c:pt>
                <c:pt idx="12">
                  <c:v>0</c:v>
                </c:pt>
                <c:pt idx="13">
                  <c:v>0</c:v>
                </c:pt>
                <c:pt idx="14">
                  <c:v>0</c:v>
                </c:pt>
                <c:pt idx="15">
                  <c:v>3.7772799999999995E-2</c:v>
                </c:pt>
                <c:pt idx="16">
                  <c:v>1.7833889999999998E-2</c:v>
                </c:pt>
                <c:pt idx="17">
                  <c:v>0</c:v>
                </c:pt>
                <c:pt idx="18">
                  <c:v>0</c:v>
                </c:pt>
                <c:pt idx="19">
                  <c:v>0</c:v>
                </c:pt>
                <c:pt idx="20">
                  <c:v>0</c:v>
                </c:pt>
                <c:pt idx="21">
                  <c:v>5.590701E-2</c:v>
                </c:pt>
                <c:pt idx="22">
                  <c:v>1.7833889999999998E-2</c:v>
                </c:pt>
                <c:pt idx="23">
                  <c:v>0</c:v>
                </c:pt>
                <c:pt idx="24">
                  <c:v>0</c:v>
                </c:pt>
              </c:numCache>
            </c:numRef>
          </c:val>
          <c:smooth val="0"/>
          <c:extLst>
            <c:ext xmlns:c16="http://schemas.microsoft.com/office/drawing/2014/chart" uri="{C3380CC4-5D6E-409C-BE32-E72D297353CC}">
              <c16:uniqueId val="{00000001-D9D9-4E71-8C27-53BFF1C21609}"/>
            </c:ext>
          </c:extLst>
        </c:ser>
        <c:ser>
          <c:idx val="3"/>
          <c:order val="2"/>
          <c:tx>
            <c:v>Benefits. Optimistic case</c:v>
          </c:tx>
          <c:spPr>
            <a:ln w="28575" cap="rnd">
              <a:solidFill>
                <a:schemeClr val="accent4"/>
              </a:solidFill>
              <a:round/>
            </a:ln>
            <a:effectLst/>
          </c:spPr>
          <c:marker>
            <c:symbol val="none"/>
          </c:marker>
          <c:cat>
            <c:numRef>
              <c:f>'Baseline scenario'!$D$11:$AC$11</c:f>
              <c:numCache>
                <c:formatCode>General</c:formatCode>
                <c:ptCount val="26"/>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numCache>
            </c:numRef>
          </c:cat>
          <c:val>
            <c:numRef>
              <c:f>'Baseline scenario'!$D$15:$AC$15</c:f>
              <c:numCache>
                <c:formatCode>General</c:formatCode>
                <c:ptCount val="26"/>
                <c:pt idx="0">
                  <c:v>-4812.6769661812723</c:v>
                </c:pt>
                <c:pt idx="1">
                  <c:v>-5084.3337385832438</c:v>
                </c:pt>
                <c:pt idx="2">
                  <c:v>-5355.3384280050832</c:v>
                </c:pt>
                <c:pt idx="3">
                  <c:v>-5703.8607742947988</c:v>
                </c:pt>
                <c:pt idx="4">
                  <c:v>-5705.4901251743613</c:v>
                </c:pt>
                <c:pt idx="5">
                  <c:v>-5663.7252160190983</c:v>
                </c:pt>
                <c:pt idx="6">
                  <c:v>-5981.7856957704353</c:v>
                </c:pt>
                <c:pt idx="7">
                  <c:v>-6327.7309395449884</c:v>
                </c:pt>
                <c:pt idx="8">
                  <c:v>-7389.7455345817061</c:v>
                </c:pt>
                <c:pt idx="9">
                  <c:v>-7821.9257577450117</c:v>
                </c:pt>
                <c:pt idx="10">
                  <c:v>-8249.5771394634976</c:v>
                </c:pt>
                <c:pt idx="11">
                  <c:v>-8700.0565985113553</c:v>
                </c:pt>
                <c:pt idx="12">
                  <c:v>-9179.3778106358623</c:v>
                </c:pt>
                <c:pt idx="13">
                  <c:v>-9697.0593244885567</c:v>
                </c:pt>
                <c:pt idx="14">
                  <c:v>-10250.926160580213</c:v>
                </c:pt>
                <c:pt idx="15">
                  <c:v>-10856.02662722177</c:v>
                </c:pt>
                <c:pt idx="16">
                  <c:v>-11519.962858953229</c:v>
                </c:pt>
                <c:pt idx="17">
                  <c:v>-12231.389819629669</c:v>
                </c:pt>
                <c:pt idx="18">
                  <c:v>-13004.663699846136</c:v>
                </c:pt>
                <c:pt idx="19">
                  <c:v>-13874.045323059003</c:v>
                </c:pt>
                <c:pt idx="20">
                  <c:v>-14815.760586733337</c:v>
                </c:pt>
                <c:pt idx="21">
                  <c:v>-15829.457192492173</c:v>
                </c:pt>
                <c:pt idx="22">
                  <c:v>-16931.29741971425</c:v>
                </c:pt>
                <c:pt idx="23">
                  <c:v>-18037.805983799484</c:v>
                </c:pt>
                <c:pt idx="24">
                  <c:v>-19287.443373028149</c:v>
                </c:pt>
              </c:numCache>
            </c:numRef>
          </c:val>
          <c:smooth val="0"/>
          <c:extLst>
            <c:ext xmlns:c16="http://schemas.microsoft.com/office/drawing/2014/chart" uri="{C3380CC4-5D6E-409C-BE32-E72D297353CC}">
              <c16:uniqueId val="{00000002-D9D9-4E71-8C27-53BFF1C21609}"/>
            </c:ext>
          </c:extLst>
        </c:ser>
        <c:ser>
          <c:idx val="2"/>
          <c:order val="3"/>
          <c:tx>
            <c:v>Benefits. Pessimistic case</c:v>
          </c:tx>
          <c:spPr>
            <a:ln w="28575" cap="rnd">
              <a:solidFill>
                <a:schemeClr val="accent3"/>
              </a:solidFill>
              <a:round/>
            </a:ln>
            <a:effectLst/>
          </c:spPr>
          <c:marker>
            <c:symbol val="none"/>
          </c:marker>
          <c:cat>
            <c:numRef>
              <c:f>'Baseline scenario'!$D$11:$AC$11</c:f>
              <c:numCache>
                <c:formatCode>General</c:formatCode>
                <c:ptCount val="26"/>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numCache>
            </c:numRef>
          </c:cat>
          <c:val>
            <c:numRef>
              <c:f>'Baseline scenario'!$D$34:$AC$34</c:f>
              <c:numCache>
                <c:formatCode>General</c:formatCode>
                <c:ptCount val="26"/>
                <c:pt idx="0">
                  <c:v>-4812.6769661812723</c:v>
                </c:pt>
                <c:pt idx="1">
                  <c:v>-5084.3337385832438</c:v>
                </c:pt>
                <c:pt idx="2">
                  <c:v>-5355.3384280050832</c:v>
                </c:pt>
                <c:pt idx="3">
                  <c:v>-5703.8607742947988</c:v>
                </c:pt>
                <c:pt idx="4">
                  <c:v>-5705.4901251743613</c:v>
                </c:pt>
                <c:pt idx="5">
                  <c:v>-5663.7252160190983</c:v>
                </c:pt>
                <c:pt idx="6">
                  <c:v>-5981.7856957704353</c:v>
                </c:pt>
                <c:pt idx="7">
                  <c:v>-6327.7309395449884</c:v>
                </c:pt>
                <c:pt idx="8">
                  <c:v>-7389.7455345817061</c:v>
                </c:pt>
                <c:pt idx="9">
                  <c:v>-7821.9257577450117</c:v>
                </c:pt>
                <c:pt idx="10">
                  <c:v>-8249.5771394634976</c:v>
                </c:pt>
                <c:pt idx="11">
                  <c:v>-8700.0565985113553</c:v>
                </c:pt>
                <c:pt idx="12">
                  <c:v>-9179.3778106358623</c:v>
                </c:pt>
                <c:pt idx="13">
                  <c:v>-9697.0593244885567</c:v>
                </c:pt>
                <c:pt idx="14">
                  <c:v>-10250.926160580213</c:v>
                </c:pt>
                <c:pt idx="15">
                  <c:v>-10856.02662722177</c:v>
                </c:pt>
                <c:pt idx="16">
                  <c:v>-11519.962858953229</c:v>
                </c:pt>
                <c:pt idx="17">
                  <c:v>-12231.389819629669</c:v>
                </c:pt>
                <c:pt idx="18">
                  <c:v>-13004.663699846136</c:v>
                </c:pt>
                <c:pt idx="19">
                  <c:v>-13874.045323059003</c:v>
                </c:pt>
                <c:pt idx="20">
                  <c:v>-14815.760586733337</c:v>
                </c:pt>
                <c:pt idx="21">
                  <c:v>-15829.457192492173</c:v>
                </c:pt>
                <c:pt idx="22">
                  <c:v>-16931.29741971425</c:v>
                </c:pt>
                <c:pt idx="23">
                  <c:v>-18037.805983799484</c:v>
                </c:pt>
                <c:pt idx="24">
                  <c:v>-19287.443373028149</c:v>
                </c:pt>
              </c:numCache>
            </c:numRef>
          </c:val>
          <c:smooth val="0"/>
          <c:extLst>
            <c:ext xmlns:c16="http://schemas.microsoft.com/office/drawing/2014/chart" uri="{C3380CC4-5D6E-409C-BE32-E72D297353CC}">
              <c16:uniqueId val="{00000003-D9D9-4E71-8C27-53BFF1C21609}"/>
            </c:ext>
          </c:extLst>
        </c:ser>
        <c:dLbls>
          <c:showLegendKey val="0"/>
          <c:showVal val="0"/>
          <c:showCatName val="0"/>
          <c:showSerName val="0"/>
          <c:showPercent val="0"/>
          <c:showBubbleSize val="0"/>
        </c:dLbls>
        <c:smooth val="0"/>
        <c:axId val="183428672"/>
        <c:axId val="183410944"/>
      </c:lineChart>
      <c:catAx>
        <c:axId val="183428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10944"/>
        <c:crosses val="autoZero"/>
        <c:auto val="1"/>
        <c:lblAlgn val="ctr"/>
        <c:lblOffset val="100"/>
        <c:noMultiLvlLbl val="0"/>
      </c:catAx>
      <c:valAx>
        <c:axId val="183410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286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'Extrapolation disasters'!$B$69</c:f>
              <c:strCache>
                <c:ptCount val="1"/>
                <c:pt idx="0">
                  <c:v>ExpectedShockServiceLoss: Expected impact on quantity produced with project (% of yearly output)</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'Extrapolation disasters'!$D$38:$AB$38</c:f>
              <c:numCache>
                <c:formatCode>General</c:formatCode>
                <c:ptCount val="25"/>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numCache>
            </c:numRef>
          </c:xVal>
          <c:yVal>
            <c:numRef>
              <c:f>'Extrapolation disasters'!$D$69:$AB$69</c:f>
              <c:numCache>
                <c:formatCode>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yVal>
          <c:smooth val="0"/>
          <c:extLst>
            <c:ext xmlns:c16="http://schemas.microsoft.com/office/drawing/2014/chart" uri="{C3380CC4-5D6E-409C-BE32-E72D297353CC}">
              <c16:uniqueId val="{00000000-F578-704A-A0C9-F2DF11114C05}"/>
            </c:ext>
          </c:extLst>
        </c:ser>
        <c:dLbls>
          <c:showLegendKey val="0"/>
          <c:showVal val="0"/>
          <c:showCatName val="0"/>
          <c:showSerName val="0"/>
          <c:showPercent val="0"/>
          <c:showBubbleSize val="0"/>
        </c:dLbls>
        <c:axId val="164875264"/>
        <c:axId val="164868080"/>
      </c:scatterChart>
      <c:valAx>
        <c:axId val="1648752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68080"/>
        <c:crosses val="autoZero"/>
        <c:crossBetween val="midCat"/>
      </c:valAx>
      <c:valAx>
        <c:axId val="1648680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7526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Expected repairs</a:t>
            </a:r>
            <a:r>
              <a:rPr lang="en-US" baseline="0"/>
              <a:t> and out-of-system impacts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0"/>
          <c:tx>
            <c:strRef>
              <c:f>'Extrapolation disasters'!$AD$71</c:f>
              <c:strCache>
                <c:ptCount val="1"/>
                <c:pt idx="0">
                  <c:v>ExpectedShockRepair: Expected repair/Reconstruction cost (CAPEX)</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'Extrapolation disasters'!$AE$38:$BD$38</c:f>
              <c:numCache>
                <c:formatCode>General</c:formatCode>
                <c:ptCount val="26"/>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numCache>
            </c:numRef>
          </c:xVal>
          <c:yVal>
            <c:numRef>
              <c:f>'Extrapolation disasters'!$AE$71:$BD$71</c:f>
              <c:numCache>
                <c:formatCode>General</c:formatCode>
                <c:ptCount val="26"/>
                <c:pt idx="1">
                  <c:v>58.091087987100025</c:v>
                </c:pt>
                <c:pt idx="2">
                  <c:v>64.545653319000024</c:v>
                </c:pt>
                <c:pt idx="3">
                  <c:v>71.000218650900024</c:v>
                </c:pt>
                <c:pt idx="4">
                  <c:v>77.454783982800024</c:v>
                </c:pt>
                <c:pt idx="5">
                  <c:v>83.909349314700037</c:v>
                </c:pt>
                <c:pt idx="6">
                  <c:v>90.363914646600023</c:v>
                </c:pt>
                <c:pt idx="7">
                  <c:v>96.818479978500022</c:v>
                </c:pt>
                <c:pt idx="8">
                  <c:v>103.27304531040005</c:v>
                </c:pt>
                <c:pt idx="9">
                  <c:v>109.72761064230005</c:v>
                </c:pt>
                <c:pt idx="10">
                  <c:v>116.18217597420002</c:v>
                </c:pt>
                <c:pt idx="11">
                  <c:v>129.09130663800005</c:v>
                </c:pt>
                <c:pt idx="12">
                  <c:v>129.09130663800005</c:v>
                </c:pt>
                <c:pt idx="13">
                  <c:v>129.09130663800005</c:v>
                </c:pt>
                <c:pt idx="14">
                  <c:v>129.09130663800005</c:v>
                </c:pt>
                <c:pt idx="15">
                  <c:v>129.09130663800005</c:v>
                </c:pt>
                <c:pt idx="16">
                  <c:v>129.09130663800005</c:v>
                </c:pt>
                <c:pt idx="17">
                  <c:v>129.09130663800005</c:v>
                </c:pt>
                <c:pt idx="18">
                  <c:v>129.09130663800005</c:v>
                </c:pt>
                <c:pt idx="19">
                  <c:v>129.09130663800005</c:v>
                </c:pt>
                <c:pt idx="20">
                  <c:v>129.09130663800005</c:v>
                </c:pt>
                <c:pt idx="21">
                  <c:v>129.09130663800005</c:v>
                </c:pt>
                <c:pt idx="22">
                  <c:v>129.09130663800005</c:v>
                </c:pt>
                <c:pt idx="23">
                  <c:v>129.09130663800005</c:v>
                </c:pt>
                <c:pt idx="24">
                  <c:v>129.09130663800005</c:v>
                </c:pt>
                <c:pt idx="25">
                  <c:v>129.09130663800005</c:v>
                </c:pt>
              </c:numCache>
            </c:numRef>
          </c:yVal>
          <c:smooth val="0"/>
          <c:extLst>
            <c:ext xmlns:c16="http://schemas.microsoft.com/office/drawing/2014/chart" uri="{C3380CC4-5D6E-409C-BE32-E72D297353CC}">
              <c16:uniqueId val="{00000000-982F-E84F-AB3E-9861783718F2}"/>
            </c:ext>
          </c:extLst>
        </c:ser>
        <c:ser>
          <c:idx val="2"/>
          <c:order val="1"/>
          <c:tx>
            <c:strRef>
              <c:f>'Extrapolation disasters'!$AD$72</c:f>
              <c:strCache>
                <c:ptCount val="1"/>
                <c:pt idx="0">
                  <c:v>ExpectedShockOutofSystemLoss: Expected additional out-of-system impacts </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'Extrapolation disasters'!$AE$38:$BD$38</c:f>
              <c:numCache>
                <c:formatCode>General</c:formatCode>
                <c:ptCount val="26"/>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numCache>
            </c:numRef>
          </c:xVal>
          <c:yVal>
            <c:numRef>
              <c:f>'Extrapolation disasters'!$AE$72:$BD$72</c:f>
              <c:numCache>
                <c:formatCode>General</c:formatCode>
                <c:ptCount val="26"/>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yVal>
          <c:smooth val="0"/>
          <c:extLst>
            <c:ext xmlns:c16="http://schemas.microsoft.com/office/drawing/2014/chart" uri="{C3380CC4-5D6E-409C-BE32-E72D297353CC}">
              <c16:uniqueId val="{00000001-982F-E84F-AB3E-9861783718F2}"/>
            </c:ext>
          </c:extLst>
        </c:ser>
        <c:dLbls>
          <c:showLegendKey val="0"/>
          <c:showVal val="0"/>
          <c:showCatName val="0"/>
          <c:showSerName val="0"/>
          <c:showPercent val="0"/>
          <c:showBubbleSize val="0"/>
        </c:dLbls>
        <c:axId val="138097632"/>
        <c:axId val="138099680"/>
      </c:scatterChart>
      <c:valAx>
        <c:axId val="1380976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99680"/>
        <c:crosses val="autoZero"/>
        <c:crossBetween val="midCat"/>
      </c:valAx>
      <c:valAx>
        <c:axId val="138099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9763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'Extrapolation disasters'!$AD$69</c:f>
              <c:strCache>
                <c:ptCount val="1"/>
                <c:pt idx="0">
                  <c:v>ExpectedShockServiceLoss: Expected impact on quantity produced (% of yearly output)</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'Extrapolation disasters'!$AF$38:$BD$38</c:f>
              <c:numCache>
                <c:formatCode>General</c:formatCode>
                <c:ptCount val="25"/>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numCache>
            </c:numRef>
          </c:xVal>
          <c:yVal>
            <c:numRef>
              <c:f>'Extrapolation disasters'!$AF$69:$BD$69</c:f>
              <c:numCache>
                <c:formatCode>0%</c:formatCode>
                <c:ptCount val="25"/>
                <c:pt idx="0">
                  <c:v>-4.1589616438355854E-2</c:v>
                </c:pt>
                <c:pt idx="1">
                  <c:v>-4.6210684931506492E-2</c:v>
                </c:pt>
                <c:pt idx="2">
                  <c:v>-5.0831753424657143E-2</c:v>
                </c:pt>
                <c:pt idx="3">
                  <c:v>-5.5452821917807794E-2</c:v>
                </c:pt>
                <c:pt idx="4">
                  <c:v>-6.0073890410958439E-2</c:v>
                </c:pt>
                <c:pt idx="5">
                  <c:v>-6.469495890410909E-2</c:v>
                </c:pt>
                <c:pt idx="6">
                  <c:v>-6.9316027397259741E-2</c:v>
                </c:pt>
                <c:pt idx="7">
                  <c:v>-7.3937095890410393E-2</c:v>
                </c:pt>
                <c:pt idx="8">
                  <c:v>-7.8558164383561044E-2</c:v>
                </c:pt>
                <c:pt idx="9">
                  <c:v>-8.3179232876711681E-2</c:v>
                </c:pt>
                <c:pt idx="10">
                  <c:v>-9.2421369863012984E-2</c:v>
                </c:pt>
                <c:pt idx="11">
                  <c:v>-9.2421369863012984E-2</c:v>
                </c:pt>
                <c:pt idx="12">
                  <c:v>-9.2421369863012984E-2</c:v>
                </c:pt>
                <c:pt idx="13">
                  <c:v>-9.2421369863012984E-2</c:v>
                </c:pt>
                <c:pt idx="14">
                  <c:v>-9.2421369863012984E-2</c:v>
                </c:pt>
                <c:pt idx="15">
                  <c:v>-9.2421369863012984E-2</c:v>
                </c:pt>
                <c:pt idx="16">
                  <c:v>-9.2421369863012984E-2</c:v>
                </c:pt>
                <c:pt idx="17">
                  <c:v>-9.2421369863012984E-2</c:v>
                </c:pt>
                <c:pt idx="18">
                  <c:v>-9.2421369863012984E-2</c:v>
                </c:pt>
                <c:pt idx="19">
                  <c:v>-9.2421369863012984E-2</c:v>
                </c:pt>
                <c:pt idx="20">
                  <c:v>-9.2421369863012984E-2</c:v>
                </c:pt>
                <c:pt idx="21">
                  <c:v>-9.2421369863012984E-2</c:v>
                </c:pt>
                <c:pt idx="22">
                  <c:v>-9.2421369863012984E-2</c:v>
                </c:pt>
                <c:pt idx="23">
                  <c:v>-9.2421369863012984E-2</c:v>
                </c:pt>
                <c:pt idx="24">
                  <c:v>-9.2421369863012984E-2</c:v>
                </c:pt>
              </c:numCache>
            </c:numRef>
          </c:yVal>
          <c:smooth val="0"/>
          <c:extLst>
            <c:ext xmlns:c16="http://schemas.microsoft.com/office/drawing/2014/chart" uri="{C3380CC4-5D6E-409C-BE32-E72D297353CC}">
              <c16:uniqueId val="{00000000-C66C-1045-ACEF-E52E6B495D3B}"/>
            </c:ext>
          </c:extLst>
        </c:ser>
        <c:dLbls>
          <c:showLegendKey val="0"/>
          <c:showVal val="0"/>
          <c:showCatName val="0"/>
          <c:showSerName val="0"/>
          <c:showPercent val="0"/>
          <c:showBubbleSize val="0"/>
        </c:dLbls>
        <c:axId val="138055344"/>
        <c:axId val="138057392"/>
      </c:scatterChart>
      <c:valAx>
        <c:axId val="1380553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57392"/>
        <c:crosses val="autoZero"/>
        <c:crossBetween val="midCat"/>
      </c:valAx>
      <c:valAx>
        <c:axId val="138057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5534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'Extrapolation disasters'!$BF$69</c:f>
              <c:strCache>
                <c:ptCount val="1"/>
                <c:pt idx="0">
                  <c:v>ExpectedShockServiceLoss: Expected impact on quantity produced (% of yearly output)</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'Extrapolation disasters'!$BH$38:$CF$38</c:f>
              <c:numCache>
                <c:formatCode>General</c:formatCode>
                <c:ptCount val="25"/>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numCache>
            </c:numRef>
          </c:xVal>
          <c:yVal>
            <c:numRef>
              <c:f>'Extrapolation disasters'!$BH$69:$CF$69</c:f>
              <c:numCache>
                <c:formatCode>0%</c:formatCode>
                <c:ptCount val="25"/>
                <c:pt idx="0">
                  <c:v>-6.207041095890424E-2</c:v>
                </c:pt>
                <c:pt idx="1">
                  <c:v>-6.9001643835616591E-2</c:v>
                </c:pt>
                <c:pt idx="2">
                  <c:v>-7.5932876712328914E-2</c:v>
                </c:pt>
                <c:pt idx="3">
                  <c:v>-8.2864109589041279E-2</c:v>
                </c:pt>
                <c:pt idx="4">
                  <c:v>-8.9795342465753603E-2</c:v>
                </c:pt>
                <c:pt idx="5">
                  <c:v>-9.6726575342465954E-2</c:v>
                </c:pt>
                <c:pt idx="6">
                  <c:v>-0.10365780821917829</c:v>
                </c:pt>
                <c:pt idx="7">
                  <c:v>-0.11058904109589066</c:v>
                </c:pt>
                <c:pt idx="8">
                  <c:v>-0.11752027397260301</c:v>
                </c:pt>
                <c:pt idx="9">
                  <c:v>-0.1244515068493153</c:v>
                </c:pt>
                <c:pt idx="10">
                  <c:v>-0.13862465753424688</c:v>
                </c:pt>
                <c:pt idx="11">
                  <c:v>-0.13862465753424688</c:v>
                </c:pt>
                <c:pt idx="12">
                  <c:v>-0.13862465753424688</c:v>
                </c:pt>
                <c:pt idx="13">
                  <c:v>-0.13862465753424688</c:v>
                </c:pt>
                <c:pt idx="14">
                  <c:v>-0.13862465753424688</c:v>
                </c:pt>
                <c:pt idx="15">
                  <c:v>-0.13862465753424688</c:v>
                </c:pt>
                <c:pt idx="16">
                  <c:v>-0.13862465753424688</c:v>
                </c:pt>
                <c:pt idx="17">
                  <c:v>-0.13862465753424688</c:v>
                </c:pt>
                <c:pt idx="18">
                  <c:v>-0.13862465753424688</c:v>
                </c:pt>
                <c:pt idx="19">
                  <c:v>-0.13862465753424688</c:v>
                </c:pt>
                <c:pt idx="20">
                  <c:v>-0.13862465753424688</c:v>
                </c:pt>
                <c:pt idx="21">
                  <c:v>-0.13862465753424688</c:v>
                </c:pt>
                <c:pt idx="22">
                  <c:v>-0.13862465753424688</c:v>
                </c:pt>
                <c:pt idx="23">
                  <c:v>-0.13862465753424688</c:v>
                </c:pt>
                <c:pt idx="24">
                  <c:v>-0.13862465753424688</c:v>
                </c:pt>
              </c:numCache>
            </c:numRef>
          </c:yVal>
          <c:smooth val="0"/>
          <c:extLst>
            <c:ext xmlns:c16="http://schemas.microsoft.com/office/drawing/2014/chart" uri="{C3380CC4-5D6E-409C-BE32-E72D297353CC}">
              <c16:uniqueId val="{00000000-8A56-F146-9B96-8D1450CC7DB4}"/>
            </c:ext>
          </c:extLst>
        </c:ser>
        <c:dLbls>
          <c:showLegendKey val="0"/>
          <c:showVal val="0"/>
          <c:showCatName val="0"/>
          <c:showSerName val="0"/>
          <c:showPercent val="0"/>
          <c:showBubbleSize val="0"/>
        </c:dLbls>
        <c:axId val="138007088"/>
        <c:axId val="138009136"/>
      </c:scatterChart>
      <c:valAx>
        <c:axId val="1380070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09136"/>
        <c:crosses val="autoZero"/>
        <c:crossBetween val="midCat"/>
      </c:valAx>
      <c:valAx>
        <c:axId val="1380091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070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Expected repairs</a:t>
            </a:r>
            <a:r>
              <a:rPr lang="en-US" baseline="0"/>
              <a:t> and out-of-system impacts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0"/>
          <c:tx>
            <c:strRef>
              <c:f>'Extrapolation disasters'!$B$71</c:f>
              <c:strCache>
                <c:ptCount val="1"/>
                <c:pt idx="0">
                  <c:v>ExpectedShockRepair: Expected repair/Reconstruction cost (CAPEX)</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'Extrapolation disasters'!$C$38:$AB$38</c:f>
              <c:numCache>
                <c:formatCode>General</c:formatCode>
                <c:ptCount val="26"/>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numCache>
            </c:numRef>
          </c:xVal>
          <c:yVal>
            <c:numRef>
              <c:f>'Extrapolation disasters'!$C$71:$AB$71</c:f>
              <c:numCache>
                <c:formatCode>0.000</c:formatCode>
                <c:ptCount val="26"/>
                <c:pt idx="1">
                  <c:v>0</c:v>
                </c:pt>
                <c:pt idx="2" formatCode="General">
                  <c:v>0</c:v>
                </c:pt>
                <c:pt idx="3" formatCode="General">
                  <c:v>0</c:v>
                </c:pt>
                <c:pt idx="4" formatCode="General">
                  <c:v>0</c:v>
                </c:pt>
                <c:pt idx="5" formatCode="General">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0</c:v>
                </c:pt>
                <c:pt idx="19" formatCode="General">
                  <c:v>0</c:v>
                </c:pt>
                <c:pt idx="20" formatCode="General">
                  <c:v>0</c:v>
                </c:pt>
                <c:pt idx="21" formatCode="General">
                  <c:v>0</c:v>
                </c:pt>
                <c:pt idx="22" formatCode="General">
                  <c:v>0</c:v>
                </c:pt>
                <c:pt idx="23" formatCode="General">
                  <c:v>0</c:v>
                </c:pt>
                <c:pt idx="24" formatCode="General">
                  <c:v>0</c:v>
                </c:pt>
                <c:pt idx="25" formatCode="General">
                  <c:v>0</c:v>
                </c:pt>
              </c:numCache>
            </c:numRef>
          </c:yVal>
          <c:smooth val="0"/>
          <c:extLst>
            <c:ext xmlns:c16="http://schemas.microsoft.com/office/drawing/2014/chart" uri="{C3380CC4-5D6E-409C-BE32-E72D297353CC}">
              <c16:uniqueId val="{00000000-2153-EF46-B1DD-79779F41CCA2}"/>
            </c:ext>
          </c:extLst>
        </c:ser>
        <c:ser>
          <c:idx val="2"/>
          <c:order val="1"/>
          <c:tx>
            <c:strRef>
              <c:f>'Extrapolation disasters'!$B$72</c:f>
              <c:strCache>
                <c:ptCount val="1"/>
                <c:pt idx="0">
                  <c:v>ExpectedShockOutofSystemLoss: Expected additional out-of-system impacts </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'Extrapolation disasters'!$C$38:$AB$38</c:f>
              <c:numCache>
                <c:formatCode>General</c:formatCode>
                <c:ptCount val="26"/>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numCache>
            </c:numRef>
          </c:xVal>
          <c:yVal>
            <c:numRef>
              <c:f>'Extrapolation disasters'!$C$72:$AB$72</c:f>
              <c:numCache>
                <c:formatCode>General</c:formatCode>
                <c:ptCount val="26"/>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yVal>
          <c:smooth val="0"/>
          <c:extLst>
            <c:ext xmlns:c16="http://schemas.microsoft.com/office/drawing/2014/chart" uri="{C3380CC4-5D6E-409C-BE32-E72D297353CC}">
              <c16:uniqueId val="{00000001-2153-EF46-B1DD-79779F41CCA2}"/>
            </c:ext>
          </c:extLst>
        </c:ser>
        <c:dLbls>
          <c:showLegendKey val="0"/>
          <c:showVal val="0"/>
          <c:showCatName val="0"/>
          <c:showSerName val="0"/>
          <c:showPercent val="0"/>
          <c:showBubbleSize val="0"/>
        </c:dLbls>
        <c:axId val="137914720"/>
        <c:axId val="137898192"/>
      </c:scatterChart>
      <c:valAx>
        <c:axId val="1379147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98192"/>
        <c:crosses val="autoZero"/>
        <c:crossBetween val="midCat"/>
      </c:valAx>
      <c:valAx>
        <c:axId val="137898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91472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Expected repairs</a:t>
            </a:r>
            <a:r>
              <a:rPr lang="en-US" baseline="0"/>
              <a:t> and out-of-system impacts</a:t>
            </a:r>
            <a:endParaRPr lang="en-US"/>
          </a:p>
        </c:rich>
      </c:tx>
      <c:layout>
        <c:manualLayout>
          <c:xMode val="edge"/>
          <c:yMode val="edge"/>
          <c:x val="0.20115401030255101"/>
          <c:y val="0.11255694317794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0"/>
          <c:tx>
            <c:strRef>
              <c:f>'Extrapolation disasters'!$BF$71</c:f>
              <c:strCache>
                <c:ptCount val="1"/>
                <c:pt idx="0">
                  <c:v>ExpectedShockRepair: Expected repair/Reconstruction cost (CAPEX)</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'Extrapolation disasters'!$BG$38:$CF$38</c:f>
              <c:numCache>
                <c:formatCode>General</c:formatCode>
                <c:ptCount val="26"/>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numCache>
            </c:numRef>
          </c:xVal>
          <c:yVal>
            <c:numRef>
              <c:f>'Extrapolation disasters'!$BG$71:$CF$71</c:f>
              <c:numCache>
                <c:formatCode>0.000</c:formatCode>
                <c:ptCount val="26"/>
                <c:pt idx="1">
                  <c:v>58.92393512670003</c:v>
                </c:pt>
                <c:pt idx="2" formatCode="General">
                  <c:v>65.37850045860003</c:v>
                </c:pt>
                <c:pt idx="3" formatCode="General">
                  <c:v>71.833065790500029</c:v>
                </c:pt>
                <c:pt idx="4" formatCode="General">
                  <c:v>78.287631122400029</c:v>
                </c:pt>
                <c:pt idx="5" formatCode="General">
                  <c:v>84.742196454300029</c:v>
                </c:pt>
                <c:pt idx="6" formatCode="General">
                  <c:v>91.196761786200028</c:v>
                </c:pt>
                <c:pt idx="7" formatCode="General">
                  <c:v>97.651327118100028</c:v>
                </c:pt>
                <c:pt idx="8" formatCode="General">
                  <c:v>104.10589245000006</c:v>
                </c:pt>
                <c:pt idx="9" formatCode="General">
                  <c:v>110.56045778190006</c:v>
                </c:pt>
                <c:pt idx="10" formatCode="General">
                  <c:v>117.01502311380003</c:v>
                </c:pt>
                <c:pt idx="11" formatCode="General">
                  <c:v>129.09130663800005</c:v>
                </c:pt>
                <c:pt idx="12" formatCode="General">
                  <c:v>129.09130663800005</c:v>
                </c:pt>
                <c:pt idx="13" formatCode="General">
                  <c:v>129.09130663800005</c:v>
                </c:pt>
                <c:pt idx="14" formatCode="General">
                  <c:v>129.09130663800005</c:v>
                </c:pt>
                <c:pt idx="15" formatCode="General">
                  <c:v>129.09130663800005</c:v>
                </c:pt>
                <c:pt idx="16" formatCode="General">
                  <c:v>129.09130663800005</c:v>
                </c:pt>
                <c:pt idx="17" formatCode="General">
                  <c:v>129.09130663800005</c:v>
                </c:pt>
                <c:pt idx="18" formatCode="General">
                  <c:v>129.09130663800005</c:v>
                </c:pt>
                <c:pt idx="19" formatCode="General">
                  <c:v>129.09130663800005</c:v>
                </c:pt>
                <c:pt idx="20" formatCode="General">
                  <c:v>129.09130663800005</c:v>
                </c:pt>
                <c:pt idx="21" formatCode="General">
                  <c:v>129.09130663800005</c:v>
                </c:pt>
                <c:pt idx="22" formatCode="General">
                  <c:v>129.09130663800005</c:v>
                </c:pt>
                <c:pt idx="23" formatCode="General">
                  <c:v>129.09130663800005</c:v>
                </c:pt>
                <c:pt idx="24" formatCode="General">
                  <c:v>129.09130663800005</c:v>
                </c:pt>
                <c:pt idx="25" formatCode="General">
                  <c:v>129.09130663800005</c:v>
                </c:pt>
              </c:numCache>
            </c:numRef>
          </c:yVal>
          <c:smooth val="0"/>
          <c:extLst>
            <c:ext xmlns:c16="http://schemas.microsoft.com/office/drawing/2014/chart" uri="{C3380CC4-5D6E-409C-BE32-E72D297353CC}">
              <c16:uniqueId val="{00000000-656A-E548-872C-3EC76B03D838}"/>
            </c:ext>
          </c:extLst>
        </c:ser>
        <c:ser>
          <c:idx val="2"/>
          <c:order val="1"/>
          <c:tx>
            <c:strRef>
              <c:f>'Extrapolation disasters'!$BF$72</c:f>
              <c:strCache>
                <c:ptCount val="1"/>
                <c:pt idx="0">
                  <c:v>ExpectedShockOutofSystemLoss: Expected additional out-of-system impacts </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'Extrapolation disasters'!$BG$38:$CF$38</c:f>
              <c:numCache>
                <c:formatCode>General</c:formatCode>
                <c:ptCount val="26"/>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numCache>
            </c:numRef>
          </c:xVal>
          <c:yVal>
            <c:numRef>
              <c:f>'Extrapolation disasters'!$BG$72:$CF$72</c:f>
              <c:numCache>
                <c:formatCode>General</c:formatCode>
                <c:ptCount val="26"/>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yVal>
          <c:smooth val="0"/>
          <c:extLst>
            <c:ext xmlns:c16="http://schemas.microsoft.com/office/drawing/2014/chart" uri="{C3380CC4-5D6E-409C-BE32-E72D297353CC}">
              <c16:uniqueId val="{00000001-656A-E548-872C-3EC76B03D838}"/>
            </c:ext>
          </c:extLst>
        </c:ser>
        <c:dLbls>
          <c:showLegendKey val="0"/>
          <c:showVal val="0"/>
          <c:showCatName val="0"/>
          <c:showSerName val="0"/>
          <c:showPercent val="0"/>
          <c:showBubbleSize val="0"/>
        </c:dLbls>
        <c:axId val="137863408"/>
        <c:axId val="137865456"/>
      </c:scatterChart>
      <c:valAx>
        <c:axId val="1378634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65456"/>
        <c:crosses val="autoZero"/>
        <c:crossBetween val="midCat"/>
      </c:valAx>
      <c:valAx>
        <c:axId val="137865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6340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Changes</a:t>
            </a:r>
            <a:r>
              <a:rPr lang="en-US" baseline="0"/>
              <a:t> </a:t>
            </a:r>
            <a:r>
              <a:rPr lang="en-US"/>
              <a:t>in quantities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43880703723223E-2"/>
          <c:y val="0.10551168720858101"/>
          <c:w val="0.86344905792529603"/>
          <c:h val="0.75438382319737096"/>
        </c:manualLayout>
      </c:layout>
      <c:lineChart>
        <c:grouping val="standard"/>
        <c:varyColors val="0"/>
        <c:ser>
          <c:idx val="0"/>
          <c:order val="0"/>
          <c:tx>
            <c:strRef>
              <c:f>'Extrapolation average con.'!$A$16:$B$16</c:f>
              <c:strCache>
                <c:ptCount val="2"/>
                <c:pt idx="0">
                  <c:v>Expected change in quantity produced (e.g., corn yield)</c:v>
                </c:pt>
                <c:pt idx="1">
                  <c:v>User Costs With Project</c:v>
                </c:pt>
              </c:strCache>
            </c:strRef>
          </c:tx>
          <c:spPr>
            <a:ln w="28575" cap="rnd">
              <a:solidFill>
                <a:schemeClr val="accent1"/>
              </a:solidFill>
              <a:round/>
            </a:ln>
            <a:effectLst/>
          </c:spPr>
          <c:marker>
            <c:symbol val="none"/>
          </c:marker>
          <c:cat>
            <c:numRef>
              <c:f>'Extrapolation average con.'!$C$15:$CD$15</c:f>
              <c:numCache>
                <c:formatCode>General</c:formatCode>
                <c:ptCount val="80"/>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pt idx="42">
                  <c:v>2061</c:v>
                </c:pt>
                <c:pt idx="43">
                  <c:v>2062</c:v>
                </c:pt>
                <c:pt idx="44">
                  <c:v>2063</c:v>
                </c:pt>
                <c:pt idx="45">
                  <c:v>2064</c:v>
                </c:pt>
                <c:pt idx="46">
                  <c:v>2065</c:v>
                </c:pt>
                <c:pt idx="47">
                  <c:v>2066</c:v>
                </c:pt>
                <c:pt idx="48">
                  <c:v>2067</c:v>
                </c:pt>
                <c:pt idx="49">
                  <c:v>2068</c:v>
                </c:pt>
                <c:pt idx="50">
                  <c:v>2069</c:v>
                </c:pt>
                <c:pt idx="51">
                  <c:v>2070</c:v>
                </c:pt>
                <c:pt idx="52">
                  <c:v>2071</c:v>
                </c:pt>
                <c:pt idx="53">
                  <c:v>2072</c:v>
                </c:pt>
                <c:pt idx="54">
                  <c:v>2073</c:v>
                </c:pt>
                <c:pt idx="55">
                  <c:v>2074</c:v>
                </c:pt>
                <c:pt idx="56">
                  <c:v>2075</c:v>
                </c:pt>
                <c:pt idx="57">
                  <c:v>2076</c:v>
                </c:pt>
                <c:pt idx="58">
                  <c:v>2077</c:v>
                </c:pt>
                <c:pt idx="59">
                  <c:v>2078</c:v>
                </c:pt>
                <c:pt idx="60">
                  <c:v>2079</c:v>
                </c:pt>
                <c:pt idx="61">
                  <c:v>2080</c:v>
                </c:pt>
                <c:pt idx="62">
                  <c:v>2081</c:v>
                </c:pt>
                <c:pt idx="63">
                  <c:v>2082</c:v>
                </c:pt>
                <c:pt idx="64">
                  <c:v>2083</c:v>
                </c:pt>
                <c:pt idx="65">
                  <c:v>2084</c:v>
                </c:pt>
                <c:pt idx="66">
                  <c:v>2085</c:v>
                </c:pt>
                <c:pt idx="67">
                  <c:v>2086</c:v>
                </c:pt>
                <c:pt idx="68">
                  <c:v>2087</c:v>
                </c:pt>
                <c:pt idx="69">
                  <c:v>2088</c:v>
                </c:pt>
                <c:pt idx="70">
                  <c:v>2089</c:v>
                </c:pt>
                <c:pt idx="71">
                  <c:v>2090</c:v>
                </c:pt>
                <c:pt idx="72">
                  <c:v>2091</c:v>
                </c:pt>
                <c:pt idx="73">
                  <c:v>2092</c:v>
                </c:pt>
                <c:pt idx="74">
                  <c:v>2093</c:v>
                </c:pt>
                <c:pt idx="75">
                  <c:v>2094</c:v>
                </c:pt>
                <c:pt idx="76">
                  <c:v>2095</c:v>
                </c:pt>
                <c:pt idx="77">
                  <c:v>2096</c:v>
                </c:pt>
                <c:pt idx="78">
                  <c:v>2097</c:v>
                </c:pt>
                <c:pt idx="79">
                  <c:v>2098</c:v>
                </c:pt>
              </c:numCache>
            </c:numRef>
          </c:cat>
          <c:val>
            <c:numRef>
              <c:f>'Extrapolation average con.'!$C$16:$CD$16</c:f>
              <c:numCache>
                <c:formatCode>0.0%</c:formatCode>
                <c:ptCount val="80"/>
                <c:pt idx="0">
                  <c:v>-3.3333333333333332E-4</c:v>
                </c:pt>
                <c:pt idx="1">
                  <c:v>-6.6666666666666664E-4</c:v>
                </c:pt>
                <c:pt idx="2">
                  <c:v>-1E-3</c:v>
                </c:pt>
                <c:pt idx="3">
                  <c:v>-1.3333333333333333E-3</c:v>
                </c:pt>
                <c:pt idx="4">
                  <c:v>-1.6666666666666668E-3</c:v>
                </c:pt>
                <c:pt idx="5">
                  <c:v>-2E-3</c:v>
                </c:pt>
                <c:pt idx="6">
                  <c:v>-2.3333333333333335E-3</c:v>
                </c:pt>
                <c:pt idx="7">
                  <c:v>-2.6666666666666666E-3</c:v>
                </c:pt>
                <c:pt idx="8">
                  <c:v>-3.0000000000000005E-3</c:v>
                </c:pt>
                <c:pt idx="9">
                  <c:v>-3.3333333333333335E-3</c:v>
                </c:pt>
                <c:pt idx="10" formatCode="0.0000%">
                  <c:v>-3.1333333333333335E-3</c:v>
                </c:pt>
                <c:pt idx="11">
                  <c:v>-3.3333333333333335E-3</c:v>
                </c:pt>
                <c:pt idx="12">
                  <c:v>-3.5333333333333336E-3</c:v>
                </c:pt>
                <c:pt idx="13">
                  <c:v>-3.7333333333333337E-3</c:v>
                </c:pt>
                <c:pt idx="14">
                  <c:v>-3.9333333333333338E-3</c:v>
                </c:pt>
                <c:pt idx="15">
                  <c:v>-4.1333333333333335E-3</c:v>
                </c:pt>
                <c:pt idx="16">
                  <c:v>-4.3333333333333331E-3</c:v>
                </c:pt>
                <c:pt idx="17">
                  <c:v>-4.5333333333333337E-3</c:v>
                </c:pt>
                <c:pt idx="18">
                  <c:v>-4.7333333333333333E-3</c:v>
                </c:pt>
                <c:pt idx="19">
                  <c:v>-4.9333333333333338E-3</c:v>
                </c:pt>
                <c:pt idx="20">
                  <c:v>-5.1333333333333335E-3</c:v>
                </c:pt>
                <c:pt idx="21">
                  <c:v>-5.333333333333334E-3</c:v>
                </c:pt>
                <c:pt idx="22">
                  <c:v>-5.5333333333333328E-3</c:v>
                </c:pt>
                <c:pt idx="23">
                  <c:v>-5.7333333333333333E-3</c:v>
                </c:pt>
                <c:pt idx="24">
                  <c:v>-5.9333333333333339E-3</c:v>
                </c:pt>
                <c:pt idx="25">
                  <c:v>-6.1333333333333335E-3</c:v>
                </c:pt>
                <c:pt idx="26">
                  <c:v>-6.3333333333333332E-3</c:v>
                </c:pt>
                <c:pt idx="27">
                  <c:v>-6.5333333333333337E-3</c:v>
                </c:pt>
                <c:pt idx="28">
                  <c:v>-6.7333333333333342E-3</c:v>
                </c:pt>
                <c:pt idx="29">
                  <c:v>-6.9333333333333339E-3</c:v>
                </c:pt>
                <c:pt idx="30" formatCode="0.00%">
                  <c:v>-7.0933333333333343E-3</c:v>
                </c:pt>
                <c:pt idx="31" formatCode="0.00%">
                  <c:v>-6.9333333333333339E-3</c:v>
                </c:pt>
                <c:pt idx="32" formatCode="0.00%">
                  <c:v>-6.7733333333333335E-3</c:v>
                </c:pt>
                <c:pt idx="33" formatCode="0.00%">
                  <c:v>-6.6133333333333339E-3</c:v>
                </c:pt>
                <c:pt idx="34" formatCode="0.00%">
                  <c:v>-6.4533333333333335E-3</c:v>
                </c:pt>
                <c:pt idx="35" formatCode="0.00%">
                  <c:v>-6.2933333333333339E-3</c:v>
                </c:pt>
                <c:pt idx="36" formatCode="0.00%">
                  <c:v>-6.1333333333333335E-3</c:v>
                </c:pt>
                <c:pt idx="37" formatCode="0.00%">
                  <c:v>-5.973333333333334E-3</c:v>
                </c:pt>
                <c:pt idx="38" formatCode="0.00%">
                  <c:v>-5.8133333333333335E-3</c:v>
                </c:pt>
                <c:pt idx="39" formatCode="0.00%">
                  <c:v>-5.653333333333334E-3</c:v>
                </c:pt>
                <c:pt idx="40" formatCode="0.00%">
                  <c:v>-5.4933333333333336E-3</c:v>
                </c:pt>
                <c:pt idx="41" formatCode="0.00%">
                  <c:v>-5.333333333333334E-3</c:v>
                </c:pt>
                <c:pt idx="42" formatCode="0.00%">
                  <c:v>-5.1733333333333336E-3</c:v>
                </c:pt>
                <c:pt idx="43" formatCode="0.00%">
                  <c:v>-5.0133333333333341E-3</c:v>
                </c:pt>
                <c:pt idx="44" formatCode="0.00%">
                  <c:v>-4.8533333333333336E-3</c:v>
                </c:pt>
                <c:pt idx="45" formatCode="0.00%">
                  <c:v>-4.6933333333333341E-3</c:v>
                </c:pt>
                <c:pt idx="46" formatCode="0.00%">
                  <c:v>-4.5333333333333337E-3</c:v>
                </c:pt>
                <c:pt idx="47" formatCode="0.00%">
                  <c:v>-4.3733333333333332E-3</c:v>
                </c:pt>
                <c:pt idx="48" formatCode="0.00%">
                  <c:v>-4.2133333333333337E-3</c:v>
                </c:pt>
                <c:pt idx="49" formatCode="0.00%">
                  <c:v>-4.0533333333333341E-3</c:v>
                </c:pt>
                <c:pt idx="50" formatCode="0.00%">
                  <c:v>-3.8933333333333341E-3</c:v>
                </c:pt>
                <c:pt idx="51" formatCode="0.00%">
                  <c:v>-3.7333333333333337E-3</c:v>
                </c:pt>
                <c:pt idx="52" formatCode="0.00%">
                  <c:v>-3.5733333333333337E-3</c:v>
                </c:pt>
                <c:pt idx="53" formatCode="0.00%">
                  <c:v>-3.4133333333333342E-3</c:v>
                </c:pt>
                <c:pt idx="54" formatCode="0.00%">
                  <c:v>-3.2533333333333338E-3</c:v>
                </c:pt>
                <c:pt idx="55" formatCode="0.00%">
                  <c:v>-3.0933333333333338E-3</c:v>
                </c:pt>
                <c:pt idx="56" formatCode="0.00%">
                  <c:v>-2.9333333333333338E-3</c:v>
                </c:pt>
                <c:pt idx="57" formatCode="0.00%">
                  <c:v>-2.7733333333333334E-3</c:v>
                </c:pt>
                <c:pt idx="58" formatCode="0.00%">
                  <c:v>-2.6133333333333338E-3</c:v>
                </c:pt>
                <c:pt idx="59" formatCode="0.00%">
                  <c:v>-2.4533333333333334E-3</c:v>
                </c:pt>
                <c:pt idx="60" formatCode="0.00%">
                  <c:v>-2.2933333333333339E-3</c:v>
                </c:pt>
                <c:pt idx="61" formatCode="0.00%">
                  <c:v>-2.1333333333333343E-3</c:v>
                </c:pt>
                <c:pt idx="62" formatCode="0.00%">
                  <c:v>-1.9733333333333339E-3</c:v>
                </c:pt>
                <c:pt idx="63" formatCode="0.00%">
                  <c:v>-1.8133333333333335E-3</c:v>
                </c:pt>
                <c:pt idx="64" formatCode="0.00%">
                  <c:v>-1.6533333333333339E-3</c:v>
                </c:pt>
                <c:pt idx="65" formatCode="0.00%">
                  <c:v>-1.4933333333333335E-3</c:v>
                </c:pt>
                <c:pt idx="66" formatCode="0.00%">
                  <c:v>-1.3333333333333331E-3</c:v>
                </c:pt>
                <c:pt idx="67" formatCode="0.00%">
                  <c:v>-1.1733333333333335E-3</c:v>
                </c:pt>
                <c:pt idx="68" formatCode="0.00%">
                  <c:v>-1.013333333333334E-3</c:v>
                </c:pt>
                <c:pt idx="69" formatCode="0.00%">
                  <c:v>-8.5333333333333442E-4</c:v>
                </c:pt>
                <c:pt idx="70" formatCode="0.00%">
                  <c:v>-6.93333333333334E-4</c:v>
                </c:pt>
                <c:pt idx="71" formatCode="0.00%">
                  <c:v>-5.3333333333333358E-4</c:v>
                </c:pt>
                <c:pt idx="72" formatCode="0.00%">
                  <c:v>-3.7333333333333402E-4</c:v>
                </c:pt>
                <c:pt idx="73" formatCode="0.00%">
                  <c:v>-2.133333333333336E-4</c:v>
                </c:pt>
                <c:pt idx="74" formatCode="0.00%">
                  <c:v>-5.3333333333333184E-5</c:v>
                </c:pt>
                <c:pt idx="75" formatCode="0.00%">
                  <c:v>1.066666666666655E-4</c:v>
                </c:pt>
                <c:pt idx="76" formatCode="0.00%">
                  <c:v>2.6666666666666592E-4</c:v>
                </c:pt>
                <c:pt idx="77" formatCode="0.00%">
                  <c:v>4.2666666666666634E-4</c:v>
                </c:pt>
                <c:pt idx="78" formatCode="0.00%">
                  <c:v>5.8666666666666589E-4</c:v>
                </c:pt>
                <c:pt idx="79" formatCode="0.00%">
                  <c:v>7.4666666666666631E-4</c:v>
                </c:pt>
              </c:numCache>
            </c:numRef>
          </c:val>
          <c:smooth val="0"/>
          <c:extLst>
            <c:ext xmlns:c16="http://schemas.microsoft.com/office/drawing/2014/chart" uri="{C3380CC4-5D6E-409C-BE32-E72D297353CC}">
              <c16:uniqueId val="{00000000-A125-4D41-B4F4-9644D4E0DFD2}"/>
            </c:ext>
          </c:extLst>
        </c:ser>
        <c:ser>
          <c:idx val="1"/>
          <c:order val="1"/>
          <c:tx>
            <c:strRef>
              <c:f>'Extrapolation average con.'!$A$17:$B$17</c:f>
              <c:strCache>
                <c:ptCount val="2"/>
                <c:pt idx="0">
                  <c:v>Expected change in quantity produced (e.g., corn yield)</c:v>
                </c:pt>
                <c:pt idx="1">
                  <c:v>User Costs Without Project</c:v>
                </c:pt>
              </c:strCache>
            </c:strRef>
          </c:tx>
          <c:spPr>
            <a:ln w="28575" cap="rnd">
              <a:solidFill>
                <a:schemeClr val="accent2"/>
              </a:solidFill>
              <a:round/>
            </a:ln>
            <a:effectLst/>
          </c:spPr>
          <c:marker>
            <c:symbol val="none"/>
          </c:marker>
          <c:cat>
            <c:numRef>
              <c:f>'Extrapolation average con.'!$C$15:$CD$15</c:f>
              <c:numCache>
                <c:formatCode>General</c:formatCode>
                <c:ptCount val="80"/>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pt idx="42">
                  <c:v>2061</c:v>
                </c:pt>
                <c:pt idx="43">
                  <c:v>2062</c:v>
                </c:pt>
                <c:pt idx="44">
                  <c:v>2063</c:v>
                </c:pt>
                <c:pt idx="45">
                  <c:v>2064</c:v>
                </c:pt>
                <c:pt idx="46">
                  <c:v>2065</c:v>
                </c:pt>
                <c:pt idx="47">
                  <c:v>2066</c:v>
                </c:pt>
                <c:pt idx="48">
                  <c:v>2067</c:v>
                </c:pt>
                <c:pt idx="49">
                  <c:v>2068</c:v>
                </c:pt>
                <c:pt idx="50">
                  <c:v>2069</c:v>
                </c:pt>
                <c:pt idx="51">
                  <c:v>2070</c:v>
                </c:pt>
                <c:pt idx="52">
                  <c:v>2071</c:v>
                </c:pt>
                <c:pt idx="53">
                  <c:v>2072</c:v>
                </c:pt>
                <c:pt idx="54">
                  <c:v>2073</c:v>
                </c:pt>
                <c:pt idx="55">
                  <c:v>2074</c:v>
                </c:pt>
                <c:pt idx="56">
                  <c:v>2075</c:v>
                </c:pt>
                <c:pt idx="57">
                  <c:v>2076</c:v>
                </c:pt>
                <c:pt idx="58">
                  <c:v>2077</c:v>
                </c:pt>
                <c:pt idx="59">
                  <c:v>2078</c:v>
                </c:pt>
                <c:pt idx="60">
                  <c:v>2079</c:v>
                </c:pt>
                <c:pt idx="61">
                  <c:v>2080</c:v>
                </c:pt>
                <c:pt idx="62">
                  <c:v>2081</c:v>
                </c:pt>
                <c:pt idx="63">
                  <c:v>2082</c:v>
                </c:pt>
                <c:pt idx="64">
                  <c:v>2083</c:v>
                </c:pt>
                <c:pt idx="65">
                  <c:v>2084</c:v>
                </c:pt>
                <c:pt idx="66">
                  <c:v>2085</c:v>
                </c:pt>
                <c:pt idx="67">
                  <c:v>2086</c:v>
                </c:pt>
                <c:pt idx="68">
                  <c:v>2087</c:v>
                </c:pt>
                <c:pt idx="69">
                  <c:v>2088</c:v>
                </c:pt>
                <c:pt idx="70">
                  <c:v>2089</c:v>
                </c:pt>
                <c:pt idx="71">
                  <c:v>2090</c:v>
                </c:pt>
                <c:pt idx="72">
                  <c:v>2091</c:v>
                </c:pt>
                <c:pt idx="73">
                  <c:v>2092</c:v>
                </c:pt>
                <c:pt idx="74">
                  <c:v>2093</c:v>
                </c:pt>
                <c:pt idx="75">
                  <c:v>2094</c:v>
                </c:pt>
                <c:pt idx="76">
                  <c:v>2095</c:v>
                </c:pt>
                <c:pt idx="77">
                  <c:v>2096</c:v>
                </c:pt>
                <c:pt idx="78">
                  <c:v>2097</c:v>
                </c:pt>
                <c:pt idx="79">
                  <c:v>2098</c:v>
                </c:pt>
              </c:numCache>
            </c:numRef>
          </c:cat>
          <c:val>
            <c:numRef>
              <c:f>'Extrapolation average con.'!$C$17:$CD$17</c:f>
              <c:numCache>
                <c:formatCode>0.0%</c:formatCode>
                <c:ptCount val="80"/>
                <c:pt idx="0">
                  <c:v>-1E-3</c:v>
                </c:pt>
                <c:pt idx="1">
                  <c:v>-2E-3</c:v>
                </c:pt>
                <c:pt idx="2">
                  <c:v>-3.0000000000000005E-3</c:v>
                </c:pt>
                <c:pt idx="3">
                  <c:v>-4.0000000000000001E-3</c:v>
                </c:pt>
                <c:pt idx="4">
                  <c:v>-5.0000000000000001E-3</c:v>
                </c:pt>
                <c:pt idx="5">
                  <c:v>-6.000000000000001E-3</c:v>
                </c:pt>
                <c:pt idx="6">
                  <c:v>-7.0000000000000001E-3</c:v>
                </c:pt>
                <c:pt idx="7">
                  <c:v>-8.0000000000000002E-3</c:v>
                </c:pt>
                <c:pt idx="8">
                  <c:v>-8.9999999999999993E-3</c:v>
                </c:pt>
                <c:pt idx="9">
                  <c:v>-0.01</c:v>
                </c:pt>
                <c:pt idx="10">
                  <c:v>-8.5500000000000003E-3</c:v>
                </c:pt>
                <c:pt idx="11">
                  <c:v>-0.01</c:v>
                </c:pt>
                <c:pt idx="12">
                  <c:v>-1.145E-2</c:v>
                </c:pt>
                <c:pt idx="13">
                  <c:v>-1.29E-2</c:v>
                </c:pt>
                <c:pt idx="14">
                  <c:v>-1.4350000000000002E-2</c:v>
                </c:pt>
                <c:pt idx="15">
                  <c:v>-1.5800000000000002E-2</c:v>
                </c:pt>
                <c:pt idx="16">
                  <c:v>-1.7250000000000001E-2</c:v>
                </c:pt>
                <c:pt idx="17">
                  <c:v>-1.8700000000000001E-2</c:v>
                </c:pt>
                <c:pt idx="18">
                  <c:v>-2.0150000000000001E-2</c:v>
                </c:pt>
                <c:pt idx="19">
                  <c:v>-2.1600000000000001E-2</c:v>
                </c:pt>
                <c:pt idx="20">
                  <c:v>-2.3050000000000001E-2</c:v>
                </c:pt>
                <c:pt idx="21">
                  <c:v>-2.4500000000000001E-2</c:v>
                </c:pt>
                <c:pt idx="22">
                  <c:v>-2.5950000000000001E-2</c:v>
                </c:pt>
                <c:pt idx="23">
                  <c:v>-2.7400000000000001E-2</c:v>
                </c:pt>
                <c:pt idx="24">
                  <c:v>-2.8850000000000001E-2</c:v>
                </c:pt>
                <c:pt idx="25">
                  <c:v>-3.0300000000000001E-2</c:v>
                </c:pt>
                <c:pt idx="26">
                  <c:v>-3.175E-2</c:v>
                </c:pt>
                <c:pt idx="27">
                  <c:v>-3.32E-2</c:v>
                </c:pt>
                <c:pt idx="28">
                  <c:v>-3.465E-2</c:v>
                </c:pt>
                <c:pt idx="29">
                  <c:v>-3.61E-2</c:v>
                </c:pt>
                <c:pt idx="30" formatCode="0.00%">
                  <c:v>-3.6920000000000001E-2</c:v>
                </c:pt>
                <c:pt idx="31" formatCode="0.00%">
                  <c:v>-3.61E-2</c:v>
                </c:pt>
                <c:pt idx="32" formatCode="0.00%">
                  <c:v>-3.5279999999999999E-2</c:v>
                </c:pt>
                <c:pt idx="33" formatCode="0.00%">
                  <c:v>-3.4459999999999998E-2</c:v>
                </c:pt>
                <c:pt idx="34" formatCode="0.00%">
                  <c:v>-3.3640000000000003E-2</c:v>
                </c:pt>
                <c:pt idx="35" formatCode="0.00%">
                  <c:v>-3.2820000000000002E-2</c:v>
                </c:pt>
                <c:pt idx="36" formatCode="0.00%">
                  <c:v>-3.2000000000000001E-2</c:v>
                </c:pt>
                <c:pt idx="37" formatCode="0.00%">
                  <c:v>-3.1179999999999999E-2</c:v>
                </c:pt>
                <c:pt idx="38" formatCode="0.00%">
                  <c:v>-3.0359999999999998E-2</c:v>
                </c:pt>
                <c:pt idx="39" formatCode="0.00%">
                  <c:v>-2.954E-2</c:v>
                </c:pt>
                <c:pt idx="40" formatCode="0.00%">
                  <c:v>-2.8719999999999999E-2</c:v>
                </c:pt>
                <c:pt idx="41" formatCode="0.00%">
                  <c:v>-2.7900000000000001E-2</c:v>
                </c:pt>
                <c:pt idx="42" formatCode="0.00%">
                  <c:v>-2.708E-2</c:v>
                </c:pt>
                <c:pt idx="43" formatCode="0.00%">
                  <c:v>-2.6259999999999999E-2</c:v>
                </c:pt>
                <c:pt idx="44" formatCode="0.00%">
                  <c:v>-2.5439999999999997E-2</c:v>
                </c:pt>
                <c:pt idx="45" formatCode="0.00%">
                  <c:v>-2.462E-2</c:v>
                </c:pt>
                <c:pt idx="46" formatCode="0.00%">
                  <c:v>-2.3800000000000002E-2</c:v>
                </c:pt>
                <c:pt idx="47" formatCode="0.00%">
                  <c:v>-2.298E-2</c:v>
                </c:pt>
                <c:pt idx="48" formatCode="0.00%">
                  <c:v>-2.2159999999999999E-2</c:v>
                </c:pt>
                <c:pt idx="49" formatCode="0.00%">
                  <c:v>-2.1339999999999998E-2</c:v>
                </c:pt>
                <c:pt idx="50" formatCode="0.00%">
                  <c:v>-2.052E-2</c:v>
                </c:pt>
                <c:pt idx="51" formatCode="0.00%">
                  <c:v>-1.9699999999999999E-2</c:v>
                </c:pt>
                <c:pt idx="52" formatCode="0.00%">
                  <c:v>-1.8880000000000001E-2</c:v>
                </c:pt>
                <c:pt idx="53" formatCode="0.00%">
                  <c:v>-1.806E-2</c:v>
                </c:pt>
                <c:pt idx="54" formatCode="0.00%">
                  <c:v>-1.7239999999999998E-2</c:v>
                </c:pt>
                <c:pt idx="55" formatCode="0.00%">
                  <c:v>-1.6420000000000001E-2</c:v>
                </c:pt>
                <c:pt idx="56" formatCode="0.00%">
                  <c:v>-1.5599999999999996E-2</c:v>
                </c:pt>
                <c:pt idx="57" formatCode="0.00%">
                  <c:v>-1.4779999999999998E-2</c:v>
                </c:pt>
                <c:pt idx="58" formatCode="0.00%">
                  <c:v>-1.396E-2</c:v>
                </c:pt>
                <c:pt idx="59" formatCode="0.00%">
                  <c:v>-1.3139999999999999E-2</c:v>
                </c:pt>
                <c:pt idx="60" formatCode="0.00%">
                  <c:v>-1.2319999999999998E-2</c:v>
                </c:pt>
                <c:pt idx="61" formatCode="0.00%">
                  <c:v>-1.15E-2</c:v>
                </c:pt>
                <c:pt idx="62" formatCode="0.00%">
                  <c:v>-1.0679999999999999E-2</c:v>
                </c:pt>
                <c:pt idx="63" formatCode="0.00%">
                  <c:v>-9.8600000000000007E-3</c:v>
                </c:pt>
                <c:pt idx="64" formatCode="0.00%">
                  <c:v>-9.0399999999999994E-3</c:v>
                </c:pt>
                <c:pt idx="65" formatCode="0.00%">
                  <c:v>-8.2199999999999981E-3</c:v>
                </c:pt>
                <c:pt idx="66" formatCode="0.00%">
                  <c:v>-7.4000000000000003E-3</c:v>
                </c:pt>
                <c:pt idx="67" formatCode="0.00%">
                  <c:v>-6.579999999999999E-3</c:v>
                </c:pt>
                <c:pt idx="68" formatCode="0.00%">
                  <c:v>-5.7599999999999978E-3</c:v>
                </c:pt>
                <c:pt idx="69" formatCode="0.00%">
                  <c:v>-4.9399999999999999E-3</c:v>
                </c:pt>
                <c:pt idx="70" formatCode="0.00%">
                  <c:v>-4.1199999999999987E-3</c:v>
                </c:pt>
                <c:pt idx="71" formatCode="0.00%">
                  <c:v>-3.2999999999999974E-3</c:v>
                </c:pt>
                <c:pt idx="72" formatCode="0.00%">
                  <c:v>-2.4799999999999961E-3</c:v>
                </c:pt>
                <c:pt idx="73" formatCode="0.00%">
                  <c:v>-1.6600000000000018E-3</c:v>
                </c:pt>
                <c:pt idx="74" formatCode="0.00%">
                  <c:v>-8.4000000000000047E-4</c:v>
                </c:pt>
                <c:pt idx="75" formatCode="0.00%">
                  <c:v>-1.9999999999999185E-5</c:v>
                </c:pt>
                <c:pt idx="76" formatCode="0.00%">
                  <c:v>8.000000000000021E-4</c:v>
                </c:pt>
                <c:pt idx="77" formatCode="0.00%">
                  <c:v>1.6200000000000034E-3</c:v>
                </c:pt>
                <c:pt idx="78" formatCode="0.00%">
                  <c:v>2.4399999999999977E-3</c:v>
                </c:pt>
                <c:pt idx="79" formatCode="0.00%">
                  <c:v>3.259999999999999E-3</c:v>
                </c:pt>
              </c:numCache>
            </c:numRef>
          </c:val>
          <c:smooth val="0"/>
          <c:extLst>
            <c:ext xmlns:c16="http://schemas.microsoft.com/office/drawing/2014/chart" uri="{C3380CC4-5D6E-409C-BE32-E72D297353CC}">
              <c16:uniqueId val="{00000001-A125-4D41-B4F4-9644D4E0DFD2}"/>
            </c:ext>
          </c:extLst>
        </c:ser>
        <c:ser>
          <c:idx val="2"/>
          <c:order val="2"/>
          <c:tx>
            <c:strRef>
              <c:f>'Extrapolation average con.'!$A$18:$B$18</c:f>
              <c:strCache>
                <c:ptCount val="2"/>
                <c:pt idx="0">
                  <c:v>Expected change in quantity produced (e.g., corn yield)</c:v>
                </c:pt>
                <c:pt idx="1">
                  <c:v>User Costs Without Project</c:v>
                </c:pt>
              </c:strCache>
            </c:strRef>
          </c:tx>
          <c:spPr>
            <a:ln w="28575" cap="rnd">
              <a:solidFill>
                <a:schemeClr val="accent3"/>
              </a:solidFill>
              <a:round/>
            </a:ln>
            <a:effectLst/>
          </c:spPr>
          <c:marker>
            <c:symbol val="none"/>
          </c:marker>
          <c:cat>
            <c:numRef>
              <c:f>'Extrapolation average con.'!$C$15:$CD$15</c:f>
              <c:numCache>
                <c:formatCode>General</c:formatCode>
                <c:ptCount val="80"/>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pt idx="42">
                  <c:v>2061</c:v>
                </c:pt>
                <c:pt idx="43">
                  <c:v>2062</c:v>
                </c:pt>
                <c:pt idx="44">
                  <c:v>2063</c:v>
                </c:pt>
                <c:pt idx="45">
                  <c:v>2064</c:v>
                </c:pt>
                <c:pt idx="46">
                  <c:v>2065</c:v>
                </c:pt>
                <c:pt idx="47">
                  <c:v>2066</c:v>
                </c:pt>
                <c:pt idx="48">
                  <c:v>2067</c:v>
                </c:pt>
                <c:pt idx="49">
                  <c:v>2068</c:v>
                </c:pt>
                <c:pt idx="50">
                  <c:v>2069</c:v>
                </c:pt>
                <c:pt idx="51">
                  <c:v>2070</c:v>
                </c:pt>
                <c:pt idx="52">
                  <c:v>2071</c:v>
                </c:pt>
                <c:pt idx="53">
                  <c:v>2072</c:v>
                </c:pt>
                <c:pt idx="54">
                  <c:v>2073</c:v>
                </c:pt>
                <c:pt idx="55">
                  <c:v>2074</c:v>
                </c:pt>
                <c:pt idx="56">
                  <c:v>2075</c:v>
                </c:pt>
                <c:pt idx="57">
                  <c:v>2076</c:v>
                </c:pt>
                <c:pt idx="58">
                  <c:v>2077</c:v>
                </c:pt>
                <c:pt idx="59">
                  <c:v>2078</c:v>
                </c:pt>
                <c:pt idx="60">
                  <c:v>2079</c:v>
                </c:pt>
                <c:pt idx="61">
                  <c:v>2080</c:v>
                </c:pt>
                <c:pt idx="62">
                  <c:v>2081</c:v>
                </c:pt>
                <c:pt idx="63">
                  <c:v>2082</c:v>
                </c:pt>
                <c:pt idx="64">
                  <c:v>2083</c:v>
                </c:pt>
                <c:pt idx="65">
                  <c:v>2084</c:v>
                </c:pt>
                <c:pt idx="66">
                  <c:v>2085</c:v>
                </c:pt>
                <c:pt idx="67">
                  <c:v>2086</c:v>
                </c:pt>
                <c:pt idx="68">
                  <c:v>2087</c:v>
                </c:pt>
                <c:pt idx="69">
                  <c:v>2088</c:v>
                </c:pt>
                <c:pt idx="70">
                  <c:v>2089</c:v>
                </c:pt>
                <c:pt idx="71">
                  <c:v>2090</c:v>
                </c:pt>
                <c:pt idx="72">
                  <c:v>2091</c:v>
                </c:pt>
                <c:pt idx="73">
                  <c:v>2092</c:v>
                </c:pt>
                <c:pt idx="74">
                  <c:v>2093</c:v>
                </c:pt>
                <c:pt idx="75">
                  <c:v>2094</c:v>
                </c:pt>
                <c:pt idx="76">
                  <c:v>2095</c:v>
                </c:pt>
                <c:pt idx="77">
                  <c:v>2096</c:v>
                </c:pt>
                <c:pt idx="78">
                  <c:v>2097</c:v>
                </c:pt>
                <c:pt idx="79">
                  <c:v>2098</c:v>
                </c:pt>
              </c:numCache>
            </c:numRef>
          </c:cat>
          <c:val>
            <c:numRef>
              <c:f>'Extrapolation average con.'!$C$18:$CD$18</c:f>
              <c:numCache>
                <c:formatCode>0.0%</c:formatCode>
                <c:ptCount val="8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formatCode="0.00%">
                  <c:v>0</c:v>
                </c:pt>
                <c:pt idx="31" formatCode="0.00%">
                  <c:v>0</c:v>
                </c:pt>
                <c:pt idx="32" formatCode="0.00%">
                  <c:v>0</c:v>
                </c:pt>
                <c:pt idx="33" formatCode="0.00%">
                  <c:v>0</c:v>
                </c:pt>
                <c:pt idx="34" formatCode="0.00%">
                  <c:v>0</c:v>
                </c:pt>
                <c:pt idx="35" formatCode="0.00%">
                  <c:v>0</c:v>
                </c:pt>
                <c:pt idx="36" formatCode="0.00%">
                  <c:v>0</c:v>
                </c:pt>
                <c:pt idx="37" formatCode="0.00%">
                  <c:v>0</c:v>
                </c:pt>
                <c:pt idx="38" formatCode="0.00%">
                  <c:v>0</c:v>
                </c:pt>
                <c:pt idx="39" formatCode="0.00%">
                  <c:v>0</c:v>
                </c:pt>
                <c:pt idx="40" formatCode="0.00%">
                  <c:v>0</c:v>
                </c:pt>
                <c:pt idx="41" formatCode="0.00%">
                  <c:v>0</c:v>
                </c:pt>
                <c:pt idx="42" formatCode="0.00%">
                  <c:v>0</c:v>
                </c:pt>
                <c:pt idx="43" formatCode="0.00%">
                  <c:v>0</c:v>
                </c:pt>
                <c:pt idx="44" formatCode="0.00%">
                  <c:v>0</c:v>
                </c:pt>
                <c:pt idx="45" formatCode="0.00%">
                  <c:v>0</c:v>
                </c:pt>
                <c:pt idx="46" formatCode="0.00%">
                  <c:v>0</c:v>
                </c:pt>
                <c:pt idx="47" formatCode="0.00%">
                  <c:v>0</c:v>
                </c:pt>
                <c:pt idx="48" formatCode="0.00%">
                  <c:v>0</c:v>
                </c:pt>
                <c:pt idx="49" formatCode="0.00%">
                  <c:v>0</c:v>
                </c:pt>
                <c:pt idx="50" formatCode="0.00%">
                  <c:v>0</c:v>
                </c:pt>
                <c:pt idx="51" formatCode="0.00%">
                  <c:v>0</c:v>
                </c:pt>
                <c:pt idx="52" formatCode="0.00%">
                  <c:v>0</c:v>
                </c:pt>
                <c:pt idx="53" formatCode="0.00%">
                  <c:v>0</c:v>
                </c:pt>
                <c:pt idx="54" formatCode="0.00%">
                  <c:v>0</c:v>
                </c:pt>
                <c:pt idx="55" formatCode="0.00%">
                  <c:v>0</c:v>
                </c:pt>
                <c:pt idx="56" formatCode="0.00%">
                  <c:v>0</c:v>
                </c:pt>
                <c:pt idx="57" formatCode="0.00%">
                  <c:v>0</c:v>
                </c:pt>
                <c:pt idx="58" formatCode="0.00%">
                  <c:v>0</c:v>
                </c:pt>
                <c:pt idx="59" formatCode="0.00%">
                  <c:v>0</c:v>
                </c:pt>
                <c:pt idx="60" formatCode="0.00%">
                  <c:v>0</c:v>
                </c:pt>
                <c:pt idx="61" formatCode="0.00%">
                  <c:v>0</c:v>
                </c:pt>
                <c:pt idx="62" formatCode="0.00%">
                  <c:v>0</c:v>
                </c:pt>
                <c:pt idx="63" formatCode="0.00%">
                  <c:v>0</c:v>
                </c:pt>
                <c:pt idx="64" formatCode="0.00%">
                  <c:v>0</c:v>
                </c:pt>
                <c:pt idx="65" formatCode="0.00%">
                  <c:v>0</c:v>
                </c:pt>
                <c:pt idx="66" formatCode="0.00%">
                  <c:v>0</c:v>
                </c:pt>
                <c:pt idx="67" formatCode="0.00%">
                  <c:v>0</c:v>
                </c:pt>
                <c:pt idx="68" formatCode="0.00%">
                  <c:v>0</c:v>
                </c:pt>
                <c:pt idx="69" formatCode="0.00%">
                  <c:v>0</c:v>
                </c:pt>
                <c:pt idx="70" formatCode="0.00%">
                  <c:v>0</c:v>
                </c:pt>
                <c:pt idx="71" formatCode="0.00%">
                  <c:v>0</c:v>
                </c:pt>
                <c:pt idx="72" formatCode="0.00%">
                  <c:v>0</c:v>
                </c:pt>
                <c:pt idx="73" formatCode="0.00%">
                  <c:v>0</c:v>
                </c:pt>
                <c:pt idx="74" formatCode="0.00%">
                  <c:v>0</c:v>
                </c:pt>
                <c:pt idx="75" formatCode="0.00%">
                  <c:v>0</c:v>
                </c:pt>
                <c:pt idx="76" formatCode="0.00%">
                  <c:v>0</c:v>
                </c:pt>
                <c:pt idx="77" formatCode="0.00%">
                  <c:v>0</c:v>
                </c:pt>
                <c:pt idx="78" formatCode="0.00%">
                  <c:v>0</c:v>
                </c:pt>
                <c:pt idx="79" formatCode="0.00%">
                  <c:v>0</c:v>
                </c:pt>
              </c:numCache>
            </c:numRef>
          </c:val>
          <c:smooth val="0"/>
          <c:extLst>
            <c:ext xmlns:c16="http://schemas.microsoft.com/office/drawing/2014/chart" uri="{C3380CC4-5D6E-409C-BE32-E72D297353CC}">
              <c16:uniqueId val="{00000002-A125-4D41-B4F4-9644D4E0DFD2}"/>
            </c:ext>
          </c:extLst>
        </c:ser>
        <c:dLbls>
          <c:showLegendKey val="0"/>
          <c:showVal val="0"/>
          <c:showCatName val="0"/>
          <c:showSerName val="0"/>
          <c:showPercent val="0"/>
          <c:showBubbleSize val="0"/>
        </c:dLbls>
        <c:smooth val="0"/>
        <c:axId val="137782368"/>
        <c:axId val="137763616"/>
      </c:lineChart>
      <c:dateAx>
        <c:axId val="1377823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63616"/>
        <c:crosses val="autoZero"/>
        <c:auto val="0"/>
        <c:lblOffset val="100"/>
        <c:baseTimeUnit val="days"/>
      </c:dateAx>
      <c:valAx>
        <c:axId val="13776361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823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Changes in prices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9757021113102"/>
          <c:y val="0.10551168720858101"/>
          <c:w val="0.81923055914306997"/>
          <c:h val="0.62615140007916104"/>
        </c:manualLayout>
      </c:layout>
      <c:lineChart>
        <c:grouping val="standard"/>
        <c:varyColors val="0"/>
        <c:ser>
          <c:idx val="0"/>
          <c:order val="0"/>
          <c:tx>
            <c:strRef>
              <c:f>'Extrapolation average con.'!$A$19:$B$19</c:f>
              <c:strCache>
                <c:ptCount val="2"/>
                <c:pt idx="0">
                  <c:v>Expected change in price of supply (e.g., unit corn price)</c:v>
                </c:pt>
                <c:pt idx="1">
                  <c:v>User Costs With Project</c:v>
                </c:pt>
              </c:strCache>
            </c:strRef>
          </c:tx>
          <c:spPr>
            <a:ln w="28575" cap="rnd">
              <a:solidFill>
                <a:schemeClr val="accent1"/>
              </a:solidFill>
              <a:round/>
            </a:ln>
            <a:effectLst/>
          </c:spPr>
          <c:marker>
            <c:symbol val="none"/>
          </c:marker>
          <c:cat>
            <c:numRef>
              <c:f>'Extrapolation average con.'!$C$15:$CD$15</c:f>
              <c:numCache>
                <c:formatCode>General</c:formatCode>
                <c:ptCount val="80"/>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pt idx="42">
                  <c:v>2061</c:v>
                </c:pt>
                <c:pt idx="43">
                  <c:v>2062</c:v>
                </c:pt>
                <c:pt idx="44">
                  <c:v>2063</c:v>
                </c:pt>
                <c:pt idx="45">
                  <c:v>2064</c:v>
                </c:pt>
                <c:pt idx="46">
                  <c:v>2065</c:v>
                </c:pt>
                <c:pt idx="47">
                  <c:v>2066</c:v>
                </c:pt>
                <c:pt idx="48">
                  <c:v>2067</c:v>
                </c:pt>
                <c:pt idx="49">
                  <c:v>2068</c:v>
                </c:pt>
                <c:pt idx="50">
                  <c:v>2069</c:v>
                </c:pt>
                <c:pt idx="51">
                  <c:v>2070</c:v>
                </c:pt>
                <c:pt idx="52">
                  <c:v>2071</c:v>
                </c:pt>
                <c:pt idx="53">
                  <c:v>2072</c:v>
                </c:pt>
                <c:pt idx="54">
                  <c:v>2073</c:v>
                </c:pt>
                <c:pt idx="55">
                  <c:v>2074</c:v>
                </c:pt>
                <c:pt idx="56">
                  <c:v>2075</c:v>
                </c:pt>
                <c:pt idx="57">
                  <c:v>2076</c:v>
                </c:pt>
                <c:pt idx="58">
                  <c:v>2077</c:v>
                </c:pt>
                <c:pt idx="59">
                  <c:v>2078</c:v>
                </c:pt>
                <c:pt idx="60">
                  <c:v>2079</c:v>
                </c:pt>
                <c:pt idx="61">
                  <c:v>2080</c:v>
                </c:pt>
                <c:pt idx="62">
                  <c:v>2081</c:v>
                </c:pt>
                <c:pt idx="63">
                  <c:v>2082</c:v>
                </c:pt>
                <c:pt idx="64">
                  <c:v>2083</c:v>
                </c:pt>
                <c:pt idx="65">
                  <c:v>2084</c:v>
                </c:pt>
                <c:pt idx="66">
                  <c:v>2085</c:v>
                </c:pt>
                <c:pt idx="67">
                  <c:v>2086</c:v>
                </c:pt>
                <c:pt idx="68">
                  <c:v>2087</c:v>
                </c:pt>
                <c:pt idx="69">
                  <c:v>2088</c:v>
                </c:pt>
                <c:pt idx="70">
                  <c:v>2089</c:v>
                </c:pt>
                <c:pt idx="71">
                  <c:v>2090</c:v>
                </c:pt>
                <c:pt idx="72">
                  <c:v>2091</c:v>
                </c:pt>
                <c:pt idx="73">
                  <c:v>2092</c:v>
                </c:pt>
                <c:pt idx="74">
                  <c:v>2093</c:v>
                </c:pt>
                <c:pt idx="75">
                  <c:v>2094</c:v>
                </c:pt>
                <c:pt idx="76">
                  <c:v>2095</c:v>
                </c:pt>
                <c:pt idx="77">
                  <c:v>2096</c:v>
                </c:pt>
                <c:pt idx="78">
                  <c:v>2097</c:v>
                </c:pt>
                <c:pt idx="79">
                  <c:v>2098</c:v>
                </c:pt>
              </c:numCache>
            </c:numRef>
          </c:cat>
          <c:val>
            <c:numRef>
              <c:f>'Extrapolation average con.'!$C$19:$CD$19</c:f>
              <c:numCache>
                <c:formatCode>0.0%</c:formatCode>
                <c:ptCount val="8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formatCode="0.00%">
                  <c:v>0</c:v>
                </c:pt>
                <c:pt idx="31" formatCode="0.00%">
                  <c:v>0</c:v>
                </c:pt>
                <c:pt idx="32" formatCode="0.00%">
                  <c:v>0</c:v>
                </c:pt>
                <c:pt idx="33" formatCode="0.00%">
                  <c:v>0</c:v>
                </c:pt>
                <c:pt idx="34" formatCode="0.00%">
                  <c:v>0</c:v>
                </c:pt>
                <c:pt idx="35" formatCode="0.00%">
                  <c:v>0</c:v>
                </c:pt>
                <c:pt idx="36" formatCode="0.00%">
                  <c:v>0</c:v>
                </c:pt>
                <c:pt idx="37" formatCode="0.00%">
                  <c:v>0</c:v>
                </c:pt>
                <c:pt idx="38" formatCode="0.00%">
                  <c:v>0</c:v>
                </c:pt>
                <c:pt idx="39" formatCode="0.00%">
                  <c:v>0</c:v>
                </c:pt>
                <c:pt idx="40" formatCode="0.00%">
                  <c:v>0</c:v>
                </c:pt>
                <c:pt idx="41" formatCode="0.00%">
                  <c:v>0</c:v>
                </c:pt>
                <c:pt idx="42" formatCode="0.00%">
                  <c:v>0</c:v>
                </c:pt>
                <c:pt idx="43" formatCode="0.00%">
                  <c:v>0</c:v>
                </c:pt>
                <c:pt idx="44" formatCode="0.00%">
                  <c:v>0</c:v>
                </c:pt>
                <c:pt idx="45" formatCode="0.00%">
                  <c:v>0</c:v>
                </c:pt>
                <c:pt idx="46" formatCode="0.00%">
                  <c:v>0</c:v>
                </c:pt>
                <c:pt idx="47" formatCode="0.00%">
                  <c:v>0</c:v>
                </c:pt>
                <c:pt idx="48" formatCode="0.00%">
                  <c:v>0</c:v>
                </c:pt>
                <c:pt idx="49" formatCode="0.00%">
                  <c:v>0</c:v>
                </c:pt>
                <c:pt idx="50" formatCode="0.00%">
                  <c:v>0</c:v>
                </c:pt>
                <c:pt idx="51" formatCode="0.00%">
                  <c:v>0</c:v>
                </c:pt>
                <c:pt idx="52" formatCode="0.00%">
                  <c:v>0</c:v>
                </c:pt>
                <c:pt idx="53" formatCode="0.00%">
                  <c:v>0</c:v>
                </c:pt>
                <c:pt idx="54" formatCode="0.00%">
                  <c:v>0</c:v>
                </c:pt>
                <c:pt idx="55" formatCode="0.00%">
                  <c:v>0</c:v>
                </c:pt>
                <c:pt idx="56" formatCode="0.00%">
                  <c:v>0</c:v>
                </c:pt>
                <c:pt idx="57" formatCode="0.00%">
                  <c:v>0</c:v>
                </c:pt>
                <c:pt idx="58" formatCode="0.00%">
                  <c:v>0</c:v>
                </c:pt>
                <c:pt idx="59" formatCode="0.00%">
                  <c:v>0</c:v>
                </c:pt>
                <c:pt idx="60" formatCode="0.00%">
                  <c:v>0</c:v>
                </c:pt>
                <c:pt idx="61" formatCode="0.00%">
                  <c:v>0</c:v>
                </c:pt>
                <c:pt idx="62" formatCode="0.00%">
                  <c:v>0</c:v>
                </c:pt>
                <c:pt idx="63" formatCode="0.00%">
                  <c:v>0</c:v>
                </c:pt>
                <c:pt idx="64" formatCode="0.00%">
                  <c:v>0</c:v>
                </c:pt>
                <c:pt idx="65" formatCode="0.00%">
                  <c:v>0</c:v>
                </c:pt>
                <c:pt idx="66" formatCode="0.00%">
                  <c:v>0</c:v>
                </c:pt>
                <c:pt idx="67" formatCode="0.00%">
                  <c:v>0</c:v>
                </c:pt>
                <c:pt idx="68" formatCode="0.00%">
                  <c:v>0</c:v>
                </c:pt>
                <c:pt idx="69" formatCode="0.00%">
                  <c:v>0</c:v>
                </c:pt>
                <c:pt idx="70" formatCode="0.00%">
                  <c:v>0</c:v>
                </c:pt>
                <c:pt idx="71" formatCode="0.00%">
                  <c:v>0</c:v>
                </c:pt>
                <c:pt idx="72" formatCode="0.00%">
                  <c:v>0</c:v>
                </c:pt>
                <c:pt idx="73" formatCode="0.00%">
                  <c:v>0</c:v>
                </c:pt>
                <c:pt idx="74" formatCode="0.00%">
                  <c:v>0</c:v>
                </c:pt>
                <c:pt idx="75" formatCode="0.00%">
                  <c:v>0</c:v>
                </c:pt>
                <c:pt idx="76" formatCode="0.00%">
                  <c:v>0</c:v>
                </c:pt>
                <c:pt idx="77" formatCode="0.00%">
                  <c:v>0</c:v>
                </c:pt>
                <c:pt idx="78" formatCode="0.00%">
                  <c:v>0</c:v>
                </c:pt>
                <c:pt idx="79" formatCode="0.00%">
                  <c:v>0</c:v>
                </c:pt>
              </c:numCache>
            </c:numRef>
          </c:val>
          <c:smooth val="0"/>
          <c:extLst>
            <c:ext xmlns:c16="http://schemas.microsoft.com/office/drawing/2014/chart" uri="{C3380CC4-5D6E-409C-BE32-E72D297353CC}">
              <c16:uniqueId val="{00000000-5E80-472C-9B2E-A8CA7DEF5032}"/>
            </c:ext>
          </c:extLst>
        </c:ser>
        <c:ser>
          <c:idx val="1"/>
          <c:order val="1"/>
          <c:tx>
            <c:strRef>
              <c:f>'Extrapolation average con.'!$A$20:$B$20</c:f>
              <c:strCache>
                <c:ptCount val="2"/>
                <c:pt idx="0">
                  <c:v>Expected change in price of supply (e.g., unit corn price)</c:v>
                </c:pt>
                <c:pt idx="1">
                  <c:v>User Costs Without Project</c:v>
                </c:pt>
              </c:strCache>
            </c:strRef>
          </c:tx>
          <c:spPr>
            <a:ln w="28575" cap="rnd">
              <a:solidFill>
                <a:schemeClr val="accent2"/>
              </a:solidFill>
              <a:round/>
            </a:ln>
            <a:effectLst/>
          </c:spPr>
          <c:marker>
            <c:symbol val="none"/>
          </c:marker>
          <c:cat>
            <c:numRef>
              <c:f>'Extrapolation average con.'!$C$15:$CD$15</c:f>
              <c:numCache>
                <c:formatCode>General</c:formatCode>
                <c:ptCount val="80"/>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pt idx="42">
                  <c:v>2061</c:v>
                </c:pt>
                <c:pt idx="43">
                  <c:v>2062</c:v>
                </c:pt>
                <c:pt idx="44">
                  <c:v>2063</c:v>
                </c:pt>
                <c:pt idx="45">
                  <c:v>2064</c:v>
                </c:pt>
                <c:pt idx="46">
                  <c:v>2065</c:v>
                </c:pt>
                <c:pt idx="47">
                  <c:v>2066</c:v>
                </c:pt>
                <c:pt idx="48">
                  <c:v>2067</c:v>
                </c:pt>
                <c:pt idx="49">
                  <c:v>2068</c:v>
                </c:pt>
                <c:pt idx="50">
                  <c:v>2069</c:v>
                </c:pt>
                <c:pt idx="51">
                  <c:v>2070</c:v>
                </c:pt>
                <c:pt idx="52">
                  <c:v>2071</c:v>
                </c:pt>
                <c:pt idx="53">
                  <c:v>2072</c:v>
                </c:pt>
                <c:pt idx="54">
                  <c:v>2073</c:v>
                </c:pt>
                <c:pt idx="55">
                  <c:v>2074</c:v>
                </c:pt>
                <c:pt idx="56">
                  <c:v>2075</c:v>
                </c:pt>
                <c:pt idx="57">
                  <c:v>2076</c:v>
                </c:pt>
                <c:pt idx="58">
                  <c:v>2077</c:v>
                </c:pt>
                <c:pt idx="59">
                  <c:v>2078</c:v>
                </c:pt>
                <c:pt idx="60">
                  <c:v>2079</c:v>
                </c:pt>
                <c:pt idx="61">
                  <c:v>2080</c:v>
                </c:pt>
                <c:pt idx="62">
                  <c:v>2081</c:v>
                </c:pt>
                <c:pt idx="63">
                  <c:v>2082</c:v>
                </c:pt>
                <c:pt idx="64">
                  <c:v>2083</c:v>
                </c:pt>
                <c:pt idx="65">
                  <c:v>2084</c:v>
                </c:pt>
                <c:pt idx="66">
                  <c:v>2085</c:v>
                </c:pt>
                <c:pt idx="67">
                  <c:v>2086</c:v>
                </c:pt>
                <c:pt idx="68">
                  <c:v>2087</c:v>
                </c:pt>
                <c:pt idx="69">
                  <c:v>2088</c:v>
                </c:pt>
                <c:pt idx="70">
                  <c:v>2089</c:v>
                </c:pt>
                <c:pt idx="71">
                  <c:v>2090</c:v>
                </c:pt>
                <c:pt idx="72">
                  <c:v>2091</c:v>
                </c:pt>
                <c:pt idx="73">
                  <c:v>2092</c:v>
                </c:pt>
                <c:pt idx="74">
                  <c:v>2093</c:v>
                </c:pt>
                <c:pt idx="75">
                  <c:v>2094</c:v>
                </c:pt>
                <c:pt idx="76">
                  <c:v>2095</c:v>
                </c:pt>
                <c:pt idx="77">
                  <c:v>2096</c:v>
                </c:pt>
                <c:pt idx="78">
                  <c:v>2097</c:v>
                </c:pt>
                <c:pt idx="79">
                  <c:v>2098</c:v>
                </c:pt>
              </c:numCache>
            </c:numRef>
          </c:cat>
          <c:val>
            <c:numRef>
              <c:f>'Extrapolation average con.'!$C$20:$CD$20</c:f>
              <c:numCache>
                <c:formatCode>0.0%</c:formatCode>
                <c:ptCount val="8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formatCode="0.00%">
                  <c:v>0</c:v>
                </c:pt>
                <c:pt idx="31" formatCode="0.00%">
                  <c:v>0</c:v>
                </c:pt>
                <c:pt idx="32" formatCode="0.00%">
                  <c:v>0</c:v>
                </c:pt>
                <c:pt idx="33" formatCode="0.00%">
                  <c:v>0</c:v>
                </c:pt>
                <c:pt idx="34" formatCode="0.00%">
                  <c:v>0</c:v>
                </c:pt>
                <c:pt idx="35" formatCode="0.00%">
                  <c:v>0</c:v>
                </c:pt>
                <c:pt idx="36" formatCode="0.00%">
                  <c:v>0</c:v>
                </c:pt>
                <c:pt idx="37" formatCode="0.00%">
                  <c:v>0</c:v>
                </c:pt>
                <c:pt idx="38" formatCode="0.00%">
                  <c:v>0</c:v>
                </c:pt>
                <c:pt idx="39" formatCode="0.00%">
                  <c:v>0</c:v>
                </c:pt>
                <c:pt idx="40" formatCode="0.00%">
                  <c:v>0</c:v>
                </c:pt>
                <c:pt idx="41" formatCode="0.00%">
                  <c:v>0</c:v>
                </c:pt>
                <c:pt idx="42" formatCode="0.00%">
                  <c:v>0</c:v>
                </c:pt>
                <c:pt idx="43" formatCode="0.00%">
                  <c:v>0</c:v>
                </c:pt>
                <c:pt idx="44" formatCode="0.00%">
                  <c:v>0</c:v>
                </c:pt>
                <c:pt idx="45" formatCode="0.00%">
                  <c:v>0</c:v>
                </c:pt>
                <c:pt idx="46" formatCode="0.00%">
                  <c:v>0</c:v>
                </c:pt>
                <c:pt idx="47" formatCode="0.00%">
                  <c:v>0</c:v>
                </c:pt>
                <c:pt idx="48" formatCode="0.00%">
                  <c:v>0</c:v>
                </c:pt>
                <c:pt idx="49" formatCode="0.00%">
                  <c:v>0</c:v>
                </c:pt>
                <c:pt idx="50" formatCode="0.00%">
                  <c:v>0</c:v>
                </c:pt>
                <c:pt idx="51" formatCode="0.00%">
                  <c:v>0</c:v>
                </c:pt>
                <c:pt idx="52" formatCode="0.00%">
                  <c:v>0</c:v>
                </c:pt>
                <c:pt idx="53" formatCode="0.00%">
                  <c:v>0</c:v>
                </c:pt>
                <c:pt idx="54" formatCode="0.00%">
                  <c:v>0</c:v>
                </c:pt>
                <c:pt idx="55" formatCode="0.00%">
                  <c:v>0</c:v>
                </c:pt>
                <c:pt idx="56" formatCode="0.00%">
                  <c:v>0</c:v>
                </c:pt>
                <c:pt idx="57" formatCode="0.00%">
                  <c:v>0</c:v>
                </c:pt>
                <c:pt idx="58" formatCode="0.00%">
                  <c:v>0</c:v>
                </c:pt>
                <c:pt idx="59" formatCode="0.00%">
                  <c:v>0</c:v>
                </c:pt>
                <c:pt idx="60" formatCode="0.00%">
                  <c:v>0</c:v>
                </c:pt>
                <c:pt idx="61" formatCode="0.00%">
                  <c:v>0</c:v>
                </c:pt>
                <c:pt idx="62" formatCode="0.00%">
                  <c:v>0</c:v>
                </c:pt>
                <c:pt idx="63" formatCode="0.00%">
                  <c:v>0</c:v>
                </c:pt>
                <c:pt idx="64" formatCode="0.00%">
                  <c:v>0</c:v>
                </c:pt>
                <c:pt idx="65" formatCode="0.00%">
                  <c:v>0</c:v>
                </c:pt>
                <c:pt idx="66" formatCode="0.00%">
                  <c:v>0</c:v>
                </c:pt>
                <c:pt idx="67" formatCode="0.00%">
                  <c:v>0</c:v>
                </c:pt>
                <c:pt idx="68" formatCode="0.00%">
                  <c:v>0</c:v>
                </c:pt>
                <c:pt idx="69" formatCode="0.00%">
                  <c:v>0</c:v>
                </c:pt>
                <c:pt idx="70" formatCode="0.00%">
                  <c:v>0</c:v>
                </c:pt>
                <c:pt idx="71" formatCode="0.00%">
                  <c:v>0</c:v>
                </c:pt>
                <c:pt idx="72" formatCode="0.00%">
                  <c:v>0</c:v>
                </c:pt>
                <c:pt idx="73" formatCode="0.00%">
                  <c:v>0</c:v>
                </c:pt>
                <c:pt idx="74" formatCode="0.00%">
                  <c:v>0</c:v>
                </c:pt>
                <c:pt idx="75" formatCode="0.00%">
                  <c:v>0</c:v>
                </c:pt>
                <c:pt idx="76" formatCode="0.00%">
                  <c:v>0</c:v>
                </c:pt>
                <c:pt idx="77" formatCode="0.00%">
                  <c:v>0</c:v>
                </c:pt>
                <c:pt idx="78" formatCode="0.00%">
                  <c:v>0</c:v>
                </c:pt>
                <c:pt idx="79" formatCode="0.00%">
                  <c:v>0</c:v>
                </c:pt>
              </c:numCache>
            </c:numRef>
          </c:val>
          <c:smooth val="0"/>
          <c:extLst>
            <c:ext xmlns:c16="http://schemas.microsoft.com/office/drawing/2014/chart" uri="{C3380CC4-5D6E-409C-BE32-E72D297353CC}">
              <c16:uniqueId val="{00000001-5E80-472C-9B2E-A8CA7DEF5032}"/>
            </c:ext>
          </c:extLst>
        </c:ser>
        <c:ser>
          <c:idx val="2"/>
          <c:order val="2"/>
          <c:tx>
            <c:strRef>
              <c:f>'Extrapolation average con.'!$A$21:$B$21</c:f>
              <c:strCache>
                <c:ptCount val="2"/>
                <c:pt idx="0">
                  <c:v>Expected change in price of supply (e.g., unit corn price)</c:v>
                </c:pt>
                <c:pt idx="1">
                  <c:v>User Costs Without Project</c:v>
                </c:pt>
              </c:strCache>
            </c:strRef>
          </c:tx>
          <c:spPr>
            <a:ln w="28575" cap="rnd">
              <a:solidFill>
                <a:schemeClr val="accent3"/>
              </a:solidFill>
              <a:round/>
            </a:ln>
            <a:effectLst/>
          </c:spPr>
          <c:marker>
            <c:symbol val="none"/>
          </c:marker>
          <c:cat>
            <c:numRef>
              <c:f>'Extrapolation average con.'!$C$15:$CD$15</c:f>
              <c:numCache>
                <c:formatCode>General</c:formatCode>
                <c:ptCount val="80"/>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pt idx="42">
                  <c:v>2061</c:v>
                </c:pt>
                <c:pt idx="43">
                  <c:v>2062</c:v>
                </c:pt>
                <c:pt idx="44">
                  <c:v>2063</c:v>
                </c:pt>
                <c:pt idx="45">
                  <c:v>2064</c:v>
                </c:pt>
                <c:pt idx="46">
                  <c:v>2065</c:v>
                </c:pt>
                <c:pt idx="47">
                  <c:v>2066</c:v>
                </c:pt>
                <c:pt idx="48">
                  <c:v>2067</c:v>
                </c:pt>
                <c:pt idx="49">
                  <c:v>2068</c:v>
                </c:pt>
                <c:pt idx="50">
                  <c:v>2069</c:v>
                </c:pt>
                <c:pt idx="51">
                  <c:v>2070</c:v>
                </c:pt>
                <c:pt idx="52">
                  <c:v>2071</c:v>
                </c:pt>
                <c:pt idx="53">
                  <c:v>2072</c:v>
                </c:pt>
                <c:pt idx="54">
                  <c:v>2073</c:v>
                </c:pt>
                <c:pt idx="55">
                  <c:v>2074</c:v>
                </c:pt>
                <c:pt idx="56">
                  <c:v>2075</c:v>
                </c:pt>
                <c:pt idx="57">
                  <c:v>2076</c:v>
                </c:pt>
                <c:pt idx="58">
                  <c:v>2077</c:v>
                </c:pt>
                <c:pt idx="59">
                  <c:v>2078</c:v>
                </c:pt>
                <c:pt idx="60">
                  <c:v>2079</c:v>
                </c:pt>
                <c:pt idx="61">
                  <c:v>2080</c:v>
                </c:pt>
                <c:pt idx="62">
                  <c:v>2081</c:v>
                </c:pt>
                <c:pt idx="63">
                  <c:v>2082</c:v>
                </c:pt>
                <c:pt idx="64">
                  <c:v>2083</c:v>
                </c:pt>
                <c:pt idx="65">
                  <c:v>2084</c:v>
                </c:pt>
                <c:pt idx="66">
                  <c:v>2085</c:v>
                </c:pt>
                <c:pt idx="67">
                  <c:v>2086</c:v>
                </c:pt>
                <c:pt idx="68">
                  <c:v>2087</c:v>
                </c:pt>
                <c:pt idx="69">
                  <c:v>2088</c:v>
                </c:pt>
                <c:pt idx="70">
                  <c:v>2089</c:v>
                </c:pt>
                <c:pt idx="71">
                  <c:v>2090</c:v>
                </c:pt>
                <c:pt idx="72">
                  <c:v>2091</c:v>
                </c:pt>
                <c:pt idx="73">
                  <c:v>2092</c:v>
                </c:pt>
                <c:pt idx="74">
                  <c:v>2093</c:v>
                </c:pt>
                <c:pt idx="75">
                  <c:v>2094</c:v>
                </c:pt>
                <c:pt idx="76">
                  <c:v>2095</c:v>
                </c:pt>
                <c:pt idx="77">
                  <c:v>2096</c:v>
                </c:pt>
                <c:pt idx="78">
                  <c:v>2097</c:v>
                </c:pt>
                <c:pt idx="79">
                  <c:v>2098</c:v>
                </c:pt>
              </c:numCache>
            </c:numRef>
          </c:cat>
          <c:val>
            <c:numRef>
              <c:f>'Extrapolation average con.'!$C$21:$CD$21</c:f>
              <c:numCache>
                <c:formatCode>0.0%</c:formatCode>
                <c:ptCount val="8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formatCode="0.00%">
                  <c:v>0</c:v>
                </c:pt>
                <c:pt idx="31" formatCode="0.00%">
                  <c:v>0</c:v>
                </c:pt>
                <c:pt idx="32" formatCode="0.00%">
                  <c:v>0</c:v>
                </c:pt>
                <c:pt idx="33" formatCode="0.00%">
                  <c:v>0</c:v>
                </c:pt>
                <c:pt idx="34" formatCode="0.00%">
                  <c:v>0</c:v>
                </c:pt>
                <c:pt idx="35" formatCode="0.00%">
                  <c:v>0</c:v>
                </c:pt>
                <c:pt idx="36" formatCode="0.00%">
                  <c:v>0</c:v>
                </c:pt>
                <c:pt idx="37" formatCode="0.00%">
                  <c:v>0</c:v>
                </c:pt>
                <c:pt idx="38" formatCode="0.00%">
                  <c:v>0</c:v>
                </c:pt>
                <c:pt idx="39" formatCode="0.00%">
                  <c:v>0</c:v>
                </c:pt>
                <c:pt idx="40" formatCode="0.00%">
                  <c:v>0</c:v>
                </c:pt>
                <c:pt idx="41" formatCode="0.00%">
                  <c:v>0</c:v>
                </c:pt>
                <c:pt idx="42" formatCode="0.00%">
                  <c:v>0</c:v>
                </c:pt>
                <c:pt idx="43" formatCode="0.00%">
                  <c:v>0</c:v>
                </c:pt>
                <c:pt idx="44" formatCode="0.00%">
                  <c:v>0</c:v>
                </c:pt>
                <c:pt idx="45" formatCode="0.00%">
                  <c:v>0</c:v>
                </c:pt>
                <c:pt idx="46" formatCode="0.00%">
                  <c:v>0</c:v>
                </c:pt>
                <c:pt idx="47" formatCode="0.00%">
                  <c:v>0</c:v>
                </c:pt>
                <c:pt idx="48" formatCode="0.00%">
                  <c:v>0</c:v>
                </c:pt>
                <c:pt idx="49" formatCode="0.00%">
                  <c:v>0</c:v>
                </c:pt>
                <c:pt idx="50" formatCode="0.00%">
                  <c:v>0</c:v>
                </c:pt>
                <c:pt idx="51" formatCode="0.00%">
                  <c:v>0</c:v>
                </c:pt>
                <c:pt idx="52" formatCode="0.00%">
                  <c:v>0</c:v>
                </c:pt>
                <c:pt idx="53" formatCode="0.00%">
                  <c:v>0</c:v>
                </c:pt>
                <c:pt idx="54" formatCode="0.00%">
                  <c:v>0</c:v>
                </c:pt>
                <c:pt idx="55" formatCode="0.00%">
                  <c:v>0</c:v>
                </c:pt>
                <c:pt idx="56" formatCode="0.00%">
                  <c:v>0</c:v>
                </c:pt>
                <c:pt idx="57" formatCode="0.00%">
                  <c:v>0</c:v>
                </c:pt>
                <c:pt idx="58" formatCode="0.00%">
                  <c:v>0</c:v>
                </c:pt>
                <c:pt idx="59" formatCode="0.00%">
                  <c:v>0</c:v>
                </c:pt>
                <c:pt idx="60" formatCode="0.00%">
                  <c:v>0</c:v>
                </c:pt>
                <c:pt idx="61" formatCode="0.00%">
                  <c:v>0</c:v>
                </c:pt>
                <c:pt idx="62" formatCode="0.00%">
                  <c:v>0</c:v>
                </c:pt>
                <c:pt idx="63" formatCode="0.00%">
                  <c:v>0</c:v>
                </c:pt>
                <c:pt idx="64" formatCode="0.00%">
                  <c:v>0</c:v>
                </c:pt>
                <c:pt idx="65" formatCode="0.00%">
                  <c:v>0</c:v>
                </c:pt>
                <c:pt idx="66" formatCode="0.00%">
                  <c:v>0</c:v>
                </c:pt>
                <c:pt idx="67" formatCode="0.00%">
                  <c:v>0</c:v>
                </c:pt>
                <c:pt idx="68" formatCode="0.00%">
                  <c:v>0</c:v>
                </c:pt>
                <c:pt idx="69" formatCode="0.00%">
                  <c:v>0</c:v>
                </c:pt>
                <c:pt idx="70" formatCode="0.00%">
                  <c:v>0</c:v>
                </c:pt>
                <c:pt idx="71" formatCode="0.00%">
                  <c:v>0</c:v>
                </c:pt>
                <c:pt idx="72" formatCode="0.00%">
                  <c:v>0</c:v>
                </c:pt>
                <c:pt idx="73" formatCode="0.00%">
                  <c:v>0</c:v>
                </c:pt>
                <c:pt idx="74" formatCode="0.00%">
                  <c:v>0</c:v>
                </c:pt>
                <c:pt idx="75" formatCode="0.00%">
                  <c:v>0</c:v>
                </c:pt>
                <c:pt idx="76" formatCode="0.00%">
                  <c:v>0</c:v>
                </c:pt>
                <c:pt idx="77" formatCode="0.00%">
                  <c:v>0</c:v>
                </c:pt>
                <c:pt idx="78" formatCode="0.00%">
                  <c:v>0</c:v>
                </c:pt>
                <c:pt idx="79" formatCode="0.00%">
                  <c:v>0</c:v>
                </c:pt>
              </c:numCache>
            </c:numRef>
          </c:val>
          <c:smooth val="0"/>
          <c:extLst>
            <c:ext xmlns:c16="http://schemas.microsoft.com/office/drawing/2014/chart" uri="{C3380CC4-5D6E-409C-BE32-E72D297353CC}">
              <c16:uniqueId val="{00000002-5E80-472C-9B2E-A8CA7DEF5032}"/>
            </c:ext>
          </c:extLst>
        </c:ser>
        <c:dLbls>
          <c:showLegendKey val="0"/>
          <c:showVal val="0"/>
          <c:showCatName val="0"/>
          <c:showSerName val="0"/>
          <c:showPercent val="0"/>
          <c:showBubbleSize val="0"/>
        </c:dLbls>
        <c:smooth val="0"/>
        <c:axId val="137670784"/>
        <c:axId val="137673104"/>
      </c:lineChart>
      <c:catAx>
        <c:axId val="1376707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73104"/>
        <c:crosses val="autoZero"/>
        <c:auto val="1"/>
        <c:lblAlgn val="ctr"/>
        <c:lblOffset val="100"/>
        <c:noMultiLvlLbl val="0"/>
      </c:catAx>
      <c:valAx>
        <c:axId val="13767310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707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Changes in OPEX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0421633670659"/>
          <c:y val="0.10551168720858101"/>
          <c:w val="0.82861235180053605"/>
          <c:h val="0.62615140007916104"/>
        </c:manualLayout>
      </c:layout>
      <c:lineChart>
        <c:grouping val="standard"/>
        <c:varyColors val="0"/>
        <c:ser>
          <c:idx val="0"/>
          <c:order val="0"/>
          <c:tx>
            <c:strRef>
              <c:f>'Extrapolation average con.'!$A$22:$B$22</c:f>
              <c:strCache>
                <c:ptCount val="2"/>
                <c:pt idx="0">
                  <c:v>Expected change in operational or production costs</c:v>
                </c:pt>
                <c:pt idx="1">
                  <c:v>CAPEX</c:v>
                </c:pt>
              </c:strCache>
            </c:strRef>
          </c:tx>
          <c:spPr>
            <a:ln w="28575" cap="rnd">
              <a:solidFill>
                <a:schemeClr val="accent1"/>
              </a:solidFill>
              <a:round/>
            </a:ln>
            <a:effectLst/>
          </c:spPr>
          <c:marker>
            <c:symbol val="none"/>
          </c:marker>
          <c:cat>
            <c:numRef>
              <c:f>'Extrapolation average con.'!$C$15:$CD$15</c:f>
              <c:numCache>
                <c:formatCode>General</c:formatCode>
                <c:ptCount val="80"/>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pt idx="42">
                  <c:v>2061</c:v>
                </c:pt>
                <c:pt idx="43">
                  <c:v>2062</c:v>
                </c:pt>
                <c:pt idx="44">
                  <c:v>2063</c:v>
                </c:pt>
                <c:pt idx="45">
                  <c:v>2064</c:v>
                </c:pt>
                <c:pt idx="46">
                  <c:v>2065</c:v>
                </c:pt>
                <c:pt idx="47">
                  <c:v>2066</c:v>
                </c:pt>
                <c:pt idx="48">
                  <c:v>2067</c:v>
                </c:pt>
                <c:pt idx="49">
                  <c:v>2068</c:v>
                </c:pt>
                <c:pt idx="50">
                  <c:v>2069</c:v>
                </c:pt>
                <c:pt idx="51">
                  <c:v>2070</c:v>
                </c:pt>
                <c:pt idx="52">
                  <c:v>2071</c:v>
                </c:pt>
                <c:pt idx="53">
                  <c:v>2072</c:v>
                </c:pt>
                <c:pt idx="54">
                  <c:v>2073</c:v>
                </c:pt>
                <c:pt idx="55">
                  <c:v>2074</c:v>
                </c:pt>
                <c:pt idx="56">
                  <c:v>2075</c:v>
                </c:pt>
                <c:pt idx="57">
                  <c:v>2076</c:v>
                </c:pt>
                <c:pt idx="58">
                  <c:v>2077</c:v>
                </c:pt>
                <c:pt idx="59">
                  <c:v>2078</c:v>
                </c:pt>
                <c:pt idx="60">
                  <c:v>2079</c:v>
                </c:pt>
                <c:pt idx="61">
                  <c:v>2080</c:v>
                </c:pt>
                <c:pt idx="62">
                  <c:v>2081</c:v>
                </c:pt>
                <c:pt idx="63">
                  <c:v>2082</c:v>
                </c:pt>
                <c:pt idx="64">
                  <c:v>2083</c:v>
                </c:pt>
                <c:pt idx="65">
                  <c:v>2084</c:v>
                </c:pt>
                <c:pt idx="66">
                  <c:v>2085</c:v>
                </c:pt>
                <c:pt idx="67">
                  <c:v>2086</c:v>
                </c:pt>
                <c:pt idx="68">
                  <c:v>2087</c:v>
                </c:pt>
                <c:pt idx="69">
                  <c:v>2088</c:v>
                </c:pt>
                <c:pt idx="70">
                  <c:v>2089</c:v>
                </c:pt>
                <c:pt idx="71">
                  <c:v>2090</c:v>
                </c:pt>
                <c:pt idx="72">
                  <c:v>2091</c:v>
                </c:pt>
                <c:pt idx="73">
                  <c:v>2092</c:v>
                </c:pt>
                <c:pt idx="74">
                  <c:v>2093</c:v>
                </c:pt>
                <c:pt idx="75">
                  <c:v>2094</c:v>
                </c:pt>
                <c:pt idx="76">
                  <c:v>2095</c:v>
                </c:pt>
                <c:pt idx="77">
                  <c:v>2096</c:v>
                </c:pt>
                <c:pt idx="78">
                  <c:v>2097</c:v>
                </c:pt>
                <c:pt idx="79">
                  <c:v>2098</c:v>
                </c:pt>
              </c:numCache>
            </c:numRef>
          </c:cat>
          <c:val>
            <c:numRef>
              <c:f>'Extrapolation average con.'!$C$22:$CD$22</c:f>
              <c:numCache>
                <c:formatCode>0.0%</c:formatCode>
                <c:ptCount val="8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formatCode="0.00%">
                  <c:v>0</c:v>
                </c:pt>
                <c:pt idx="31" formatCode="0.00%">
                  <c:v>0</c:v>
                </c:pt>
                <c:pt idx="32" formatCode="0.00%">
                  <c:v>0</c:v>
                </c:pt>
                <c:pt idx="33" formatCode="0.00%">
                  <c:v>0</c:v>
                </c:pt>
                <c:pt idx="34" formatCode="0.00%">
                  <c:v>0</c:v>
                </c:pt>
                <c:pt idx="35" formatCode="0.00%">
                  <c:v>0</c:v>
                </c:pt>
                <c:pt idx="36" formatCode="0.00%">
                  <c:v>0</c:v>
                </c:pt>
                <c:pt idx="37" formatCode="0.00%">
                  <c:v>0</c:v>
                </c:pt>
                <c:pt idx="38" formatCode="0.00%">
                  <c:v>0</c:v>
                </c:pt>
                <c:pt idx="39" formatCode="0.00%">
                  <c:v>0</c:v>
                </c:pt>
                <c:pt idx="40" formatCode="0.00%">
                  <c:v>0</c:v>
                </c:pt>
                <c:pt idx="41" formatCode="0.00%">
                  <c:v>0</c:v>
                </c:pt>
                <c:pt idx="42" formatCode="0.00%">
                  <c:v>0</c:v>
                </c:pt>
                <c:pt idx="43" formatCode="0.00%">
                  <c:v>0</c:v>
                </c:pt>
                <c:pt idx="44" formatCode="0.00%">
                  <c:v>0</c:v>
                </c:pt>
                <c:pt idx="45" formatCode="0.00%">
                  <c:v>0</c:v>
                </c:pt>
                <c:pt idx="46" formatCode="0.00%">
                  <c:v>0</c:v>
                </c:pt>
                <c:pt idx="47" formatCode="0.00%">
                  <c:v>0</c:v>
                </c:pt>
                <c:pt idx="48" formatCode="0.00%">
                  <c:v>0</c:v>
                </c:pt>
                <c:pt idx="49" formatCode="0.00%">
                  <c:v>0</c:v>
                </c:pt>
                <c:pt idx="50" formatCode="0.00%">
                  <c:v>0</c:v>
                </c:pt>
                <c:pt idx="51" formatCode="0.00%">
                  <c:v>0</c:v>
                </c:pt>
                <c:pt idx="52" formatCode="0.00%">
                  <c:v>0</c:v>
                </c:pt>
                <c:pt idx="53" formatCode="0.00%">
                  <c:v>0</c:v>
                </c:pt>
                <c:pt idx="54" formatCode="0.00%">
                  <c:v>0</c:v>
                </c:pt>
                <c:pt idx="55" formatCode="0.00%">
                  <c:v>0</c:v>
                </c:pt>
                <c:pt idx="56" formatCode="0.00%">
                  <c:v>0</c:v>
                </c:pt>
                <c:pt idx="57" formatCode="0.00%">
                  <c:v>0</c:v>
                </c:pt>
                <c:pt idx="58" formatCode="0.00%">
                  <c:v>0</c:v>
                </c:pt>
                <c:pt idx="59" formatCode="0.00%">
                  <c:v>0</c:v>
                </c:pt>
                <c:pt idx="60" formatCode="0.00%">
                  <c:v>0</c:v>
                </c:pt>
                <c:pt idx="61" formatCode="0.00%">
                  <c:v>0</c:v>
                </c:pt>
                <c:pt idx="62" formatCode="0.00%">
                  <c:v>0</c:v>
                </c:pt>
                <c:pt idx="63" formatCode="0.00%">
                  <c:v>0</c:v>
                </c:pt>
                <c:pt idx="64" formatCode="0.00%">
                  <c:v>0</c:v>
                </c:pt>
                <c:pt idx="65" formatCode="0.00%">
                  <c:v>0</c:v>
                </c:pt>
                <c:pt idx="66" formatCode="0.00%">
                  <c:v>0</c:v>
                </c:pt>
                <c:pt idx="67" formatCode="0.00%">
                  <c:v>0</c:v>
                </c:pt>
                <c:pt idx="68" formatCode="0.00%">
                  <c:v>0</c:v>
                </c:pt>
                <c:pt idx="69" formatCode="0.00%">
                  <c:v>0</c:v>
                </c:pt>
                <c:pt idx="70" formatCode="0.00%">
                  <c:v>0</c:v>
                </c:pt>
                <c:pt idx="71" formatCode="0.00%">
                  <c:v>0</c:v>
                </c:pt>
                <c:pt idx="72" formatCode="0.00%">
                  <c:v>0</c:v>
                </c:pt>
                <c:pt idx="73" formatCode="0.00%">
                  <c:v>0</c:v>
                </c:pt>
                <c:pt idx="74" formatCode="0.00%">
                  <c:v>0</c:v>
                </c:pt>
                <c:pt idx="75" formatCode="0.00%">
                  <c:v>0</c:v>
                </c:pt>
                <c:pt idx="76" formatCode="0.00%">
                  <c:v>0</c:v>
                </c:pt>
                <c:pt idx="77" formatCode="0.00%">
                  <c:v>0</c:v>
                </c:pt>
                <c:pt idx="78" formatCode="0.00%">
                  <c:v>0</c:v>
                </c:pt>
                <c:pt idx="79" formatCode="0.00%">
                  <c:v>0</c:v>
                </c:pt>
              </c:numCache>
            </c:numRef>
          </c:val>
          <c:smooth val="0"/>
          <c:extLst>
            <c:ext xmlns:c16="http://schemas.microsoft.com/office/drawing/2014/chart" uri="{C3380CC4-5D6E-409C-BE32-E72D297353CC}">
              <c16:uniqueId val="{00000000-55ED-476E-AECC-AA8FC28E9BA6}"/>
            </c:ext>
          </c:extLst>
        </c:ser>
        <c:ser>
          <c:idx val="1"/>
          <c:order val="1"/>
          <c:tx>
            <c:strRef>
              <c:f>'Extrapolation average con.'!$A$23:$B$23</c:f>
              <c:strCache>
                <c:ptCount val="2"/>
                <c:pt idx="0">
                  <c:v>Expected change in operational or production costs</c:v>
                </c:pt>
                <c:pt idx="1">
                  <c:v>OPEX With Project</c:v>
                </c:pt>
              </c:strCache>
            </c:strRef>
          </c:tx>
          <c:spPr>
            <a:ln w="28575" cap="rnd">
              <a:solidFill>
                <a:schemeClr val="accent2"/>
              </a:solidFill>
              <a:round/>
            </a:ln>
            <a:effectLst/>
          </c:spPr>
          <c:marker>
            <c:symbol val="none"/>
          </c:marker>
          <c:cat>
            <c:numRef>
              <c:f>'Extrapolation average con.'!$C$15:$CD$15</c:f>
              <c:numCache>
                <c:formatCode>General</c:formatCode>
                <c:ptCount val="80"/>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pt idx="42">
                  <c:v>2061</c:v>
                </c:pt>
                <c:pt idx="43">
                  <c:v>2062</c:v>
                </c:pt>
                <c:pt idx="44">
                  <c:v>2063</c:v>
                </c:pt>
                <c:pt idx="45">
                  <c:v>2064</c:v>
                </c:pt>
                <c:pt idx="46">
                  <c:v>2065</c:v>
                </c:pt>
                <c:pt idx="47">
                  <c:v>2066</c:v>
                </c:pt>
                <c:pt idx="48">
                  <c:v>2067</c:v>
                </c:pt>
                <c:pt idx="49">
                  <c:v>2068</c:v>
                </c:pt>
                <c:pt idx="50">
                  <c:v>2069</c:v>
                </c:pt>
                <c:pt idx="51">
                  <c:v>2070</c:v>
                </c:pt>
                <c:pt idx="52">
                  <c:v>2071</c:v>
                </c:pt>
                <c:pt idx="53">
                  <c:v>2072</c:v>
                </c:pt>
                <c:pt idx="54">
                  <c:v>2073</c:v>
                </c:pt>
                <c:pt idx="55">
                  <c:v>2074</c:v>
                </c:pt>
                <c:pt idx="56">
                  <c:v>2075</c:v>
                </c:pt>
                <c:pt idx="57">
                  <c:v>2076</c:v>
                </c:pt>
                <c:pt idx="58">
                  <c:v>2077</c:v>
                </c:pt>
                <c:pt idx="59">
                  <c:v>2078</c:v>
                </c:pt>
                <c:pt idx="60">
                  <c:v>2079</c:v>
                </c:pt>
                <c:pt idx="61">
                  <c:v>2080</c:v>
                </c:pt>
                <c:pt idx="62">
                  <c:v>2081</c:v>
                </c:pt>
                <c:pt idx="63">
                  <c:v>2082</c:v>
                </c:pt>
                <c:pt idx="64">
                  <c:v>2083</c:v>
                </c:pt>
                <c:pt idx="65">
                  <c:v>2084</c:v>
                </c:pt>
                <c:pt idx="66">
                  <c:v>2085</c:v>
                </c:pt>
                <c:pt idx="67">
                  <c:v>2086</c:v>
                </c:pt>
                <c:pt idx="68">
                  <c:v>2087</c:v>
                </c:pt>
                <c:pt idx="69">
                  <c:v>2088</c:v>
                </c:pt>
                <c:pt idx="70">
                  <c:v>2089</c:v>
                </c:pt>
                <c:pt idx="71">
                  <c:v>2090</c:v>
                </c:pt>
                <c:pt idx="72">
                  <c:v>2091</c:v>
                </c:pt>
                <c:pt idx="73">
                  <c:v>2092</c:v>
                </c:pt>
                <c:pt idx="74">
                  <c:v>2093</c:v>
                </c:pt>
                <c:pt idx="75">
                  <c:v>2094</c:v>
                </c:pt>
                <c:pt idx="76">
                  <c:v>2095</c:v>
                </c:pt>
                <c:pt idx="77">
                  <c:v>2096</c:v>
                </c:pt>
                <c:pt idx="78">
                  <c:v>2097</c:v>
                </c:pt>
                <c:pt idx="79">
                  <c:v>2098</c:v>
                </c:pt>
              </c:numCache>
            </c:numRef>
          </c:cat>
          <c:val>
            <c:numRef>
              <c:f>'Extrapolation average con.'!$C$23:$CD$23</c:f>
              <c:numCache>
                <c:formatCode>0.0%</c:formatCode>
                <c:ptCount val="80"/>
                <c:pt idx="0">
                  <c:v>1.6666666666666668E-3</c:v>
                </c:pt>
                <c:pt idx="1">
                  <c:v>3.3333333333333335E-3</c:v>
                </c:pt>
                <c:pt idx="2">
                  <c:v>5.0000000000000001E-3</c:v>
                </c:pt>
                <c:pt idx="3">
                  <c:v>6.6666666666666671E-3</c:v>
                </c:pt>
                <c:pt idx="4">
                  <c:v>8.3333333333333332E-3</c:v>
                </c:pt>
                <c:pt idx="5">
                  <c:v>0.01</c:v>
                </c:pt>
                <c:pt idx="6">
                  <c:v>1.1666666666666667E-2</c:v>
                </c:pt>
                <c:pt idx="7">
                  <c:v>1.3333333333333334E-2</c:v>
                </c:pt>
                <c:pt idx="8">
                  <c:v>1.4999999999999999E-2</c:v>
                </c:pt>
                <c:pt idx="9">
                  <c:v>1.6666666666666666E-2</c:v>
                </c:pt>
                <c:pt idx="10">
                  <c:v>1.5666666666666666E-2</c:v>
                </c:pt>
                <c:pt idx="11">
                  <c:v>1.6666666666666666E-2</c:v>
                </c:pt>
                <c:pt idx="12">
                  <c:v>1.7666666666666667E-2</c:v>
                </c:pt>
                <c:pt idx="13">
                  <c:v>1.8666666666666665E-2</c:v>
                </c:pt>
                <c:pt idx="14">
                  <c:v>1.9666666666666666E-2</c:v>
                </c:pt>
                <c:pt idx="15">
                  <c:v>2.0666666666666667E-2</c:v>
                </c:pt>
                <c:pt idx="16">
                  <c:v>2.1666666666666667E-2</c:v>
                </c:pt>
                <c:pt idx="17">
                  <c:v>2.2666666666666668E-2</c:v>
                </c:pt>
                <c:pt idx="18">
                  <c:v>2.3666666666666669E-2</c:v>
                </c:pt>
                <c:pt idx="19">
                  <c:v>2.4666666666666667E-2</c:v>
                </c:pt>
                <c:pt idx="20">
                  <c:v>2.5666666666666664E-2</c:v>
                </c:pt>
                <c:pt idx="21">
                  <c:v>2.6666666666666665E-2</c:v>
                </c:pt>
                <c:pt idx="22">
                  <c:v>2.7666666666666666E-2</c:v>
                </c:pt>
                <c:pt idx="23">
                  <c:v>2.8666666666666667E-2</c:v>
                </c:pt>
                <c:pt idx="24">
                  <c:v>2.9666666666666668E-2</c:v>
                </c:pt>
                <c:pt idx="25">
                  <c:v>3.0666666666666668E-2</c:v>
                </c:pt>
                <c:pt idx="26">
                  <c:v>3.1666666666666662E-2</c:v>
                </c:pt>
                <c:pt idx="27">
                  <c:v>3.2666666666666663E-2</c:v>
                </c:pt>
                <c:pt idx="28">
                  <c:v>3.3666666666666664E-2</c:v>
                </c:pt>
                <c:pt idx="29">
                  <c:v>3.4666666666666665E-2</c:v>
                </c:pt>
                <c:pt idx="30" formatCode="0.00%">
                  <c:v>3.5466666666666667E-2</c:v>
                </c:pt>
                <c:pt idx="31" formatCode="0.00%">
                  <c:v>3.4666666666666665E-2</c:v>
                </c:pt>
                <c:pt idx="32" formatCode="0.00%">
                  <c:v>3.3866666666666663E-2</c:v>
                </c:pt>
                <c:pt idx="33" formatCode="0.00%">
                  <c:v>3.3066666666666668E-2</c:v>
                </c:pt>
                <c:pt idx="34" formatCode="0.00%">
                  <c:v>3.2266666666666666E-2</c:v>
                </c:pt>
                <c:pt idx="35" formatCode="0.00%">
                  <c:v>3.1466666666666664E-2</c:v>
                </c:pt>
                <c:pt idx="36" formatCode="0.00%">
                  <c:v>3.0666666666666665E-2</c:v>
                </c:pt>
                <c:pt idx="37" formatCode="0.00%">
                  <c:v>2.9866666666666666E-2</c:v>
                </c:pt>
                <c:pt idx="38" formatCode="0.00%">
                  <c:v>2.9066666666666664E-2</c:v>
                </c:pt>
                <c:pt idx="39" formatCode="0.00%">
                  <c:v>2.8266666666666666E-2</c:v>
                </c:pt>
                <c:pt idx="40" formatCode="0.00%">
                  <c:v>2.7466666666666667E-2</c:v>
                </c:pt>
                <c:pt idx="41" formatCode="0.00%">
                  <c:v>2.6666666666666665E-2</c:v>
                </c:pt>
                <c:pt idx="42" formatCode="0.00%">
                  <c:v>2.5866666666666663E-2</c:v>
                </c:pt>
                <c:pt idx="43" formatCode="0.00%">
                  <c:v>2.5066666666666668E-2</c:v>
                </c:pt>
                <c:pt idx="44" formatCode="0.00%">
                  <c:v>2.4266666666666666E-2</c:v>
                </c:pt>
                <c:pt idx="45" formatCode="0.00%">
                  <c:v>2.3466666666666663E-2</c:v>
                </c:pt>
                <c:pt idx="46" formatCode="0.00%">
                  <c:v>2.2666666666666665E-2</c:v>
                </c:pt>
                <c:pt idx="47" formatCode="0.00%">
                  <c:v>2.1866666666666666E-2</c:v>
                </c:pt>
                <c:pt idx="48" formatCode="0.00%">
                  <c:v>2.1066666666666664E-2</c:v>
                </c:pt>
                <c:pt idx="49" formatCode="0.00%">
                  <c:v>2.0266666666666665E-2</c:v>
                </c:pt>
                <c:pt idx="50" formatCode="0.00%">
                  <c:v>1.9466666666666667E-2</c:v>
                </c:pt>
                <c:pt idx="51" formatCode="0.00%">
                  <c:v>1.8666666666666665E-2</c:v>
                </c:pt>
                <c:pt idx="52" formatCode="0.00%">
                  <c:v>1.7866666666666666E-2</c:v>
                </c:pt>
                <c:pt idx="53" formatCode="0.00%">
                  <c:v>1.7066666666666664E-2</c:v>
                </c:pt>
                <c:pt idx="54" formatCode="0.00%">
                  <c:v>1.6266666666666665E-2</c:v>
                </c:pt>
                <c:pt idx="55" formatCode="0.00%">
                  <c:v>1.5466666666666667E-2</c:v>
                </c:pt>
                <c:pt idx="56" formatCode="0.00%">
                  <c:v>1.4666666666666665E-2</c:v>
                </c:pt>
                <c:pt idx="57" formatCode="0.00%">
                  <c:v>1.3866666666666666E-2</c:v>
                </c:pt>
                <c:pt idx="58" formatCode="0.00%">
                  <c:v>1.3066666666666664E-2</c:v>
                </c:pt>
                <c:pt idx="59" formatCode="0.00%">
                  <c:v>1.2266666666666662E-2</c:v>
                </c:pt>
                <c:pt idx="60" formatCode="0.00%">
                  <c:v>1.1466666666666667E-2</c:v>
                </c:pt>
                <c:pt idx="61" formatCode="0.00%">
                  <c:v>1.0666666666666665E-2</c:v>
                </c:pt>
                <c:pt idx="62" formatCode="0.00%">
                  <c:v>9.8666666666666659E-3</c:v>
                </c:pt>
                <c:pt idx="63" formatCode="0.00%">
                  <c:v>9.0666666666666638E-3</c:v>
                </c:pt>
                <c:pt idx="64" formatCode="0.00%">
                  <c:v>8.2666666666666652E-3</c:v>
                </c:pt>
                <c:pt idx="65" formatCode="0.00%">
                  <c:v>7.4666666666666631E-3</c:v>
                </c:pt>
                <c:pt idx="66" formatCode="0.00%">
                  <c:v>6.666666666666661E-3</c:v>
                </c:pt>
                <c:pt idx="67" formatCode="0.00%">
                  <c:v>5.8666666666666659E-3</c:v>
                </c:pt>
                <c:pt idx="68" formatCode="0.00%">
                  <c:v>5.0666666666666638E-3</c:v>
                </c:pt>
                <c:pt idx="69" formatCode="0.00%">
                  <c:v>4.2666666666666651E-3</c:v>
                </c:pt>
                <c:pt idx="70" formatCode="0.00%">
                  <c:v>3.466666666666663E-3</c:v>
                </c:pt>
                <c:pt idx="71" formatCode="0.00%">
                  <c:v>2.6666666666666644E-3</c:v>
                </c:pt>
                <c:pt idx="72" formatCode="0.00%">
                  <c:v>1.8666666666666623E-3</c:v>
                </c:pt>
                <c:pt idx="73" formatCode="0.00%">
                  <c:v>1.0666666666666672E-3</c:v>
                </c:pt>
                <c:pt idx="74" formatCode="0.00%">
                  <c:v>2.6666666666666505E-4</c:v>
                </c:pt>
                <c:pt idx="75" formatCode="0.00%">
                  <c:v>-5.3333333333333705E-4</c:v>
                </c:pt>
                <c:pt idx="76" formatCode="0.00%">
                  <c:v>-1.3333333333333391E-3</c:v>
                </c:pt>
                <c:pt idx="77" formatCode="0.00%">
                  <c:v>-2.1333333333333343E-3</c:v>
                </c:pt>
                <c:pt idx="78" formatCode="0.00%">
                  <c:v>-2.9333333333333364E-3</c:v>
                </c:pt>
                <c:pt idx="79" formatCode="0.00%">
                  <c:v>-3.7333333333333316E-3</c:v>
                </c:pt>
              </c:numCache>
            </c:numRef>
          </c:val>
          <c:smooth val="0"/>
          <c:extLst>
            <c:ext xmlns:c16="http://schemas.microsoft.com/office/drawing/2014/chart" uri="{C3380CC4-5D6E-409C-BE32-E72D297353CC}">
              <c16:uniqueId val="{00000001-55ED-476E-AECC-AA8FC28E9BA6}"/>
            </c:ext>
          </c:extLst>
        </c:ser>
        <c:ser>
          <c:idx val="2"/>
          <c:order val="2"/>
          <c:tx>
            <c:strRef>
              <c:f>'Extrapolation average con.'!$A$24:$B$24</c:f>
              <c:strCache>
                <c:ptCount val="2"/>
                <c:pt idx="0">
                  <c:v>Expected change in operational or production costs</c:v>
                </c:pt>
                <c:pt idx="1">
                  <c:v>OPEX Without Project</c:v>
                </c:pt>
              </c:strCache>
            </c:strRef>
          </c:tx>
          <c:spPr>
            <a:ln w="28575" cap="rnd">
              <a:solidFill>
                <a:schemeClr val="accent3"/>
              </a:solidFill>
              <a:round/>
            </a:ln>
            <a:effectLst/>
          </c:spPr>
          <c:marker>
            <c:symbol val="none"/>
          </c:marker>
          <c:cat>
            <c:numRef>
              <c:f>'Extrapolation average con.'!$C$15:$CD$15</c:f>
              <c:numCache>
                <c:formatCode>General</c:formatCode>
                <c:ptCount val="80"/>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pt idx="42">
                  <c:v>2061</c:v>
                </c:pt>
                <c:pt idx="43">
                  <c:v>2062</c:v>
                </c:pt>
                <c:pt idx="44">
                  <c:v>2063</c:v>
                </c:pt>
                <c:pt idx="45">
                  <c:v>2064</c:v>
                </c:pt>
                <c:pt idx="46">
                  <c:v>2065</c:v>
                </c:pt>
                <c:pt idx="47">
                  <c:v>2066</c:v>
                </c:pt>
                <c:pt idx="48">
                  <c:v>2067</c:v>
                </c:pt>
                <c:pt idx="49">
                  <c:v>2068</c:v>
                </c:pt>
                <c:pt idx="50">
                  <c:v>2069</c:v>
                </c:pt>
                <c:pt idx="51">
                  <c:v>2070</c:v>
                </c:pt>
                <c:pt idx="52">
                  <c:v>2071</c:v>
                </c:pt>
                <c:pt idx="53">
                  <c:v>2072</c:v>
                </c:pt>
                <c:pt idx="54">
                  <c:v>2073</c:v>
                </c:pt>
                <c:pt idx="55">
                  <c:v>2074</c:v>
                </c:pt>
                <c:pt idx="56">
                  <c:v>2075</c:v>
                </c:pt>
                <c:pt idx="57">
                  <c:v>2076</c:v>
                </c:pt>
                <c:pt idx="58">
                  <c:v>2077</c:v>
                </c:pt>
                <c:pt idx="59">
                  <c:v>2078</c:v>
                </c:pt>
                <c:pt idx="60">
                  <c:v>2079</c:v>
                </c:pt>
                <c:pt idx="61">
                  <c:v>2080</c:v>
                </c:pt>
                <c:pt idx="62">
                  <c:v>2081</c:v>
                </c:pt>
                <c:pt idx="63">
                  <c:v>2082</c:v>
                </c:pt>
                <c:pt idx="64">
                  <c:v>2083</c:v>
                </c:pt>
                <c:pt idx="65">
                  <c:v>2084</c:v>
                </c:pt>
                <c:pt idx="66">
                  <c:v>2085</c:v>
                </c:pt>
                <c:pt idx="67">
                  <c:v>2086</c:v>
                </c:pt>
                <c:pt idx="68">
                  <c:v>2087</c:v>
                </c:pt>
                <c:pt idx="69">
                  <c:v>2088</c:v>
                </c:pt>
                <c:pt idx="70">
                  <c:v>2089</c:v>
                </c:pt>
                <c:pt idx="71">
                  <c:v>2090</c:v>
                </c:pt>
                <c:pt idx="72">
                  <c:v>2091</c:v>
                </c:pt>
                <c:pt idx="73">
                  <c:v>2092</c:v>
                </c:pt>
                <c:pt idx="74">
                  <c:v>2093</c:v>
                </c:pt>
                <c:pt idx="75">
                  <c:v>2094</c:v>
                </c:pt>
                <c:pt idx="76">
                  <c:v>2095</c:v>
                </c:pt>
                <c:pt idx="77">
                  <c:v>2096</c:v>
                </c:pt>
                <c:pt idx="78">
                  <c:v>2097</c:v>
                </c:pt>
                <c:pt idx="79">
                  <c:v>2098</c:v>
                </c:pt>
              </c:numCache>
            </c:numRef>
          </c:cat>
          <c:val>
            <c:numRef>
              <c:f>'Extrapolation average con.'!$C$24:$CD$24</c:f>
              <c:numCache>
                <c:formatCode>0.0%</c:formatCode>
                <c:ptCount val="80"/>
                <c:pt idx="0">
                  <c:v>5.0000000000000001E-3</c:v>
                </c:pt>
                <c:pt idx="1">
                  <c:v>0.01</c:v>
                </c:pt>
                <c:pt idx="2">
                  <c:v>1.4999999999999999E-2</c:v>
                </c:pt>
                <c:pt idx="3">
                  <c:v>0.02</c:v>
                </c:pt>
                <c:pt idx="4">
                  <c:v>2.4999999999999998E-2</c:v>
                </c:pt>
                <c:pt idx="5">
                  <c:v>0.03</c:v>
                </c:pt>
                <c:pt idx="6">
                  <c:v>3.4999999999999996E-2</c:v>
                </c:pt>
                <c:pt idx="7">
                  <c:v>0.04</c:v>
                </c:pt>
                <c:pt idx="8">
                  <c:v>4.5000000000000005E-2</c:v>
                </c:pt>
                <c:pt idx="9">
                  <c:v>4.9999999999999996E-2</c:v>
                </c:pt>
                <c:pt idx="10">
                  <c:v>4.7999999999999994E-2</c:v>
                </c:pt>
                <c:pt idx="11">
                  <c:v>4.9999999999999996E-2</c:v>
                </c:pt>
                <c:pt idx="12">
                  <c:v>5.1999999999999998E-2</c:v>
                </c:pt>
                <c:pt idx="13">
                  <c:v>5.3999999999999999E-2</c:v>
                </c:pt>
                <c:pt idx="14">
                  <c:v>5.5999999999999994E-2</c:v>
                </c:pt>
                <c:pt idx="15">
                  <c:v>5.7999999999999996E-2</c:v>
                </c:pt>
                <c:pt idx="16">
                  <c:v>0.06</c:v>
                </c:pt>
                <c:pt idx="17">
                  <c:v>6.2E-2</c:v>
                </c:pt>
                <c:pt idx="18">
                  <c:v>6.4000000000000001E-2</c:v>
                </c:pt>
                <c:pt idx="19">
                  <c:v>6.6000000000000003E-2</c:v>
                </c:pt>
                <c:pt idx="20">
                  <c:v>6.8000000000000005E-2</c:v>
                </c:pt>
                <c:pt idx="21">
                  <c:v>7.0000000000000007E-2</c:v>
                </c:pt>
                <c:pt idx="22">
                  <c:v>7.1999999999999995E-2</c:v>
                </c:pt>
                <c:pt idx="23">
                  <c:v>7.3999999999999996E-2</c:v>
                </c:pt>
                <c:pt idx="24">
                  <c:v>7.5999999999999998E-2</c:v>
                </c:pt>
                <c:pt idx="25">
                  <c:v>7.8E-2</c:v>
                </c:pt>
                <c:pt idx="26">
                  <c:v>0.08</c:v>
                </c:pt>
                <c:pt idx="27">
                  <c:v>8.2000000000000003E-2</c:v>
                </c:pt>
                <c:pt idx="28">
                  <c:v>8.4000000000000005E-2</c:v>
                </c:pt>
                <c:pt idx="29">
                  <c:v>8.6000000000000007E-2</c:v>
                </c:pt>
                <c:pt idx="30" formatCode="0.00%">
                  <c:v>8.8000000000000009E-2</c:v>
                </c:pt>
                <c:pt idx="31" formatCode="0.00%">
                  <c:v>8.6000000000000007E-2</c:v>
                </c:pt>
                <c:pt idx="32" formatCode="0.00%">
                  <c:v>8.4000000000000005E-2</c:v>
                </c:pt>
                <c:pt idx="33" formatCode="0.00%">
                  <c:v>8.2000000000000003E-2</c:v>
                </c:pt>
                <c:pt idx="34" formatCode="0.00%">
                  <c:v>0.08</c:v>
                </c:pt>
                <c:pt idx="35" formatCode="0.00%">
                  <c:v>7.8000000000000014E-2</c:v>
                </c:pt>
                <c:pt idx="36" formatCode="0.00%">
                  <c:v>7.6000000000000012E-2</c:v>
                </c:pt>
                <c:pt idx="37" formatCode="0.00%">
                  <c:v>7.400000000000001E-2</c:v>
                </c:pt>
                <c:pt idx="38" formatCode="0.00%">
                  <c:v>7.2000000000000008E-2</c:v>
                </c:pt>
                <c:pt idx="39" formatCode="0.00%">
                  <c:v>7.0000000000000007E-2</c:v>
                </c:pt>
                <c:pt idx="40" formatCode="0.00%">
                  <c:v>6.8000000000000005E-2</c:v>
                </c:pt>
                <c:pt idx="41" formatCode="0.00%">
                  <c:v>6.6000000000000003E-2</c:v>
                </c:pt>
                <c:pt idx="42" formatCode="0.00%">
                  <c:v>6.4000000000000001E-2</c:v>
                </c:pt>
                <c:pt idx="43" formatCode="0.00%">
                  <c:v>6.2E-2</c:v>
                </c:pt>
                <c:pt idx="44" formatCode="0.00%">
                  <c:v>6.0000000000000005E-2</c:v>
                </c:pt>
                <c:pt idx="45" formatCode="0.00%">
                  <c:v>5.8000000000000003E-2</c:v>
                </c:pt>
                <c:pt idx="46" formatCode="0.00%">
                  <c:v>5.6000000000000008E-2</c:v>
                </c:pt>
                <c:pt idx="47" formatCode="0.00%">
                  <c:v>5.4000000000000006E-2</c:v>
                </c:pt>
                <c:pt idx="48" formatCode="0.00%">
                  <c:v>5.2000000000000005E-2</c:v>
                </c:pt>
                <c:pt idx="49" formatCode="0.00%">
                  <c:v>0.05</c:v>
                </c:pt>
                <c:pt idx="50" formatCode="0.00%">
                  <c:v>4.8000000000000001E-2</c:v>
                </c:pt>
                <c:pt idx="51" formatCode="0.00%">
                  <c:v>4.6000000000000006E-2</c:v>
                </c:pt>
                <c:pt idx="52" formatCode="0.00%">
                  <c:v>4.4000000000000004E-2</c:v>
                </c:pt>
                <c:pt idx="53" formatCode="0.00%">
                  <c:v>4.2000000000000003E-2</c:v>
                </c:pt>
                <c:pt idx="54" formatCode="0.00%">
                  <c:v>0.04</c:v>
                </c:pt>
                <c:pt idx="55" formatCode="0.00%">
                  <c:v>3.7999999999999999E-2</c:v>
                </c:pt>
                <c:pt idx="56" formatCode="0.00%">
                  <c:v>3.6000000000000004E-2</c:v>
                </c:pt>
                <c:pt idx="57" formatCode="0.00%">
                  <c:v>3.4000000000000002E-2</c:v>
                </c:pt>
                <c:pt idx="58" formatCode="0.00%">
                  <c:v>3.2000000000000001E-2</c:v>
                </c:pt>
                <c:pt idx="59" formatCode="0.00%">
                  <c:v>0.03</c:v>
                </c:pt>
                <c:pt idx="60" formatCode="0.00%">
                  <c:v>2.7999999999999997E-2</c:v>
                </c:pt>
                <c:pt idx="61" formatCode="0.00%">
                  <c:v>2.6000000000000009E-2</c:v>
                </c:pt>
                <c:pt idx="62" formatCode="0.00%">
                  <c:v>2.4000000000000007E-2</c:v>
                </c:pt>
                <c:pt idx="63" formatCode="0.00%">
                  <c:v>2.2000000000000006E-2</c:v>
                </c:pt>
                <c:pt idx="64" formatCode="0.00%">
                  <c:v>2.0000000000000004E-2</c:v>
                </c:pt>
                <c:pt idx="65" formatCode="0.00%">
                  <c:v>1.8000000000000002E-2</c:v>
                </c:pt>
                <c:pt idx="66" formatCode="0.00%">
                  <c:v>1.6E-2</c:v>
                </c:pt>
                <c:pt idx="67" formatCode="0.00%">
                  <c:v>1.3999999999999999E-2</c:v>
                </c:pt>
                <c:pt idx="68" formatCode="0.00%">
                  <c:v>1.1999999999999997E-2</c:v>
                </c:pt>
                <c:pt idx="69" formatCode="0.00%">
                  <c:v>9.999999999999995E-3</c:v>
                </c:pt>
                <c:pt idx="70" formatCode="0.00%">
                  <c:v>7.9999999999999932E-3</c:v>
                </c:pt>
                <c:pt idx="71" formatCode="0.00%">
                  <c:v>6.0000000000000053E-3</c:v>
                </c:pt>
                <c:pt idx="72" formatCode="0.00%">
                  <c:v>3.9999999999999897E-3</c:v>
                </c:pt>
                <c:pt idx="73" formatCode="0.00%">
                  <c:v>2.0000000000000018E-3</c:v>
                </c:pt>
                <c:pt idx="74" formatCode="0.00%">
                  <c:v>0</c:v>
                </c:pt>
                <c:pt idx="75" formatCode="0.00%">
                  <c:v>-2.0000000000000018E-3</c:v>
                </c:pt>
                <c:pt idx="76" formatCode="0.00%">
                  <c:v>-3.9999999999999897E-3</c:v>
                </c:pt>
                <c:pt idx="77" formatCode="0.00%">
                  <c:v>-6.0000000000000053E-3</c:v>
                </c:pt>
                <c:pt idx="78" formatCode="0.00%">
                  <c:v>-7.9999999999999932E-3</c:v>
                </c:pt>
                <c:pt idx="79" formatCode="0.00%">
                  <c:v>-1.0000000000000009E-2</c:v>
                </c:pt>
              </c:numCache>
            </c:numRef>
          </c:val>
          <c:smooth val="0"/>
          <c:extLst>
            <c:ext xmlns:c16="http://schemas.microsoft.com/office/drawing/2014/chart" uri="{C3380CC4-5D6E-409C-BE32-E72D297353CC}">
              <c16:uniqueId val="{00000002-55ED-476E-AECC-AA8FC28E9BA6}"/>
            </c:ext>
          </c:extLst>
        </c:ser>
        <c:dLbls>
          <c:showLegendKey val="0"/>
          <c:showVal val="0"/>
          <c:showCatName val="0"/>
          <c:showSerName val="0"/>
          <c:showPercent val="0"/>
          <c:showBubbleSize val="0"/>
        </c:dLbls>
        <c:smooth val="0"/>
        <c:axId val="183308096"/>
        <c:axId val="183310416"/>
      </c:lineChart>
      <c:catAx>
        <c:axId val="1833080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310416"/>
        <c:crosses val="autoZero"/>
        <c:auto val="1"/>
        <c:lblAlgn val="ctr"/>
        <c:lblOffset val="100"/>
        <c:noMultiLvlLbl val="0"/>
      </c:catAx>
      <c:valAx>
        <c:axId val="18331041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3080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Changes</a:t>
            </a:r>
            <a:r>
              <a:rPr lang="en-US" baseline="0"/>
              <a:t> </a:t>
            </a:r>
            <a:r>
              <a:rPr lang="en-US"/>
              <a:t>in quantities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43880703723223E-2"/>
          <c:y val="0.10551168720858101"/>
          <c:w val="0.86344905792529603"/>
          <c:h val="0.75438382319737096"/>
        </c:manualLayout>
      </c:layout>
      <c:lineChart>
        <c:grouping val="standard"/>
        <c:varyColors val="0"/>
        <c:ser>
          <c:idx val="0"/>
          <c:order val="0"/>
          <c:tx>
            <c:strRef>
              <c:f>'Extrapolation average con.'!$A$16:$B$16</c:f>
              <c:strCache>
                <c:ptCount val="2"/>
                <c:pt idx="0">
                  <c:v>Expected change in quantity produced (e.g., corn yield)</c:v>
                </c:pt>
                <c:pt idx="1">
                  <c:v>User Costs With Project</c:v>
                </c:pt>
              </c:strCache>
            </c:strRef>
          </c:tx>
          <c:spPr>
            <a:ln w="28575" cap="rnd">
              <a:solidFill>
                <a:schemeClr val="accent1"/>
              </a:solidFill>
              <a:round/>
            </a:ln>
            <a:effectLst/>
          </c:spPr>
          <c:marker>
            <c:symbol val="none"/>
          </c:marker>
          <c:cat>
            <c:numRef>
              <c:f>'Extrapolation average con.'!$C$15:$AF$15</c:f>
              <c:numCache>
                <c:formatCode>General</c:formatCode>
                <c:ptCount val="30"/>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numCache>
            </c:numRef>
          </c:cat>
          <c:val>
            <c:numRef>
              <c:f>'Extrapolation average con.'!$C$16:$AF$16</c:f>
              <c:numCache>
                <c:formatCode>0.0%</c:formatCode>
                <c:ptCount val="30"/>
                <c:pt idx="0">
                  <c:v>-3.3333333333333332E-4</c:v>
                </c:pt>
                <c:pt idx="1">
                  <c:v>-6.6666666666666664E-4</c:v>
                </c:pt>
                <c:pt idx="2">
                  <c:v>-1E-3</c:v>
                </c:pt>
                <c:pt idx="3">
                  <c:v>-1.3333333333333333E-3</c:v>
                </c:pt>
                <c:pt idx="4">
                  <c:v>-1.6666666666666668E-3</c:v>
                </c:pt>
                <c:pt idx="5">
                  <c:v>-2E-3</c:v>
                </c:pt>
                <c:pt idx="6">
                  <c:v>-2.3333333333333335E-3</c:v>
                </c:pt>
                <c:pt idx="7">
                  <c:v>-2.6666666666666666E-3</c:v>
                </c:pt>
                <c:pt idx="8">
                  <c:v>-3.0000000000000005E-3</c:v>
                </c:pt>
                <c:pt idx="9">
                  <c:v>-3.3333333333333335E-3</c:v>
                </c:pt>
                <c:pt idx="10" formatCode="0.0000%">
                  <c:v>-3.1333333333333335E-3</c:v>
                </c:pt>
                <c:pt idx="11">
                  <c:v>-3.3333333333333335E-3</c:v>
                </c:pt>
                <c:pt idx="12">
                  <c:v>-3.5333333333333336E-3</c:v>
                </c:pt>
                <c:pt idx="13">
                  <c:v>-3.7333333333333337E-3</c:v>
                </c:pt>
                <c:pt idx="14">
                  <c:v>-3.9333333333333338E-3</c:v>
                </c:pt>
                <c:pt idx="15">
                  <c:v>-4.1333333333333335E-3</c:v>
                </c:pt>
                <c:pt idx="16">
                  <c:v>-4.3333333333333331E-3</c:v>
                </c:pt>
                <c:pt idx="17">
                  <c:v>-4.5333333333333337E-3</c:v>
                </c:pt>
                <c:pt idx="18">
                  <c:v>-4.7333333333333333E-3</c:v>
                </c:pt>
                <c:pt idx="19">
                  <c:v>-4.9333333333333338E-3</c:v>
                </c:pt>
                <c:pt idx="20">
                  <c:v>-5.1333333333333335E-3</c:v>
                </c:pt>
                <c:pt idx="21">
                  <c:v>-5.333333333333334E-3</c:v>
                </c:pt>
                <c:pt idx="22">
                  <c:v>-5.5333333333333328E-3</c:v>
                </c:pt>
                <c:pt idx="23">
                  <c:v>-5.7333333333333333E-3</c:v>
                </c:pt>
                <c:pt idx="24">
                  <c:v>-5.9333333333333339E-3</c:v>
                </c:pt>
                <c:pt idx="25">
                  <c:v>-6.1333333333333335E-3</c:v>
                </c:pt>
                <c:pt idx="26">
                  <c:v>-6.3333333333333332E-3</c:v>
                </c:pt>
                <c:pt idx="27">
                  <c:v>-6.5333333333333337E-3</c:v>
                </c:pt>
                <c:pt idx="28">
                  <c:v>-6.7333333333333342E-3</c:v>
                </c:pt>
                <c:pt idx="29">
                  <c:v>-6.9333333333333339E-3</c:v>
                </c:pt>
              </c:numCache>
            </c:numRef>
          </c:val>
          <c:smooth val="0"/>
          <c:extLst>
            <c:ext xmlns:c16="http://schemas.microsoft.com/office/drawing/2014/chart" uri="{C3380CC4-5D6E-409C-BE32-E72D297353CC}">
              <c16:uniqueId val="{00000000-E47A-4594-91A9-91F720828CDB}"/>
            </c:ext>
          </c:extLst>
        </c:ser>
        <c:ser>
          <c:idx val="1"/>
          <c:order val="1"/>
          <c:tx>
            <c:strRef>
              <c:f>'Extrapolation average con.'!$A$17:$B$17</c:f>
              <c:strCache>
                <c:ptCount val="2"/>
                <c:pt idx="0">
                  <c:v>Expected change in quantity produced (e.g., corn yield)</c:v>
                </c:pt>
                <c:pt idx="1">
                  <c:v>User Costs Without Project</c:v>
                </c:pt>
              </c:strCache>
            </c:strRef>
          </c:tx>
          <c:spPr>
            <a:ln w="28575" cap="rnd">
              <a:solidFill>
                <a:schemeClr val="accent2"/>
              </a:solidFill>
              <a:round/>
            </a:ln>
            <a:effectLst/>
          </c:spPr>
          <c:marker>
            <c:symbol val="none"/>
          </c:marker>
          <c:cat>
            <c:numRef>
              <c:f>'Extrapolation average con.'!$C$15:$AF$15</c:f>
              <c:numCache>
                <c:formatCode>General</c:formatCode>
                <c:ptCount val="30"/>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numCache>
            </c:numRef>
          </c:cat>
          <c:val>
            <c:numRef>
              <c:f>'Extrapolation average con.'!$C$17:$CD$17</c:f>
              <c:numCache>
                <c:formatCode>0.0%</c:formatCode>
                <c:ptCount val="80"/>
                <c:pt idx="0">
                  <c:v>-1E-3</c:v>
                </c:pt>
                <c:pt idx="1">
                  <c:v>-2E-3</c:v>
                </c:pt>
                <c:pt idx="2">
                  <c:v>-3.0000000000000005E-3</c:v>
                </c:pt>
                <c:pt idx="3">
                  <c:v>-4.0000000000000001E-3</c:v>
                </c:pt>
                <c:pt idx="4">
                  <c:v>-5.0000000000000001E-3</c:v>
                </c:pt>
                <c:pt idx="5">
                  <c:v>-6.000000000000001E-3</c:v>
                </c:pt>
                <c:pt idx="6">
                  <c:v>-7.0000000000000001E-3</c:v>
                </c:pt>
                <c:pt idx="7">
                  <c:v>-8.0000000000000002E-3</c:v>
                </c:pt>
                <c:pt idx="8">
                  <c:v>-8.9999999999999993E-3</c:v>
                </c:pt>
                <c:pt idx="9">
                  <c:v>-0.01</c:v>
                </c:pt>
                <c:pt idx="10">
                  <c:v>-8.5500000000000003E-3</c:v>
                </c:pt>
                <c:pt idx="11">
                  <c:v>-0.01</c:v>
                </c:pt>
                <c:pt idx="12">
                  <c:v>-1.145E-2</c:v>
                </c:pt>
                <c:pt idx="13">
                  <c:v>-1.29E-2</c:v>
                </c:pt>
                <c:pt idx="14">
                  <c:v>-1.4350000000000002E-2</c:v>
                </c:pt>
                <c:pt idx="15">
                  <c:v>-1.5800000000000002E-2</c:v>
                </c:pt>
                <c:pt idx="16">
                  <c:v>-1.7250000000000001E-2</c:v>
                </c:pt>
                <c:pt idx="17">
                  <c:v>-1.8700000000000001E-2</c:v>
                </c:pt>
                <c:pt idx="18">
                  <c:v>-2.0150000000000001E-2</c:v>
                </c:pt>
                <c:pt idx="19">
                  <c:v>-2.1600000000000001E-2</c:v>
                </c:pt>
                <c:pt idx="20">
                  <c:v>-2.3050000000000001E-2</c:v>
                </c:pt>
                <c:pt idx="21">
                  <c:v>-2.4500000000000001E-2</c:v>
                </c:pt>
                <c:pt idx="22">
                  <c:v>-2.5950000000000001E-2</c:v>
                </c:pt>
                <c:pt idx="23">
                  <c:v>-2.7400000000000001E-2</c:v>
                </c:pt>
                <c:pt idx="24">
                  <c:v>-2.8850000000000001E-2</c:v>
                </c:pt>
                <c:pt idx="25">
                  <c:v>-3.0300000000000001E-2</c:v>
                </c:pt>
                <c:pt idx="26">
                  <c:v>-3.175E-2</c:v>
                </c:pt>
                <c:pt idx="27">
                  <c:v>-3.32E-2</c:v>
                </c:pt>
                <c:pt idx="28">
                  <c:v>-3.465E-2</c:v>
                </c:pt>
                <c:pt idx="29">
                  <c:v>-3.61E-2</c:v>
                </c:pt>
                <c:pt idx="30" formatCode="0.00%">
                  <c:v>-3.6920000000000001E-2</c:v>
                </c:pt>
                <c:pt idx="31" formatCode="0.00%">
                  <c:v>-3.61E-2</c:v>
                </c:pt>
                <c:pt idx="32" formatCode="0.00%">
                  <c:v>-3.5279999999999999E-2</c:v>
                </c:pt>
                <c:pt idx="33" formatCode="0.00%">
                  <c:v>-3.4459999999999998E-2</c:v>
                </c:pt>
                <c:pt idx="34" formatCode="0.00%">
                  <c:v>-3.3640000000000003E-2</c:v>
                </c:pt>
                <c:pt idx="35" formatCode="0.00%">
                  <c:v>-3.2820000000000002E-2</c:v>
                </c:pt>
                <c:pt idx="36" formatCode="0.00%">
                  <c:v>-3.2000000000000001E-2</c:v>
                </c:pt>
                <c:pt idx="37" formatCode="0.00%">
                  <c:v>-3.1179999999999999E-2</c:v>
                </c:pt>
                <c:pt idx="38" formatCode="0.00%">
                  <c:v>-3.0359999999999998E-2</c:v>
                </c:pt>
                <c:pt idx="39" formatCode="0.00%">
                  <c:v>-2.954E-2</c:v>
                </c:pt>
                <c:pt idx="40" formatCode="0.00%">
                  <c:v>-2.8719999999999999E-2</c:v>
                </c:pt>
                <c:pt idx="41" formatCode="0.00%">
                  <c:v>-2.7900000000000001E-2</c:v>
                </c:pt>
                <c:pt idx="42" formatCode="0.00%">
                  <c:v>-2.708E-2</c:v>
                </c:pt>
                <c:pt idx="43" formatCode="0.00%">
                  <c:v>-2.6259999999999999E-2</c:v>
                </c:pt>
                <c:pt idx="44" formatCode="0.00%">
                  <c:v>-2.5439999999999997E-2</c:v>
                </c:pt>
                <c:pt idx="45" formatCode="0.00%">
                  <c:v>-2.462E-2</c:v>
                </c:pt>
                <c:pt idx="46" formatCode="0.00%">
                  <c:v>-2.3800000000000002E-2</c:v>
                </c:pt>
                <c:pt idx="47" formatCode="0.00%">
                  <c:v>-2.298E-2</c:v>
                </c:pt>
                <c:pt idx="48" formatCode="0.00%">
                  <c:v>-2.2159999999999999E-2</c:v>
                </c:pt>
                <c:pt idx="49" formatCode="0.00%">
                  <c:v>-2.1339999999999998E-2</c:v>
                </c:pt>
                <c:pt idx="50" formatCode="0.00%">
                  <c:v>-2.052E-2</c:v>
                </c:pt>
                <c:pt idx="51" formatCode="0.00%">
                  <c:v>-1.9699999999999999E-2</c:v>
                </c:pt>
                <c:pt idx="52" formatCode="0.00%">
                  <c:v>-1.8880000000000001E-2</c:v>
                </c:pt>
                <c:pt idx="53" formatCode="0.00%">
                  <c:v>-1.806E-2</c:v>
                </c:pt>
                <c:pt idx="54" formatCode="0.00%">
                  <c:v>-1.7239999999999998E-2</c:v>
                </c:pt>
                <c:pt idx="55" formatCode="0.00%">
                  <c:v>-1.6420000000000001E-2</c:v>
                </c:pt>
                <c:pt idx="56" formatCode="0.00%">
                  <c:v>-1.5599999999999996E-2</c:v>
                </c:pt>
                <c:pt idx="57" formatCode="0.00%">
                  <c:v>-1.4779999999999998E-2</c:v>
                </c:pt>
                <c:pt idx="58" formatCode="0.00%">
                  <c:v>-1.396E-2</c:v>
                </c:pt>
                <c:pt idx="59" formatCode="0.00%">
                  <c:v>-1.3139999999999999E-2</c:v>
                </c:pt>
                <c:pt idx="60" formatCode="0.00%">
                  <c:v>-1.2319999999999998E-2</c:v>
                </c:pt>
                <c:pt idx="61" formatCode="0.00%">
                  <c:v>-1.15E-2</c:v>
                </c:pt>
                <c:pt idx="62" formatCode="0.00%">
                  <c:v>-1.0679999999999999E-2</c:v>
                </c:pt>
                <c:pt idx="63" formatCode="0.00%">
                  <c:v>-9.8600000000000007E-3</c:v>
                </c:pt>
                <c:pt idx="64" formatCode="0.00%">
                  <c:v>-9.0399999999999994E-3</c:v>
                </c:pt>
                <c:pt idx="65" formatCode="0.00%">
                  <c:v>-8.2199999999999981E-3</c:v>
                </c:pt>
                <c:pt idx="66" formatCode="0.00%">
                  <c:v>-7.4000000000000003E-3</c:v>
                </c:pt>
                <c:pt idx="67" formatCode="0.00%">
                  <c:v>-6.579999999999999E-3</c:v>
                </c:pt>
                <c:pt idx="68" formatCode="0.00%">
                  <c:v>-5.7599999999999978E-3</c:v>
                </c:pt>
                <c:pt idx="69" formatCode="0.00%">
                  <c:v>-4.9399999999999999E-3</c:v>
                </c:pt>
                <c:pt idx="70" formatCode="0.00%">
                  <c:v>-4.1199999999999987E-3</c:v>
                </c:pt>
                <c:pt idx="71" formatCode="0.00%">
                  <c:v>-3.2999999999999974E-3</c:v>
                </c:pt>
                <c:pt idx="72" formatCode="0.00%">
                  <c:v>-2.4799999999999961E-3</c:v>
                </c:pt>
                <c:pt idx="73" formatCode="0.00%">
                  <c:v>-1.6600000000000018E-3</c:v>
                </c:pt>
                <c:pt idx="74" formatCode="0.00%">
                  <c:v>-8.4000000000000047E-4</c:v>
                </c:pt>
                <c:pt idx="75" formatCode="0.00%">
                  <c:v>-1.9999999999999185E-5</c:v>
                </c:pt>
                <c:pt idx="76" formatCode="0.00%">
                  <c:v>8.000000000000021E-4</c:v>
                </c:pt>
                <c:pt idx="77" formatCode="0.00%">
                  <c:v>1.6200000000000034E-3</c:v>
                </c:pt>
                <c:pt idx="78" formatCode="0.00%">
                  <c:v>2.4399999999999977E-3</c:v>
                </c:pt>
                <c:pt idx="79" formatCode="0.00%">
                  <c:v>3.259999999999999E-3</c:v>
                </c:pt>
              </c:numCache>
            </c:numRef>
          </c:val>
          <c:smooth val="0"/>
          <c:extLst>
            <c:ext xmlns:c16="http://schemas.microsoft.com/office/drawing/2014/chart" uri="{C3380CC4-5D6E-409C-BE32-E72D297353CC}">
              <c16:uniqueId val="{00000001-E47A-4594-91A9-91F720828CDB}"/>
            </c:ext>
          </c:extLst>
        </c:ser>
        <c:ser>
          <c:idx val="2"/>
          <c:order val="2"/>
          <c:tx>
            <c:strRef>
              <c:f>'Extrapolation average con.'!$A$18:$B$18</c:f>
              <c:strCache>
                <c:ptCount val="2"/>
                <c:pt idx="0">
                  <c:v>Expected change in quantity produced (e.g., corn yield)</c:v>
                </c:pt>
                <c:pt idx="1">
                  <c:v>User Costs Without Project</c:v>
                </c:pt>
              </c:strCache>
            </c:strRef>
          </c:tx>
          <c:spPr>
            <a:ln w="28575" cap="rnd">
              <a:solidFill>
                <a:schemeClr val="accent3"/>
              </a:solidFill>
              <a:round/>
            </a:ln>
            <a:effectLst/>
          </c:spPr>
          <c:marker>
            <c:symbol val="none"/>
          </c:marker>
          <c:cat>
            <c:numRef>
              <c:f>'Extrapolation average con.'!$C$15:$AF$15</c:f>
              <c:numCache>
                <c:formatCode>General</c:formatCode>
                <c:ptCount val="30"/>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numCache>
            </c:numRef>
          </c:cat>
          <c:val>
            <c:numRef>
              <c:f>'Extrapolation average con.'!$C$18:$CD$18</c:f>
              <c:numCache>
                <c:formatCode>0.0%</c:formatCode>
                <c:ptCount val="8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formatCode="0.00%">
                  <c:v>0</c:v>
                </c:pt>
                <c:pt idx="31" formatCode="0.00%">
                  <c:v>0</c:v>
                </c:pt>
                <c:pt idx="32" formatCode="0.00%">
                  <c:v>0</c:v>
                </c:pt>
                <c:pt idx="33" formatCode="0.00%">
                  <c:v>0</c:v>
                </c:pt>
                <c:pt idx="34" formatCode="0.00%">
                  <c:v>0</c:v>
                </c:pt>
                <c:pt idx="35" formatCode="0.00%">
                  <c:v>0</c:v>
                </c:pt>
                <c:pt idx="36" formatCode="0.00%">
                  <c:v>0</c:v>
                </c:pt>
                <c:pt idx="37" formatCode="0.00%">
                  <c:v>0</c:v>
                </c:pt>
                <c:pt idx="38" formatCode="0.00%">
                  <c:v>0</c:v>
                </c:pt>
                <c:pt idx="39" formatCode="0.00%">
                  <c:v>0</c:v>
                </c:pt>
                <c:pt idx="40" formatCode="0.00%">
                  <c:v>0</c:v>
                </c:pt>
                <c:pt idx="41" formatCode="0.00%">
                  <c:v>0</c:v>
                </c:pt>
                <c:pt idx="42" formatCode="0.00%">
                  <c:v>0</c:v>
                </c:pt>
                <c:pt idx="43" formatCode="0.00%">
                  <c:v>0</c:v>
                </c:pt>
                <c:pt idx="44" formatCode="0.00%">
                  <c:v>0</c:v>
                </c:pt>
                <c:pt idx="45" formatCode="0.00%">
                  <c:v>0</c:v>
                </c:pt>
                <c:pt idx="46" formatCode="0.00%">
                  <c:v>0</c:v>
                </c:pt>
                <c:pt idx="47" formatCode="0.00%">
                  <c:v>0</c:v>
                </c:pt>
                <c:pt idx="48" formatCode="0.00%">
                  <c:v>0</c:v>
                </c:pt>
                <c:pt idx="49" formatCode="0.00%">
                  <c:v>0</c:v>
                </c:pt>
                <c:pt idx="50" formatCode="0.00%">
                  <c:v>0</c:v>
                </c:pt>
                <c:pt idx="51" formatCode="0.00%">
                  <c:v>0</c:v>
                </c:pt>
                <c:pt idx="52" formatCode="0.00%">
                  <c:v>0</c:v>
                </c:pt>
                <c:pt idx="53" formatCode="0.00%">
                  <c:v>0</c:v>
                </c:pt>
                <c:pt idx="54" formatCode="0.00%">
                  <c:v>0</c:v>
                </c:pt>
                <c:pt idx="55" formatCode="0.00%">
                  <c:v>0</c:v>
                </c:pt>
                <c:pt idx="56" formatCode="0.00%">
                  <c:v>0</c:v>
                </c:pt>
                <c:pt idx="57" formatCode="0.00%">
                  <c:v>0</c:v>
                </c:pt>
                <c:pt idx="58" formatCode="0.00%">
                  <c:v>0</c:v>
                </c:pt>
                <c:pt idx="59" formatCode="0.00%">
                  <c:v>0</c:v>
                </c:pt>
                <c:pt idx="60" formatCode="0.00%">
                  <c:v>0</c:v>
                </c:pt>
                <c:pt idx="61" formatCode="0.00%">
                  <c:v>0</c:v>
                </c:pt>
                <c:pt idx="62" formatCode="0.00%">
                  <c:v>0</c:v>
                </c:pt>
                <c:pt idx="63" formatCode="0.00%">
                  <c:v>0</c:v>
                </c:pt>
                <c:pt idx="64" formatCode="0.00%">
                  <c:v>0</c:v>
                </c:pt>
                <c:pt idx="65" formatCode="0.00%">
                  <c:v>0</c:v>
                </c:pt>
                <c:pt idx="66" formatCode="0.00%">
                  <c:v>0</c:v>
                </c:pt>
                <c:pt idx="67" formatCode="0.00%">
                  <c:v>0</c:v>
                </c:pt>
                <c:pt idx="68" formatCode="0.00%">
                  <c:v>0</c:v>
                </c:pt>
                <c:pt idx="69" formatCode="0.00%">
                  <c:v>0</c:v>
                </c:pt>
                <c:pt idx="70" formatCode="0.00%">
                  <c:v>0</c:v>
                </c:pt>
                <c:pt idx="71" formatCode="0.00%">
                  <c:v>0</c:v>
                </c:pt>
                <c:pt idx="72" formatCode="0.00%">
                  <c:v>0</c:v>
                </c:pt>
                <c:pt idx="73" formatCode="0.00%">
                  <c:v>0</c:v>
                </c:pt>
                <c:pt idx="74" formatCode="0.00%">
                  <c:v>0</c:v>
                </c:pt>
                <c:pt idx="75" formatCode="0.00%">
                  <c:v>0</c:v>
                </c:pt>
                <c:pt idx="76" formatCode="0.00%">
                  <c:v>0</c:v>
                </c:pt>
                <c:pt idx="77" formatCode="0.00%">
                  <c:v>0</c:v>
                </c:pt>
                <c:pt idx="78" formatCode="0.00%">
                  <c:v>0</c:v>
                </c:pt>
                <c:pt idx="79" formatCode="0.00%">
                  <c:v>0</c:v>
                </c:pt>
              </c:numCache>
            </c:numRef>
          </c:val>
          <c:smooth val="0"/>
          <c:extLst>
            <c:ext xmlns:c16="http://schemas.microsoft.com/office/drawing/2014/chart" uri="{C3380CC4-5D6E-409C-BE32-E72D297353CC}">
              <c16:uniqueId val="{00000002-E47A-4594-91A9-91F720828CDB}"/>
            </c:ext>
          </c:extLst>
        </c:ser>
        <c:dLbls>
          <c:showLegendKey val="0"/>
          <c:showVal val="0"/>
          <c:showCatName val="0"/>
          <c:showSerName val="0"/>
          <c:showPercent val="0"/>
          <c:showBubbleSize val="0"/>
        </c:dLbls>
        <c:smooth val="0"/>
        <c:axId val="164763904"/>
        <c:axId val="164766224"/>
      </c:lineChart>
      <c:dateAx>
        <c:axId val="1647639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66224"/>
        <c:crosses val="autoZero"/>
        <c:auto val="0"/>
        <c:lblOffset val="100"/>
        <c:baseTimeUnit val="days"/>
      </c:dateAx>
      <c:valAx>
        <c:axId val="16476622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639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Flow of costs and benefits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'Expected flows'!$A$17</c:f>
              <c:strCache>
                <c:ptCount val="1"/>
                <c:pt idx="0">
                  <c:v>Baseline discounted costs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'Expected flows'!$B$8:$AA$8</c:f>
              <c:numCache>
                <c:formatCode>General</c:formatCode>
                <c:ptCount val="26"/>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numCache>
            </c:numRef>
          </c:xVal>
          <c:yVal>
            <c:numRef>
              <c:f>'Expected flows'!$B$17:$AA$17</c:f>
              <c:numCache>
                <c:formatCode>General</c:formatCode>
                <c:ptCount val="26"/>
                <c:pt idx="1">
                  <c:v>0.28835953999999997</c:v>
                </c:pt>
                <c:pt idx="2">
                  <c:v>881.11282605660381</c:v>
                </c:pt>
                <c:pt idx="3">
                  <c:v>868.69288975614086</c:v>
                </c:pt>
                <c:pt idx="4">
                  <c:v>1274.3645523737716</c:v>
                </c:pt>
                <c:pt idx="5">
                  <c:v>87.519365644502514</c:v>
                </c:pt>
                <c:pt idx="6">
                  <c:v>49.44579152990773</c:v>
                </c:pt>
                <c:pt idx="7">
                  <c:v>2.3268280500998499</c:v>
                </c:pt>
                <c:pt idx="8">
                  <c:v>2.2866747589307161</c:v>
                </c:pt>
                <c:pt idx="9">
                  <c:v>2.2480126727603396</c:v>
                </c:pt>
                <c:pt idx="10">
                  <c:v>35.968589863866505</c:v>
                </c:pt>
                <c:pt idx="11">
                  <c:v>37.396751889781584</c:v>
                </c:pt>
                <c:pt idx="12">
                  <c:v>2.140202157432245</c:v>
                </c:pt>
                <c:pt idx="13">
                  <c:v>30.350881852153023</c:v>
                </c:pt>
                <c:pt idx="14">
                  <c:v>31.549864759822558</c:v>
                </c:pt>
                <c:pt idx="15">
                  <c:v>1.9450382174826228</c:v>
                </c:pt>
                <c:pt idx="16">
                  <c:v>25.630751636601218</c:v>
                </c:pt>
                <c:pt idx="17">
                  <c:v>26.628956651082813</c:v>
                </c:pt>
                <c:pt idx="18">
                  <c:v>348.281555598436</c:v>
                </c:pt>
                <c:pt idx="19">
                  <c:v>1.7186374488798619</c:v>
                </c:pt>
                <c:pt idx="20">
                  <c:v>1.6716906009900487</c:v>
                </c:pt>
                <c:pt idx="21">
                  <c:v>1.627143344961159</c:v>
                </c:pt>
                <c:pt idx="22">
                  <c:v>18.332829672607755</c:v>
                </c:pt>
                <c:pt idx="23">
                  <c:v>19.032498659365221</c:v>
                </c:pt>
                <c:pt idx="24">
                  <c:v>1.5063610157191307</c:v>
                </c:pt>
                <c:pt idx="25">
                  <c:v>-183.43051196981349</c:v>
                </c:pt>
              </c:numCache>
            </c:numRef>
          </c:yVal>
          <c:smooth val="0"/>
          <c:extLst>
            <c:ext xmlns:c16="http://schemas.microsoft.com/office/drawing/2014/chart" uri="{C3380CC4-5D6E-409C-BE32-E72D297353CC}">
              <c16:uniqueId val="{00000000-ABD0-4B0C-8AC1-1CE2E819A2C2}"/>
            </c:ext>
          </c:extLst>
        </c:ser>
        <c:ser>
          <c:idx val="1"/>
          <c:order val="1"/>
          <c:tx>
            <c:strRef>
              <c:f>'Expected flows'!$A$18</c:f>
              <c:strCache>
                <c:ptCount val="1"/>
                <c:pt idx="0">
                  <c:v>Baseline discounted benefits</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'Expected flows'!$B$8:$AA$8</c:f>
              <c:numCache>
                <c:formatCode>General</c:formatCode>
                <c:ptCount val="26"/>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numCache>
            </c:numRef>
          </c:xVal>
          <c:yVal>
            <c:numRef>
              <c:f>'Expected flows'!$B$18:$AA$18</c:f>
              <c:numCache>
                <c:formatCode>General</c:formatCode>
                <c:ptCount val="26"/>
                <c:pt idx="1">
                  <c:v>0</c:v>
                </c:pt>
                <c:pt idx="2">
                  <c:v>0.84741473584935578</c:v>
                </c:pt>
                <c:pt idx="3">
                  <c:v>38.223063205398702</c:v>
                </c:pt>
                <c:pt idx="4">
                  <c:v>68.336139995193065</c:v>
                </c:pt>
                <c:pt idx="5">
                  <c:v>464.87696967350553</c:v>
                </c:pt>
                <c:pt idx="6">
                  <c:v>835.0666442853053</c:v>
                </c:pt>
                <c:pt idx="7">
                  <c:v>869.03012786054546</c:v>
                </c:pt>
                <c:pt idx="8">
                  <c:v>916.47460284324779</c:v>
                </c:pt>
                <c:pt idx="9">
                  <c:v>611.17839666256498</c:v>
                </c:pt>
                <c:pt idx="10">
                  <c:v>670.38121590608034</c:v>
                </c:pt>
                <c:pt idx="11">
                  <c:v>694.2870604611719</c:v>
                </c:pt>
                <c:pt idx="12">
                  <c:v>707.15101930006597</c:v>
                </c:pt>
                <c:pt idx="13">
                  <c:v>714.38628096454033</c:v>
                </c:pt>
                <c:pt idx="14">
                  <c:v>717.28456925808518</c:v>
                </c:pt>
                <c:pt idx="15">
                  <c:v>720.76853319549809</c:v>
                </c:pt>
                <c:pt idx="16">
                  <c:v>721.2486979921739</c:v>
                </c:pt>
                <c:pt idx="17">
                  <c:v>717.44443733535184</c:v>
                </c:pt>
                <c:pt idx="18">
                  <c:v>710.79620395085942</c:v>
                </c:pt>
                <c:pt idx="19">
                  <c:v>697.95877774575365</c:v>
                </c:pt>
                <c:pt idx="20">
                  <c:v>680.78341857896839</c:v>
                </c:pt>
                <c:pt idx="21">
                  <c:v>667.58118006197503</c:v>
                </c:pt>
                <c:pt idx="22">
                  <c:v>664.46416137801361</c:v>
                </c:pt>
                <c:pt idx="23">
                  <c:v>677.67781128932256</c:v>
                </c:pt>
                <c:pt idx="24">
                  <c:v>716.98598898293505</c:v>
                </c:pt>
                <c:pt idx="25">
                  <c:v>763.97660007866909</c:v>
                </c:pt>
              </c:numCache>
            </c:numRef>
          </c:yVal>
          <c:smooth val="0"/>
          <c:extLst>
            <c:ext xmlns:c16="http://schemas.microsoft.com/office/drawing/2014/chart" uri="{C3380CC4-5D6E-409C-BE32-E72D297353CC}">
              <c16:uniqueId val="{00000001-ABD0-4B0C-8AC1-1CE2E819A2C2}"/>
            </c:ext>
          </c:extLst>
        </c:ser>
        <c:ser>
          <c:idx val="2"/>
          <c:order val="2"/>
          <c:tx>
            <c:strRef>
              <c:f>'Expected flows'!$A$33</c:f>
              <c:strCache>
                <c:ptCount val="1"/>
                <c:pt idx="0">
                  <c:v>Average conditions discounted costs</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'Expected flows'!$B$8:$AA$8</c:f>
              <c:numCache>
                <c:formatCode>General</c:formatCode>
                <c:ptCount val="26"/>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numCache>
            </c:numRef>
          </c:xVal>
          <c:yVal>
            <c:numRef>
              <c:f>'Expected flows'!$B$33:$AA$33</c:f>
              <c:numCache>
                <c:formatCode>General</c:formatCode>
                <c:ptCount val="26"/>
                <c:pt idx="1">
                  <c:v>0.28932073846666662</c:v>
                </c:pt>
                <c:pt idx="2">
                  <c:v>881.12130020396228</c:v>
                </c:pt>
                <c:pt idx="3">
                  <c:v>868.7169013296101</c:v>
                </c:pt>
                <c:pt idx="4">
                  <c:v>1274.7379729106913</c:v>
                </c:pt>
                <c:pt idx="5">
                  <c:v>87.912735318617848</c:v>
                </c:pt>
                <c:pt idx="6">
                  <c:v>49.516837241102792</c:v>
                </c:pt>
                <c:pt idx="7">
                  <c:v>2.4082670318533448</c:v>
                </c:pt>
                <c:pt idx="8">
                  <c:v>2.3781417492879444</c:v>
                </c:pt>
                <c:pt idx="9">
                  <c:v>2.3491732430345547</c:v>
                </c:pt>
                <c:pt idx="10">
                  <c:v>36.080639400199146</c:v>
                </c:pt>
                <c:pt idx="11">
                  <c:v>37.501815988874554</c:v>
                </c:pt>
                <c:pt idx="12">
                  <c:v>2.2472122653038573</c:v>
                </c:pt>
                <c:pt idx="13">
                  <c:v>30.459211603651475</c:v>
                </c:pt>
                <c:pt idx="14">
                  <c:v>31.658555710395913</c:v>
                </c:pt>
                <c:pt idx="15">
                  <c:v>2.0539603576616496</c:v>
                </c:pt>
                <c:pt idx="16">
                  <c:v>25.740172684820159</c:v>
                </c:pt>
                <c:pt idx="17">
                  <c:v>26.73843135989047</c:v>
                </c:pt>
                <c:pt idx="18">
                  <c:v>348.39119315900575</c:v>
                </c:pt>
                <c:pt idx="19">
                  <c:v>1.8286302456081731</c:v>
                </c:pt>
                <c:pt idx="20">
                  <c:v>1.782022180655392</c:v>
                </c:pt>
                <c:pt idx="21">
                  <c:v>1.737789092418518</c:v>
                </c:pt>
                <c:pt idx="22">
                  <c:v>18.444205966417712</c:v>
                </c:pt>
                <c:pt idx="23">
                  <c:v>19.143847046637138</c:v>
                </c:pt>
                <c:pt idx="24">
                  <c:v>1.6178317308823464</c:v>
                </c:pt>
                <c:pt idx="25">
                  <c:v>-183.31879302288124</c:v>
                </c:pt>
              </c:numCache>
            </c:numRef>
          </c:yVal>
          <c:smooth val="0"/>
          <c:extLst>
            <c:ext xmlns:c16="http://schemas.microsoft.com/office/drawing/2014/chart" uri="{C3380CC4-5D6E-409C-BE32-E72D297353CC}">
              <c16:uniqueId val="{00000002-ABD0-4B0C-8AC1-1CE2E819A2C2}"/>
            </c:ext>
          </c:extLst>
        </c:ser>
        <c:ser>
          <c:idx val="3"/>
          <c:order val="3"/>
          <c:tx>
            <c:strRef>
              <c:f>'Expected flows'!$A$34</c:f>
              <c:strCache>
                <c:ptCount val="1"/>
                <c:pt idx="0">
                  <c:v>Average conditions discounted benefits</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'Expected flows'!$B$8:$AA$8</c:f>
              <c:numCache>
                <c:formatCode>General</c:formatCode>
                <c:ptCount val="26"/>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numCache>
            </c:numRef>
          </c:xVal>
          <c:yVal>
            <c:numRef>
              <c:f>'Expected flows'!$B$34:$AA$34</c:f>
              <c:numCache>
                <c:formatCode>General</c:formatCode>
                <c:ptCount val="26"/>
                <c:pt idx="1">
                  <c:v>-3.2084513107874955</c:v>
                </c:pt>
                <c:pt idx="2">
                  <c:v>-5.5496684440409156</c:v>
                </c:pt>
                <c:pt idx="3">
                  <c:v>28.575929743790706</c:v>
                </c:pt>
                <c:pt idx="4">
                  <c:v>55.291938118333334</c:v>
                </c:pt>
                <c:pt idx="5">
                  <c:v>447.48830957907927</c:v>
                </c:pt>
                <c:pt idx="6">
                  <c:v>813.12718459344194</c:v>
                </c:pt>
                <c:pt idx="7">
                  <c:v>843.26794354005972</c:v>
                </c:pt>
                <c:pt idx="8">
                  <c:v>886.6985261568617</c:v>
                </c:pt>
                <c:pt idx="9">
                  <c:v>577.85928447581398</c:v>
                </c:pt>
                <c:pt idx="10">
                  <c:v>632.81216482798516</c:v>
                </c:pt>
                <c:pt idx="11">
                  <c:v>663.39891850104084</c:v>
                </c:pt>
                <c:pt idx="12">
                  <c:v>669.52563386508655</c:v>
                </c:pt>
                <c:pt idx="13">
                  <c:v>670.09175745453626</c:v>
                </c:pt>
                <c:pt idx="14">
                  <c:v>666.35663336838729</c:v>
                </c:pt>
                <c:pt idx="15">
                  <c:v>663.19639509196134</c:v>
                </c:pt>
                <c:pt idx="16">
                  <c:v>657.00482811442998</c:v>
                </c:pt>
                <c:pt idx="17">
                  <c:v>646.49414262214157</c:v>
                </c:pt>
                <c:pt idx="18">
                  <c:v>633.15502287615186</c:v>
                </c:pt>
                <c:pt idx="19">
                  <c:v>613.6549843034752</c:v>
                </c:pt>
                <c:pt idx="20">
                  <c:v>589.65262194554168</c:v>
                </c:pt>
                <c:pt idx="21">
                  <c:v>569.42516724308462</c:v>
                </c:pt>
                <c:pt idx="22">
                  <c:v>558.93864928024311</c:v>
                </c:pt>
                <c:pt idx="23">
                  <c:v>564.16392824021807</c:v>
                </c:pt>
                <c:pt idx="24">
                  <c:v>595.02519510477248</c:v>
                </c:pt>
                <c:pt idx="25">
                  <c:v>632.77039096052533</c:v>
                </c:pt>
              </c:numCache>
            </c:numRef>
          </c:yVal>
          <c:smooth val="0"/>
          <c:extLst>
            <c:ext xmlns:c16="http://schemas.microsoft.com/office/drawing/2014/chart" uri="{C3380CC4-5D6E-409C-BE32-E72D297353CC}">
              <c16:uniqueId val="{00000003-ABD0-4B0C-8AC1-1CE2E819A2C2}"/>
            </c:ext>
          </c:extLst>
        </c:ser>
        <c:ser>
          <c:idx val="4"/>
          <c:order val="4"/>
          <c:tx>
            <c:strRef>
              <c:f>'Expected flows'!$A$49</c:f>
              <c:strCache>
                <c:ptCount val="1"/>
                <c:pt idx="0">
                  <c:v>All climate risks discounted costs</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'Expected flows'!$B$8:$AA$8</c:f>
              <c:numCache>
                <c:formatCode>General</c:formatCode>
                <c:ptCount val="26"/>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numCache>
            </c:numRef>
          </c:xVal>
          <c:yVal>
            <c:numRef>
              <c:f>'Expected flows'!$B$49:$AA$49</c:f>
              <c:numCache>
                <c:formatCode>General</c:formatCode>
                <c:ptCount val="26"/>
                <c:pt idx="1">
                  <c:v>117.30434385226673</c:v>
                </c:pt>
                <c:pt idx="2">
                  <c:v>1003.6912565979246</c:v>
                </c:pt>
                <c:pt idx="3">
                  <c:v>995.83801599799756</c:v>
                </c:pt>
                <c:pt idx="4">
                  <c:v>1405.5023078190384</c:v>
                </c:pt>
                <c:pt idx="5">
                  <c:v>221.50055601753974</c:v>
                </c:pt>
                <c:pt idx="6">
                  <c:v>185.18953657660231</c:v>
                </c:pt>
                <c:pt idx="7">
                  <c:v>139.50180734187211</c:v>
                </c:pt>
                <c:pt idx="8">
                  <c:v>140.29697952228571</c:v>
                </c:pt>
                <c:pt idx="9">
                  <c:v>140.56063263137247</c:v>
                </c:pt>
                <c:pt idx="10">
                  <c:v>174.10970323989173</c:v>
                </c:pt>
                <c:pt idx="11">
                  <c:v>181.66963873248881</c:v>
                </c:pt>
                <c:pt idx="12">
                  <c:v>138.25459221210971</c:v>
                </c:pt>
                <c:pt idx="13">
                  <c:v>158.7680606100721</c:v>
                </c:pt>
                <c:pt idx="14">
                  <c:v>152.70463967871723</c:v>
                </c:pt>
                <c:pt idx="15">
                  <c:v>116.24837919570064</c:v>
                </c:pt>
                <c:pt idx="16">
                  <c:v>133.47075649429087</c:v>
                </c:pt>
                <c:pt idx="17">
                  <c:v>128.37105759524022</c:v>
                </c:pt>
                <c:pt idx="18">
                  <c:v>444.27102923009039</c:v>
                </c:pt>
                <c:pt idx="19">
                  <c:v>92.281305784367277</c:v>
                </c:pt>
                <c:pt idx="20">
                  <c:v>87.114734953069643</c:v>
                </c:pt>
                <c:pt idx="21">
                  <c:v>82.240348311677238</c:v>
                </c:pt>
                <c:pt idx="22">
                  <c:v>94.39001655062404</c:v>
                </c:pt>
                <c:pt idx="23">
                  <c:v>90.790838163812907</c:v>
                </c:pt>
                <c:pt idx="24">
                  <c:v>69.209332784821754</c:v>
                </c:pt>
                <c:pt idx="25">
                  <c:v>-119.55322599086288</c:v>
                </c:pt>
              </c:numCache>
            </c:numRef>
          </c:yVal>
          <c:smooth val="0"/>
          <c:extLst>
            <c:ext xmlns:c16="http://schemas.microsoft.com/office/drawing/2014/chart" uri="{C3380CC4-5D6E-409C-BE32-E72D297353CC}">
              <c16:uniqueId val="{00000004-ABD0-4B0C-8AC1-1CE2E819A2C2}"/>
            </c:ext>
          </c:extLst>
        </c:ser>
        <c:ser>
          <c:idx val="5"/>
          <c:order val="5"/>
          <c:tx>
            <c:strRef>
              <c:f>'Expected flows'!$A$50</c:f>
              <c:strCache>
                <c:ptCount val="1"/>
                <c:pt idx="0">
                  <c:v>All climate risks discounted benefits</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'Expected flows'!$B$8:$AA$8</c:f>
              <c:numCache>
                <c:formatCode>General</c:formatCode>
                <c:ptCount val="26"/>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numCache>
            </c:numRef>
          </c:xVal>
          <c:yVal>
            <c:numRef>
              <c:f>'Expected flows'!$B$50:$AA$50</c:f>
              <c:numCache>
                <c:formatCode>General</c:formatCode>
                <c:ptCount val="26"/>
                <c:pt idx="1">
                  <c:v>-2.8758631600085209</c:v>
                </c:pt>
                <c:pt idx="2">
                  <c:v>-4.9102782187176519</c:v>
                </c:pt>
                <c:pt idx="3">
                  <c:v>24.953512578998314</c:v>
                </c:pt>
                <c:pt idx="4">
                  <c:v>47.644126900738684</c:v>
                </c:pt>
                <c:pt idx="5">
                  <c:v>380.42357990116608</c:v>
                </c:pt>
                <c:pt idx="6">
                  <c:v>681.87094691877064</c:v>
                </c:pt>
                <c:pt idx="7">
                  <c:v>697.40465289354938</c:v>
                </c:pt>
                <c:pt idx="8">
                  <c:v>723.07947245368905</c:v>
                </c:pt>
                <c:pt idx="9">
                  <c:v>464.55353838618635</c:v>
                </c:pt>
                <c:pt idx="10">
                  <c:v>501.42090693712214</c:v>
                </c:pt>
                <c:pt idx="11">
                  <c:v>510.12323380173677</c:v>
                </c:pt>
                <c:pt idx="12">
                  <c:v>514.83439591992612</c:v>
                </c:pt>
                <c:pt idx="13">
                  <c:v>515.26971890301706</c:v>
                </c:pt>
                <c:pt idx="14">
                  <c:v>512.39758039880871</c:v>
                </c:pt>
                <c:pt idx="15">
                  <c:v>509.96750262177989</c:v>
                </c:pt>
                <c:pt idx="16">
                  <c:v>505.20647259777121</c:v>
                </c:pt>
                <c:pt idx="17">
                  <c:v>497.12423923369806</c:v>
                </c:pt>
                <c:pt idx="18">
                  <c:v>486.86707011399596</c:v>
                </c:pt>
                <c:pt idx="19">
                  <c:v>471.87243798762921</c:v>
                </c:pt>
                <c:pt idx="20">
                  <c:v>453.4157261006456</c:v>
                </c:pt>
                <c:pt idx="21">
                  <c:v>437.8617444515499</c:v>
                </c:pt>
                <c:pt idx="22">
                  <c:v>429.79809480525239</c:v>
                </c:pt>
                <c:pt idx="23">
                  <c:v>433.81609381948294</c:v>
                </c:pt>
                <c:pt idx="24">
                  <c:v>457.54698757453514</c:v>
                </c:pt>
                <c:pt idx="25">
                  <c:v>486.57130587448518</c:v>
                </c:pt>
              </c:numCache>
            </c:numRef>
          </c:yVal>
          <c:smooth val="0"/>
          <c:extLst>
            <c:ext xmlns:c16="http://schemas.microsoft.com/office/drawing/2014/chart" uri="{C3380CC4-5D6E-409C-BE32-E72D297353CC}">
              <c16:uniqueId val="{00000005-ABD0-4B0C-8AC1-1CE2E819A2C2}"/>
            </c:ext>
          </c:extLst>
        </c:ser>
        <c:dLbls>
          <c:showLegendKey val="0"/>
          <c:showVal val="0"/>
          <c:showCatName val="0"/>
          <c:showSerName val="0"/>
          <c:showPercent val="0"/>
          <c:showBubbleSize val="0"/>
        </c:dLbls>
        <c:axId val="183244656"/>
        <c:axId val="183246704"/>
      </c:scatterChart>
      <c:valAx>
        <c:axId val="1832446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46704"/>
        <c:crosses val="autoZero"/>
        <c:crossBetween val="midCat"/>
      </c:valAx>
      <c:valAx>
        <c:axId val="183246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4465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1"/>
          <c:spPr>
            <a:solidFill>
              <a:schemeClr val="accent2"/>
            </a:solidFill>
            <a:ln>
              <a:noFill/>
            </a:ln>
            <a:effectLst/>
          </c:spPr>
          <c:invertIfNegative val="0"/>
          <c:cat>
            <c:strRef>
              <c:f>('Expected flows'!$A$20,'Expected flows'!$A$36,'Expected flows'!$A$52)</c:f>
              <c:strCache>
                <c:ptCount val="3"/>
                <c:pt idx="0">
                  <c:v>Baseline NPV</c:v>
                </c:pt>
                <c:pt idx="1">
                  <c:v>Average conditions adjusted NPV</c:v>
                </c:pt>
                <c:pt idx="2">
                  <c:v>All climate risks adjusted NPV</c:v>
                </c:pt>
              </c:strCache>
            </c:strRef>
          </c:cat>
          <c:val>
            <c:numRef>
              <c:f>('Expected flows'!$C$20,'Expected flows'!$C$36,'Expected flows'!$C$52)</c:f>
              <c:numCache>
                <c:formatCode>General</c:formatCode>
                <c:ptCount val="3"/>
                <c:pt idx="0">
                  <c:v>11478.572773958989</c:v>
                </c:pt>
                <c:pt idx="1">
                  <c:v>10097.680054715966</c:v>
                </c:pt>
                <c:pt idx="2">
                  <c:v>4362.510555892798</c:v>
                </c:pt>
              </c:numCache>
            </c:numRef>
          </c:val>
          <c:extLst>
            <c:ext xmlns:c16="http://schemas.microsoft.com/office/drawing/2014/chart" uri="{C3380CC4-5D6E-409C-BE32-E72D297353CC}">
              <c16:uniqueId val="{00000000-4EA2-4CE6-91F7-406360B370CA}"/>
            </c:ext>
          </c:extLst>
        </c:ser>
        <c:dLbls>
          <c:showLegendKey val="0"/>
          <c:showVal val="0"/>
          <c:showCatName val="0"/>
          <c:showSerName val="0"/>
          <c:showPercent val="0"/>
          <c:showBubbleSize val="0"/>
        </c:dLbls>
        <c:gapWidth val="219"/>
        <c:overlap val="-27"/>
        <c:axId val="164645776"/>
        <c:axId val="164637952"/>
        <c:extLst>
          <c:ext xmlns:c15="http://schemas.microsoft.com/office/drawing/2012/chart" uri="{02D57815-91ED-43cb-92C2-25804820EDAC}">
            <c15:filteredBarSeries>
              <c15:ser>
                <c:idx val="0"/>
                <c:order val="0"/>
                <c:spPr>
                  <a:solidFill>
                    <a:schemeClr val="accent1"/>
                  </a:solidFill>
                  <a:ln>
                    <a:noFill/>
                  </a:ln>
                  <a:effectLst/>
                </c:spPr>
                <c:invertIfNegative val="0"/>
                <c:cat>
                  <c:strRef>
                    <c:extLst>
                      <c:ext uri="{02D57815-91ED-43cb-92C2-25804820EDAC}">
                        <c15:formulaRef>
                          <c15:sqref>('Expected flows'!$A$20,'Expected flows'!$A$36,'Expected flows'!$A$52)</c15:sqref>
                        </c15:formulaRef>
                      </c:ext>
                    </c:extLst>
                    <c:strCache>
                      <c:ptCount val="3"/>
                      <c:pt idx="0">
                        <c:v>Baseline NPV</c:v>
                      </c:pt>
                      <c:pt idx="1">
                        <c:v>Average conditions adjusted NPV</c:v>
                      </c:pt>
                      <c:pt idx="2">
                        <c:v>All climate risks adjusted NPV</c:v>
                      </c:pt>
                    </c:strCache>
                  </c:strRef>
                </c:cat>
                <c:val>
                  <c:numRef>
                    <c:extLst>
                      <c:ext uri="{02D57815-91ED-43cb-92C2-25804820EDAC}">
                        <c15:formulaRef>
                          <c15:sqref>('Expected flows'!$B$20,'Expected flows'!$B$36,'Expected flows'!$B$52)</c15:sqref>
                        </c15:formulaRef>
                      </c:ext>
                    </c:extLst>
                    <c:numCache>
                      <c:formatCode>General</c:formatCode>
                      <c:ptCount val="3"/>
                    </c:numCache>
                  </c:numRef>
                </c:val>
                <c:extLst>
                  <c:ext xmlns:c16="http://schemas.microsoft.com/office/drawing/2014/chart" uri="{C3380CC4-5D6E-409C-BE32-E72D297353CC}">
                    <c16:uniqueId val="{00000001-4EA2-4CE6-91F7-406360B370CA}"/>
                  </c:ext>
                </c:extLst>
              </c15:ser>
            </c15:filteredBarSeries>
          </c:ext>
        </c:extLst>
      </c:barChart>
      <c:catAx>
        <c:axId val="164645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37952"/>
        <c:crosses val="autoZero"/>
        <c:auto val="1"/>
        <c:lblAlgn val="ctr"/>
        <c:lblOffset val="100"/>
        <c:noMultiLvlLbl val="0"/>
      </c:catAx>
      <c:valAx>
        <c:axId val="164637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457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1"/>
          <c:spPr>
            <a:solidFill>
              <a:schemeClr val="accent2"/>
            </a:solidFill>
            <a:ln>
              <a:noFill/>
            </a:ln>
            <a:effectLst/>
          </c:spPr>
          <c:invertIfNegative val="0"/>
          <c:cat>
            <c:strRef>
              <c:f>('Expected flows'!$A$21,'Expected flows'!$A$37,'Expected flows'!$A$53)</c:f>
              <c:strCache>
                <c:ptCount val="3"/>
                <c:pt idx="0">
                  <c:v>Baseline BC ratio</c:v>
                </c:pt>
                <c:pt idx="1">
                  <c:v>Average conditions BC ratio</c:v>
                </c:pt>
                <c:pt idx="2">
                  <c:v>All climate risks adjusted BC ratio</c:v>
                </c:pt>
              </c:strCache>
            </c:strRef>
          </c:cat>
          <c:val>
            <c:numRef>
              <c:f>('Expected flows'!$C$21,'Expected flows'!$C$37,'Expected flows'!$C$53)</c:f>
              <c:numCache>
                <c:formatCode>General</c:formatCode>
                <c:ptCount val="3"/>
                <c:pt idx="0">
                  <c:v>4.2165149461331488</c:v>
                </c:pt>
                <c:pt idx="1">
                  <c:v>3.8272642822896614</c:v>
                </c:pt>
                <c:pt idx="2">
                  <c:v>1.6844520952378614</c:v>
                </c:pt>
              </c:numCache>
            </c:numRef>
          </c:val>
          <c:extLst>
            <c:ext xmlns:c16="http://schemas.microsoft.com/office/drawing/2014/chart" uri="{C3380CC4-5D6E-409C-BE32-E72D297353CC}">
              <c16:uniqueId val="{00000000-9BC6-4920-99FB-43FE58A590BC}"/>
            </c:ext>
          </c:extLst>
        </c:ser>
        <c:dLbls>
          <c:showLegendKey val="0"/>
          <c:showVal val="0"/>
          <c:showCatName val="0"/>
          <c:showSerName val="0"/>
          <c:showPercent val="0"/>
          <c:showBubbleSize val="0"/>
        </c:dLbls>
        <c:gapWidth val="219"/>
        <c:overlap val="-27"/>
        <c:axId val="137397200"/>
        <c:axId val="137371312"/>
        <c:extLst>
          <c:ext xmlns:c15="http://schemas.microsoft.com/office/drawing/2012/chart" uri="{02D57815-91ED-43cb-92C2-25804820EDAC}">
            <c15:filteredBarSeries>
              <c15:ser>
                <c:idx val="0"/>
                <c:order val="0"/>
                <c:spPr>
                  <a:solidFill>
                    <a:schemeClr val="accent1"/>
                  </a:solidFill>
                  <a:ln>
                    <a:noFill/>
                  </a:ln>
                  <a:effectLst/>
                </c:spPr>
                <c:invertIfNegative val="0"/>
                <c:cat>
                  <c:strRef>
                    <c:extLst>
                      <c:ext uri="{02D57815-91ED-43cb-92C2-25804820EDAC}">
                        <c15:formulaRef>
                          <c15:sqref>('Expected flows'!$A$21,'Expected flows'!$A$37,'Expected flows'!$A$53)</c15:sqref>
                        </c15:formulaRef>
                      </c:ext>
                    </c:extLst>
                    <c:strCache>
                      <c:ptCount val="3"/>
                      <c:pt idx="0">
                        <c:v>Baseline BC ratio</c:v>
                      </c:pt>
                      <c:pt idx="1">
                        <c:v>Average conditions BC ratio</c:v>
                      </c:pt>
                      <c:pt idx="2">
                        <c:v>All climate risks adjusted BC ratio</c:v>
                      </c:pt>
                    </c:strCache>
                  </c:strRef>
                </c:cat>
                <c:val>
                  <c:numRef>
                    <c:extLst>
                      <c:ext uri="{02D57815-91ED-43cb-92C2-25804820EDAC}">
                        <c15:formulaRef>
                          <c15:sqref>('Expected flows'!$B$20,'Expected flows'!$B$36,'Expected flows'!$B$52)</c15:sqref>
                        </c15:formulaRef>
                      </c:ext>
                    </c:extLst>
                    <c:numCache>
                      <c:formatCode>General</c:formatCode>
                      <c:ptCount val="3"/>
                    </c:numCache>
                  </c:numRef>
                </c:val>
                <c:extLst>
                  <c:ext xmlns:c16="http://schemas.microsoft.com/office/drawing/2014/chart" uri="{C3380CC4-5D6E-409C-BE32-E72D297353CC}">
                    <c16:uniqueId val="{00000001-9BC6-4920-99FB-43FE58A590BC}"/>
                  </c:ext>
                </c:extLst>
              </c15:ser>
            </c15:filteredBarSeries>
          </c:ext>
        </c:extLst>
      </c:barChart>
      <c:catAx>
        <c:axId val="13739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71312"/>
        <c:crosses val="autoZero"/>
        <c:auto val="1"/>
        <c:lblAlgn val="ctr"/>
        <c:lblOffset val="100"/>
        <c:noMultiLvlLbl val="0"/>
      </c:catAx>
      <c:valAx>
        <c:axId val="137371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97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chart" Target="../charts/chart15.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763588</xdr:colOff>
      <xdr:row>3</xdr:row>
      <xdr:rowOff>1341424</xdr:rowOff>
    </xdr:from>
    <xdr:to>
      <xdr:col>13</xdr:col>
      <xdr:colOff>257968</xdr:colOff>
      <xdr:row>22</xdr:row>
      <xdr:rowOff>15861</xdr:rowOff>
    </xdr:to>
    <xdr:sp macro="" textlink="">
      <xdr:nvSpPr>
        <xdr:cNvPr id="2" name="Arrow: Right 1">
          <a:extLst>
            <a:ext uri="{FF2B5EF4-FFF2-40B4-BE49-F238E27FC236}">
              <a16:creationId xmlns:a16="http://schemas.microsoft.com/office/drawing/2014/main" id="{7A44880C-1881-47BE-88A4-DD9AED2B04B6}"/>
            </a:ext>
          </a:extLst>
        </xdr:cNvPr>
        <xdr:cNvSpPr/>
      </xdr:nvSpPr>
      <xdr:spPr>
        <a:xfrm>
          <a:off x="763588" y="4567224"/>
          <a:ext cx="9362280" cy="3684587"/>
        </a:xfrm>
        <a:prstGeom prst="rightArrow">
          <a:avLst/>
        </a:prstGeom>
        <a:solidFill>
          <a:srgbClr val="ED7D31">
            <a:tint val="40000"/>
            <a:hueOff val="0"/>
            <a:satOff val="0"/>
            <a:lumOff val="0"/>
            <a:alphaOff val="0"/>
          </a:srgbClr>
        </a:solidFill>
        <a:ln>
          <a:noFill/>
        </a:ln>
        <a:effectLst/>
      </xdr:spPr>
      <xdr:style>
        <a:lnRef idx="0">
          <a:scrgbClr r="0" g="0" b="0"/>
        </a:lnRef>
        <a:fillRef idx="1">
          <a:scrgbClr r="0" g="0" b="0"/>
        </a:fillRef>
        <a:effectRef idx="0">
          <a:scrgbClr r="0" g="0" b="0"/>
        </a:effectRef>
        <a:fontRef idx="minor">
          <a:schemeClr val="dk1">
            <a:hueOff val="0"/>
            <a:satOff val="0"/>
            <a:lumOff val="0"/>
            <a:alphaOff val="0"/>
          </a:schemeClr>
        </a:fontRef>
      </xdr:style>
    </xdr:sp>
    <xdr:clientData/>
  </xdr:twoCellAnchor>
  <xdr:twoCellAnchor>
    <xdr:from>
      <xdr:col>0</xdr:col>
      <xdr:colOff>234950</xdr:colOff>
      <xdr:row>6</xdr:row>
      <xdr:rowOff>174612</xdr:rowOff>
    </xdr:from>
    <xdr:to>
      <xdr:col>1</xdr:col>
      <xdr:colOff>920749</xdr:colOff>
      <xdr:row>17</xdr:row>
      <xdr:rowOff>47612</xdr:rowOff>
    </xdr:to>
    <xdr:grpSp>
      <xdr:nvGrpSpPr>
        <xdr:cNvPr id="3" name="Group 2">
          <a:extLst>
            <a:ext uri="{FF2B5EF4-FFF2-40B4-BE49-F238E27FC236}">
              <a16:creationId xmlns:a16="http://schemas.microsoft.com/office/drawing/2014/main" id="{2A2AD553-A956-4833-AD63-ECD69D181373}"/>
            </a:ext>
          </a:extLst>
        </xdr:cNvPr>
        <xdr:cNvGrpSpPr/>
      </xdr:nvGrpSpPr>
      <xdr:grpSpPr>
        <a:xfrm>
          <a:off x="234950" y="5468925"/>
          <a:ext cx="2098674" cy="1881187"/>
          <a:chOff x="-52437" y="1183104"/>
          <a:chExt cx="2976529" cy="1568918"/>
        </a:xfrm>
      </xdr:grpSpPr>
      <xdr:sp macro="" textlink="">
        <xdr:nvSpPr>
          <xdr:cNvPr id="4" name="Rectangle: Rounded Corners 3">
            <a:extLst>
              <a:ext uri="{FF2B5EF4-FFF2-40B4-BE49-F238E27FC236}">
                <a16:creationId xmlns:a16="http://schemas.microsoft.com/office/drawing/2014/main" id="{4514E7BF-AFBB-4347-B231-A18A655AEAF7}"/>
              </a:ext>
            </a:extLst>
          </xdr:cNvPr>
          <xdr:cNvSpPr/>
        </xdr:nvSpPr>
        <xdr:spPr>
          <a:xfrm>
            <a:off x="-52437" y="1183104"/>
            <a:ext cx="2976529" cy="1568918"/>
          </a:xfrm>
          <a:prstGeom prst="roundRect">
            <a:avLst/>
          </a:prstGeom>
          <a:solidFill>
            <a:srgbClr val="ED7D31">
              <a:hueOff val="0"/>
              <a:satOff val="0"/>
              <a:lumOff val="0"/>
              <a:alphaOff val="0"/>
            </a:srgbClr>
          </a:solidFill>
          <a:ln w="12700" cap="flat" cmpd="sng" algn="ctr">
            <a:solidFill>
              <a:sysClr val="window" lastClr="FFFFFF">
                <a:hueOff val="0"/>
                <a:satOff val="0"/>
                <a:lumOff val="0"/>
                <a:alphaOff val="0"/>
              </a:sysClr>
            </a:solidFill>
            <a:prstDash val="solid"/>
            <a:miter lim="800000"/>
          </a:ln>
          <a:effectLst/>
        </xdr:spPr>
        <xdr:style>
          <a:lnRef idx="2">
            <a:scrgbClr r="0" g="0" b="0"/>
          </a:lnRef>
          <a:fillRef idx="1">
            <a:scrgbClr r="0" g="0" b="0"/>
          </a:fillRef>
          <a:effectRef idx="0">
            <a:scrgbClr r="0" g="0" b="0"/>
          </a:effectRef>
          <a:fontRef idx="minor">
            <a:schemeClr val="lt1"/>
          </a:fontRef>
        </xdr:style>
      </xdr:sp>
      <xdr:sp macro="" textlink="">
        <xdr:nvSpPr>
          <xdr:cNvPr id="5" name="Rectangle: Rounded Corners 5">
            <a:extLst>
              <a:ext uri="{FF2B5EF4-FFF2-40B4-BE49-F238E27FC236}">
                <a16:creationId xmlns:a16="http://schemas.microsoft.com/office/drawing/2014/main" id="{3F39031C-CF1F-4CE4-BFD5-A0FF0C700A2B}"/>
              </a:ext>
            </a:extLst>
          </xdr:cNvPr>
          <xdr:cNvSpPr txBox="1"/>
        </xdr:nvSpPr>
        <xdr:spPr>
          <a:xfrm>
            <a:off x="72109" y="1227140"/>
            <a:ext cx="2761923" cy="1400267"/>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76200" tIns="76200" rIns="76200" bIns="76200" numCol="1" spcCol="1270" anchor="ctr" anchorCtr="0">
            <a:noAutofit/>
          </a:bodyPr>
          <a:lstStyle/>
          <a:p>
            <a:pPr marL="0" lvl="0" indent="0" algn="l" defTabSz="889000">
              <a:lnSpc>
                <a:spcPct val="90000"/>
              </a:lnSpc>
              <a:spcBef>
                <a:spcPct val="0"/>
              </a:spcBef>
              <a:spcAft>
                <a:spcPct val="35000"/>
              </a:spcAft>
              <a:buNone/>
            </a:pPr>
            <a:r>
              <a:rPr lang="en-US" sz="1400" b="1" kern="1200">
                <a:solidFill>
                  <a:sysClr val="window" lastClr="FFFFFF"/>
                </a:solidFill>
                <a:latin typeface="Calibri" panose="020F0502020204030204"/>
                <a:ea typeface="+mn-ea"/>
                <a:cs typeface="+mn-cs"/>
              </a:rPr>
              <a:t>Input 1: Optimistic/Pessimistic</a:t>
            </a:r>
            <a:r>
              <a:rPr lang="en-US" sz="1400" b="1" kern="1200" baseline="0">
                <a:solidFill>
                  <a:sysClr val="window" lastClr="FFFFFF"/>
                </a:solidFill>
                <a:latin typeface="Calibri" panose="020F0502020204030204"/>
                <a:ea typeface="+mn-ea"/>
                <a:cs typeface="+mn-cs"/>
              </a:rPr>
              <a:t> </a:t>
            </a:r>
            <a:r>
              <a:rPr lang="en-US" sz="1400" b="1" kern="1200">
                <a:solidFill>
                  <a:sysClr val="window" lastClr="FFFFFF"/>
                </a:solidFill>
                <a:latin typeface="Calibri" panose="020F0502020204030204"/>
                <a:ea typeface="+mn-ea"/>
                <a:cs typeface="+mn-cs"/>
              </a:rPr>
              <a:t>Baseline</a:t>
            </a:r>
          </a:p>
          <a:p>
            <a:pPr marL="0" lvl="0" indent="0" algn="l" defTabSz="889000">
              <a:lnSpc>
                <a:spcPct val="90000"/>
              </a:lnSpc>
              <a:spcBef>
                <a:spcPct val="0"/>
              </a:spcBef>
              <a:spcAft>
                <a:spcPct val="35000"/>
              </a:spcAft>
              <a:buNone/>
            </a:pPr>
            <a:r>
              <a:rPr lang="en-US" sz="1400" kern="1200">
                <a:solidFill>
                  <a:sysClr val="window" lastClr="FFFFFF"/>
                </a:solidFill>
                <a:latin typeface="Calibri" panose="020F0502020204030204"/>
                <a:ea typeface="+mn-ea"/>
                <a:cs typeface="+mn-cs"/>
              </a:rPr>
              <a:t>1) Project costs and benefits </a:t>
            </a:r>
            <a:r>
              <a:rPr lang="en-US" sz="1400" i="1" kern="1200">
                <a:solidFill>
                  <a:sysClr val="window" lastClr="FFFFFF"/>
                </a:solidFill>
                <a:latin typeface="Calibri" panose="020F0502020204030204"/>
                <a:ea typeface="+mn-ea"/>
                <a:cs typeface="+mn-cs"/>
              </a:rPr>
              <a:t>without</a:t>
            </a:r>
            <a:r>
              <a:rPr lang="en-US" sz="1400" kern="1200">
                <a:solidFill>
                  <a:sysClr val="window" lastClr="FFFFFF"/>
                </a:solidFill>
                <a:latin typeface="Calibri" panose="020F0502020204030204"/>
                <a:ea typeface="+mn-ea"/>
                <a:cs typeface="+mn-cs"/>
              </a:rPr>
              <a:t> climate considerations </a:t>
            </a:r>
            <a:r>
              <a:rPr lang="en-US" sz="1400" u="sng" kern="1200">
                <a:solidFill>
                  <a:sysClr val="window" lastClr="FFFFFF"/>
                </a:solidFill>
                <a:latin typeface="Calibri" panose="020F0502020204030204"/>
                <a:ea typeface="+mn-ea"/>
                <a:cs typeface="+mn-cs"/>
              </a:rPr>
              <a:t>under optimistic and pessimistic scenarios</a:t>
            </a:r>
            <a:endParaRPr lang="en-US" sz="1400" kern="1200">
              <a:solidFill>
                <a:sysClr val="window" lastClr="FFFFFF"/>
              </a:solidFill>
              <a:latin typeface="Calibri" panose="020F0502020204030204"/>
              <a:ea typeface="+mn-ea"/>
              <a:cs typeface="+mn-cs"/>
            </a:endParaRPr>
          </a:p>
        </xdr:txBody>
      </xdr:sp>
    </xdr:grpSp>
    <xdr:clientData/>
  </xdr:twoCellAnchor>
  <xdr:twoCellAnchor>
    <xdr:from>
      <xdr:col>1</xdr:col>
      <xdr:colOff>1078512</xdr:colOff>
      <xdr:row>6</xdr:row>
      <xdr:rowOff>39675</xdr:rowOff>
    </xdr:from>
    <xdr:to>
      <xdr:col>6</xdr:col>
      <xdr:colOff>291798</xdr:colOff>
      <xdr:row>17</xdr:row>
      <xdr:rowOff>174613</xdr:rowOff>
    </xdr:to>
    <xdr:grpSp>
      <xdr:nvGrpSpPr>
        <xdr:cNvPr id="6" name="Group 5">
          <a:extLst>
            <a:ext uri="{FF2B5EF4-FFF2-40B4-BE49-F238E27FC236}">
              <a16:creationId xmlns:a16="http://schemas.microsoft.com/office/drawing/2014/main" id="{CDD3F9C9-674D-4F12-862C-5A0A7E10B2F0}"/>
            </a:ext>
          </a:extLst>
        </xdr:cNvPr>
        <xdr:cNvGrpSpPr/>
      </xdr:nvGrpSpPr>
      <xdr:grpSpPr>
        <a:xfrm>
          <a:off x="2491387" y="5333988"/>
          <a:ext cx="2935974" cy="2143125"/>
          <a:chOff x="2908339" y="510855"/>
          <a:chExt cx="3333027" cy="3112720"/>
        </a:xfrm>
      </xdr:grpSpPr>
      <xdr:sp macro="" textlink="">
        <xdr:nvSpPr>
          <xdr:cNvPr id="7" name="Rectangle: Rounded Corners 6">
            <a:extLst>
              <a:ext uri="{FF2B5EF4-FFF2-40B4-BE49-F238E27FC236}">
                <a16:creationId xmlns:a16="http://schemas.microsoft.com/office/drawing/2014/main" id="{4A815118-FFFF-4C61-A8CA-27C9CF8FA4F6}"/>
              </a:ext>
            </a:extLst>
          </xdr:cNvPr>
          <xdr:cNvSpPr/>
        </xdr:nvSpPr>
        <xdr:spPr>
          <a:xfrm>
            <a:off x="2908339" y="510855"/>
            <a:ext cx="3333027" cy="3112720"/>
          </a:xfrm>
          <a:prstGeom prst="roundRect">
            <a:avLst/>
          </a:prstGeom>
          <a:solidFill>
            <a:srgbClr val="ED7D31">
              <a:hueOff val="-727682"/>
              <a:satOff val="-41964"/>
              <a:lumOff val="4314"/>
              <a:alphaOff val="0"/>
            </a:srgbClr>
          </a:solidFill>
          <a:ln w="12700" cap="flat" cmpd="sng" algn="ctr">
            <a:solidFill>
              <a:sysClr val="window" lastClr="FFFFFF">
                <a:hueOff val="0"/>
                <a:satOff val="0"/>
                <a:lumOff val="0"/>
                <a:alphaOff val="0"/>
              </a:sysClr>
            </a:solidFill>
            <a:prstDash val="solid"/>
            <a:miter lim="800000"/>
          </a:ln>
          <a:effectLst/>
        </xdr:spPr>
        <xdr:style>
          <a:lnRef idx="2">
            <a:scrgbClr r="0" g="0" b="0"/>
          </a:lnRef>
          <a:fillRef idx="1">
            <a:scrgbClr r="0" g="0" b="0"/>
          </a:fillRef>
          <a:effectRef idx="0">
            <a:scrgbClr r="0" g="0" b="0"/>
          </a:effectRef>
          <a:fontRef idx="minor">
            <a:schemeClr val="lt1"/>
          </a:fontRef>
        </xdr:style>
      </xdr:sp>
      <xdr:sp macro="" textlink="">
        <xdr:nvSpPr>
          <xdr:cNvPr id="8" name="Rectangle: Rounded Corners 7">
            <a:extLst>
              <a:ext uri="{FF2B5EF4-FFF2-40B4-BE49-F238E27FC236}">
                <a16:creationId xmlns:a16="http://schemas.microsoft.com/office/drawing/2014/main" id="{B54CFDD8-9B8A-4E8D-8FDD-9C29F519A04D}"/>
              </a:ext>
            </a:extLst>
          </xdr:cNvPr>
          <xdr:cNvSpPr txBox="1"/>
        </xdr:nvSpPr>
        <xdr:spPr>
          <a:xfrm>
            <a:off x="3058737" y="614261"/>
            <a:ext cx="3170272" cy="2808821"/>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76200" tIns="76200" rIns="76200" bIns="76200" numCol="1" spcCol="1270" anchor="ctr" anchorCtr="0">
            <a:noAutofit/>
          </a:bodyPr>
          <a:lstStyle/>
          <a:p>
            <a:pPr marL="0" lvl="0" indent="0" algn="l" defTabSz="889000">
              <a:lnSpc>
                <a:spcPct val="90000"/>
              </a:lnSpc>
              <a:spcBef>
                <a:spcPct val="0"/>
              </a:spcBef>
              <a:spcAft>
                <a:spcPct val="35000"/>
              </a:spcAft>
              <a:buNone/>
            </a:pPr>
            <a:r>
              <a:rPr lang="en-US" sz="1400" b="1" kern="1200">
                <a:solidFill>
                  <a:sysClr val="window" lastClr="FFFFFF"/>
                </a:solidFill>
                <a:latin typeface="Calibri" panose="020F0502020204030204"/>
                <a:ea typeface="+mn-ea"/>
                <a:cs typeface="+mn-cs"/>
              </a:rPr>
              <a:t>Input 2:</a:t>
            </a:r>
          </a:p>
          <a:p>
            <a:pPr marL="0" lvl="0" indent="0" algn="l" defTabSz="889000">
              <a:lnSpc>
                <a:spcPct val="90000"/>
              </a:lnSpc>
              <a:spcBef>
                <a:spcPct val="0"/>
              </a:spcBef>
              <a:spcAft>
                <a:spcPct val="35000"/>
              </a:spcAft>
              <a:buNone/>
            </a:pPr>
            <a:r>
              <a:rPr lang="en-US" sz="1400" b="1" kern="1200">
                <a:solidFill>
                  <a:sysClr val="window" lastClr="FFFFFF"/>
                </a:solidFill>
                <a:latin typeface="Calibri" panose="020F0502020204030204"/>
                <a:ea typeface="+mn-ea"/>
                <a:cs typeface="+mn-cs"/>
              </a:rPr>
              <a:t>Low/High Climate Impacts</a:t>
            </a:r>
          </a:p>
          <a:p>
            <a:pPr marL="0" lvl="0" indent="0" algn="l" defTabSz="889000">
              <a:lnSpc>
                <a:spcPct val="90000"/>
              </a:lnSpc>
              <a:spcBef>
                <a:spcPct val="0"/>
              </a:spcBef>
              <a:spcAft>
                <a:spcPct val="35000"/>
              </a:spcAft>
              <a:buNone/>
            </a:pPr>
            <a:r>
              <a:rPr lang="en-US" sz="1400" kern="1200">
                <a:solidFill>
                  <a:sysClr val="window" lastClr="FFFFFF"/>
                </a:solidFill>
                <a:latin typeface="Calibri" panose="020F0502020204030204"/>
                <a:ea typeface="+mn-ea"/>
                <a:cs typeface="+mn-cs"/>
              </a:rPr>
              <a:t>2a) Changes in </a:t>
            </a:r>
            <a:r>
              <a:rPr lang="en-US" sz="1400" i="1" kern="1200">
                <a:solidFill>
                  <a:sysClr val="window" lastClr="FFFFFF"/>
                </a:solidFill>
                <a:latin typeface="Calibri" panose="020F0502020204030204"/>
                <a:ea typeface="+mn-ea"/>
                <a:cs typeface="+mn-cs"/>
              </a:rPr>
              <a:t>average climate conditions</a:t>
            </a:r>
            <a:endParaRPr lang="en-US" sz="1400" i="0" kern="1200">
              <a:solidFill>
                <a:sysClr val="window" lastClr="FFFFFF"/>
              </a:solidFill>
              <a:latin typeface="Calibri" panose="020F0502020204030204"/>
              <a:ea typeface="+mn-ea"/>
              <a:cs typeface="+mn-cs"/>
            </a:endParaRPr>
          </a:p>
          <a:p>
            <a:pPr marL="0" lvl="0" indent="0" algn="l" defTabSz="889000">
              <a:lnSpc>
                <a:spcPct val="90000"/>
              </a:lnSpc>
              <a:spcBef>
                <a:spcPct val="0"/>
              </a:spcBef>
              <a:spcAft>
                <a:spcPct val="35000"/>
              </a:spcAft>
              <a:buNone/>
            </a:pPr>
            <a:r>
              <a:rPr lang="en-US" sz="1400" i="0" kern="1200">
                <a:solidFill>
                  <a:sysClr val="window" lastClr="FFFFFF"/>
                </a:solidFill>
                <a:latin typeface="Calibri" panose="020F0502020204030204"/>
                <a:ea typeface="+mn-ea"/>
                <a:cs typeface="+mn-cs"/>
              </a:rPr>
              <a:t>2b) Impacts from </a:t>
            </a:r>
            <a:r>
              <a:rPr lang="en-US" sz="1400" i="1" kern="1200">
                <a:solidFill>
                  <a:sysClr val="window" lastClr="FFFFFF"/>
                </a:solidFill>
                <a:latin typeface="Calibri" panose="020F0502020204030204"/>
                <a:ea typeface="+mn-ea"/>
                <a:cs typeface="+mn-cs"/>
              </a:rPr>
              <a:t>natural disasters, </a:t>
            </a:r>
            <a:r>
              <a:rPr lang="en-US" sz="1400" i="0" kern="1200">
                <a:solidFill>
                  <a:sysClr val="window" lastClr="FFFFFF"/>
                </a:solidFill>
                <a:latin typeface="Calibri" panose="020F0502020204030204"/>
                <a:ea typeface="+mn-ea"/>
                <a:cs typeface="+mn-cs"/>
              </a:rPr>
              <a:t>with current frequency and intensity</a:t>
            </a:r>
          </a:p>
          <a:p>
            <a:pPr marL="0" lvl="0" indent="0" algn="l" defTabSz="889000">
              <a:lnSpc>
                <a:spcPct val="90000"/>
              </a:lnSpc>
              <a:spcBef>
                <a:spcPct val="0"/>
              </a:spcBef>
              <a:spcAft>
                <a:spcPct val="35000"/>
              </a:spcAft>
              <a:buNone/>
            </a:pPr>
            <a:r>
              <a:rPr lang="en-US" sz="1400" i="0" kern="1200">
                <a:solidFill>
                  <a:sysClr val="window" lastClr="FFFFFF"/>
                </a:solidFill>
                <a:latin typeface="Calibri" panose="020F0502020204030204"/>
                <a:ea typeface="+mn-ea"/>
                <a:cs typeface="+mn-cs"/>
              </a:rPr>
              <a:t>2c) Changes in </a:t>
            </a:r>
            <a:r>
              <a:rPr lang="en-US" sz="1400" i="1" kern="1200">
                <a:solidFill>
                  <a:sysClr val="window" lastClr="FFFFFF"/>
                </a:solidFill>
                <a:latin typeface="Calibri" panose="020F0502020204030204"/>
                <a:ea typeface="+mn-ea"/>
                <a:cs typeface="+mn-cs"/>
              </a:rPr>
              <a:t>the frequency of natural disasters</a:t>
            </a:r>
            <a:endParaRPr lang="en-US" sz="1400" kern="1200">
              <a:solidFill>
                <a:sysClr val="window" lastClr="FFFFFF"/>
              </a:solidFill>
              <a:latin typeface="Calibri" panose="020F0502020204030204"/>
              <a:ea typeface="+mn-ea"/>
              <a:cs typeface="+mn-cs"/>
            </a:endParaRPr>
          </a:p>
        </xdr:txBody>
      </xdr:sp>
    </xdr:grpSp>
    <xdr:clientData/>
  </xdr:twoCellAnchor>
  <xdr:twoCellAnchor>
    <xdr:from>
      <xdr:col>6</xdr:col>
      <xdr:colOff>484981</xdr:colOff>
      <xdr:row>5</xdr:row>
      <xdr:rowOff>87300</xdr:rowOff>
    </xdr:from>
    <xdr:to>
      <xdr:col>11</xdr:col>
      <xdr:colOff>484186</xdr:colOff>
      <xdr:row>18</xdr:row>
      <xdr:rowOff>106348</xdr:rowOff>
    </xdr:to>
    <xdr:grpSp>
      <xdr:nvGrpSpPr>
        <xdr:cNvPr id="9" name="Group 8">
          <a:extLst>
            <a:ext uri="{FF2B5EF4-FFF2-40B4-BE49-F238E27FC236}">
              <a16:creationId xmlns:a16="http://schemas.microsoft.com/office/drawing/2014/main" id="{90B284DE-1E78-4F85-942D-F1AA6AE0CE8C}"/>
            </a:ext>
          </a:extLst>
        </xdr:cNvPr>
        <xdr:cNvGrpSpPr/>
      </xdr:nvGrpSpPr>
      <xdr:grpSpPr>
        <a:xfrm>
          <a:off x="5620544" y="5199050"/>
          <a:ext cx="3531392" cy="2392361"/>
          <a:chOff x="7166338" y="965083"/>
          <a:chExt cx="3349261" cy="2397430"/>
        </a:xfrm>
      </xdr:grpSpPr>
      <xdr:sp macro="" textlink="">
        <xdr:nvSpPr>
          <xdr:cNvPr id="10" name="Rectangle: Rounded Corners 9">
            <a:extLst>
              <a:ext uri="{FF2B5EF4-FFF2-40B4-BE49-F238E27FC236}">
                <a16:creationId xmlns:a16="http://schemas.microsoft.com/office/drawing/2014/main" id="{3D470CC1-C023-4E2B-A3DA-E91479737925}"/>
              </a:ext>
            </a:extLst>
          </xdr:cNvPr>
          <xdr:cNvSpPr/>
        </xdr:nvSpPr>
        <xdr:spPr>
          <a:xfrm>
            <a:off x="7166338" y="965083"/>
            <a:ext cx="3349261" cy="2397430"/>
          </a:xfrm>
          <a:prstGeom prst="roundRect">
            <a:avLst/>
          </a:prstGeom>
          <a:solidFill>
            <a:srgbClr val="ED7D31">
              <a:hueOff val="-1455363"/>
              <a:satOff val="-83928"/>
              <a:lumOff val="8628"/>
              <a:alphaOff val="0"/>
            </a:srgbClr>
          </a:solidFill>
          <a:ln w="12700" cap="flat" cmpd="sng" algn="ctr">
            <a:solidFill>
              <a:sysClr val="window" lastClr="FFFFFF">
                <a:hueOff val="0"/>
                <a:satOff val="0"/>
                <a:lumOff val="0"/>
                <a:alphaOff val="0"/>
              </a:sysClr>
            </a:solidFill>
            <a:prstDash val="solid"/>
            <a:miter lim="800000"/>
          </a:ln>
          <a:effectLst/>
        </xdr:spPr>
        <xdr:style>
          <a:lnRef idx="2">
            <a:scrgbClr r="0" g="0" b="0"/>
          </a:lnRef>
          <a:fillRef idx="1">
            <a:scrgbClr r="0" g="0" b="0"/>
          </a:fillRef>
          <a:effectRef idx="0">
            <a:scrgbClr r="0" g="0" b="0"/>
          </a:effectRef>
          <a:fontRef idx="minor">
            <a:schemeClr val="lt1"/>
          </a:fontRef>
        </xdr:style>
      </xdr:sp>
      <xdr:sp macro="" textlink="">
        <xdr:nvSpPr>
          <xdr:cNvPr id="11" name="Rectangle: Rounded Corners 9">
            <a:extLst>
              <a:ext uri="{FF2B5EF4-FFF2-40B4-BE49-F238E27FC236}">
                <a16:creationId xmlns:a16="http://schemas.microsoft.com/office/drawing/2014/main" id="{47ED81B6-6F21-412C-8B37-7EC639F22804}"/>
              </a:ext>
            </a:extLst>
          </xdr:cNvPr>
          <xdr:cNvSpPr txBox="1"/>
        </xdr:nvSpPr>
        <xdr:spPr>
          <a:xfrm>
            <a:off x="7283371" y="1082116"/>
            <a:ext cx="3115195" cy="2163364"/>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76200" tIns="76200" rIns="76200" bIns="76200" numCol="1" spcCol="1270" anchor="ctr" anchorCtr="0">
            <a:noAutofit/>
          </a:bodyPr>
          <a:lstStyle/>
          <a:p>
            <a:pPr marL="0" lvl="0" indent="0" algn="l" defTabSz="889000">
              <a:lnSpc>
                <a:spcPct val="90000"/>
              </a:lnSpc>
              <a:spcBef>
                <a:spcPct val="0"/>
              </a:spcBef>
              <a:spcAft>
                <a:spcPct val="35000"/>
              </a:spcAft>
              <a:buNone/>
            </a:pPr>
            <a:r>
              <a:rPr lang="en-US" sz="1400" b="1" kern="1200">
                <a:solidFill>
                  <a:sysClr val="window" lastClr="FFFFFF"/>
                </a:solidFill>
                <a:latin typeface="Calibri" panose="020F0502020204030204"/>
                <a:ea typeface="+mn-ea"/>
                <a:cs typeface="+mn-cs"/>
              </a:rPr>
              <a:t>Output/Results</a:t>
            </a:r>
          </a:p>
          <a:p>
            <a:pPr marL="285750" lvl="0" indent="-285750" algn="l" defTabSz="889000">
              <a:lnSpc>
                <a:spcPct val="90000"/>
              </a:lnSpc>
              <a:spcBef>
                <a:spcPct val="0"/>
              </a:spcBef>
              <a:spcAft>
                <a:spcPct val="35000"/>
              </a:spcAft>
              <a:buFont typeface="Arial" panose="020B0604020202020204" pitchFamily="34" charset="0"/>
              <a:buChar char="•"/>
            </a:pPr>
            <a:r>
              <a:rPr lang="en-US" sz="1400" kern="1200">
                <a:solidFill>
                  <a:sysClr val="window" lastClr="FFFFFF"/>
                </a:solidFill>
                <a:latin typeface="Calibri" panose="020F0502020204030204"/>
                <a:ea typeface="+mn-ea"/>
                <a:cs typeface="+mn-cs"/>
              </a:rPr>
              <a:t>NPV and BCRs</a:t>
            </a:r>
            <a:r>
              <a:rPr lang="en-US" sz="1400" kern="1200" baseline="0">
                <a:solidFill>
                  <a:sysClr val="window" lastClr="FFFFFF"/>
                </a:solidFill>
                <a:latin typeface="Calibri" panose="020F0502020204030204"/>
                <a:ea typeface="+mn-ea"/>
                <a:cs typeface="+mn-cs"/>
              </a:rPr>
              <a:t> that reflect combinations of the four scenarios (optimistic/pessimistic baseline and low/high climate and disaster risk)</a:t>
            </a:r>
          </a:p>
          <a:p>
            <a:pPr marL="285750" lvl="0" indent="-285750" algn="l" defTabSz="889000">
              <a:lnSpc>
                <a:spcPct val="90000"/>
              </a:lnSpc>
              <a:spcBef>
                <a:spcPct val="0"/>
              </a:spcBef>
              <a:spcAft>
                <a:spcPct val="35000"/>
              </a:spcAft>
              <a:buFont typeface="Arial" panose="020B0604020202020204" pitchFamily="34" charset="0"/>
              <a:buChar char="•"/>
            </a:pPr>
            <a:r>
              <a:rPr lang="en-US" sz="1400" kern="1200">
                <a:solidFill>
                  <a:sysClr val="window" lastClr="FFFFFF"/>
                </a:solidFill>
                <a:latin typeface="Calibri" panose="020F0502020204030204"/>
                <a:ea typeface="+mn-ea"/>
                <a:cs typeface="+mn-cs"/>
              </a:rPr>
              <a:t>Sensitivity analysis, role of discount</a:t>
            </a:r>
            <a:r>
              <a:rPr lang="en-US" sz="1400" kern="1200" baseline="0">
                <a:solidFill>
                  <a:sysClr val="window" lastClr="FFFFFF"/>
                </a:solidFill>
                <a:latin typeface="Calibri" panose="020F0502020204030204"/>
                <a:ea typeface="+mn-ea"/>
                <a:cs typeface="+mn-cs"/>
              </a:rPr>
              <a:t> rate, gradient charts</a:t>
            </a:r>
            <a:r>
              <a:rPr lang="en-US" sz="1400" kern="1200">
                <a:solidFill>
                  <a:sysClr val="window" lastClr="FFFFFF"/>
                </a:solidFill>
                <a:latin typeface="Calibri" panose="020F0502020204030204"/>
                <a:ea typeface="+mn-ea"/>
                <a:cs typeface="+mn-cs"/>
              </a:rPr>
              <a:t> </a:t>
            </a:r>
          </a:p>
          <a:p>
            <a:pPr marL="285750" lvl="0" indent="-285750" algn="l" defTabSz="889000">
              <a:lnSpc>
                <a:spcPct val="90000"/>
              </a:lnSpc>
              <a:spcBef>
                <a:spcPct val="0"/>
              </a:spcBef>
              <a:spcAft>
                <a:spcPct val="35000"/>
              </a:spcAft>
              <a:buFont typeface="Arial" panose="020B0604020202020204" pitchFamily="34" charset="0"/>
              <a:buChar char="•"/>
            </a:pPr>
            <a:r>
              <a:rPr lang="en-US" sz="1400" kern="1200">
                <a:solidFill>
                  <a:sysClr val="window" lastClr="FFFFFF"/>
                </a:solidFill>
                <a:latin typeface="Calibri" panose="020F0502020204030204"/>
                <a:ea typeface="+mn-ea"/>
                <a:cs typeface="+mn-cs"/>
              </a:rPr>
              <a:t>Understanding of risks and possible failure scenarios</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276680</xdr:colOff>
      <xdr:row>20</xdr:row>
      <xdr:rowOff>40141</xdr:rowOff>
    </xdr:from>
    <xdr:to>
      <xdr:col>5</xdr:col>
      <xdr:colOff>285750</xdr:colOff>
      <xdr:row>28</xdr:row>
      <xdr:rowOff>39688</xdr:rowOff>
    </xdr:to>
    <xdr:cxnSp macro="">
      <xdr:nvCxnSpPr>
        <xdr:cNvPr id="2" name="Straight Arrow Connector 1">
          <a:extLst>
            <a:ext uri="{FF2B5EF4-FFF2-40B4-BE49-F238E27FC236}">
              <a16:creationId xmlns:a16="http://schemas.microsoft.com/office/drawing/2014/main" id="{D63388AF-E6B3-4FE3-AE0E-434327EF5848}"/>
            </a:ext>
          </a:extLst>
        </xdr:cNvPr>
        <xdr:cNvCxnSpPr/>
      </xdr:nvCxnSpPr>
      <xdr:spPr>
        <a:xfrm>
          <a:off x="5832930" y="5443991"/>
          <a:ext cx="9070" cy="1472747"/>
        </a:xfrm>
        <a:prstGeom prst="straightConnector1">
          <a:avLst/>
        </a:prstGeom>
        <a:ln w="12700">
          <a:solidFill>
            <a:srgbClr val="0070C0"/>
          </a:solidFill>
          <a:tailEnd type="triangle"/>
        </a:ln>
      </xdr:spPr>
      <xdr:style>
        <a:lnRef idx="2">
          <a:schemeClr val="dk1"/>
        </a:lnRef>
        <a:fillRef idx="1">
          <a:schemeClr val="lt1"/>
        </a:fillRef>
        <a:effectRef idx="0">
          <a:schemeClr val="dk1"/>
        </a:effectRef>
        <a:fontRef idx="minor">
          <a:schemeClr val="dk1"/>
        </a:fontRef>
      </xdr:style>
    </xdr:cxnSp>
    <xdr:clientData/>
  </xdr:twoCellAnchor>
  <xdr:oneCellAnchor>
    <xdr:from>
      <xdr:col>9</xdr:col>
      <xdr:colOff>21221</xdr:colOff>
      <xdr:row>1</xdr:row>
      <xdr:rowOff>25400</xdr:rowOff>
    </xdr:from>
    <xdr:ext cx="10788615" cy="6413499"/>
    <xdr:pic>
      <xdr:nvPicPr>
        <xdr:cNvPr id="3" name="Picture 2">
          <a:extLst>
            <a:ext uri="{FF2B5EF4-FFF2-40B4-BE49-F238E27FC236}">
              <a16:creationId xmlns:a16="http://schemas.microsoft.com/office/drawing/2014/main" id="{6AFF39ED-A0D6-4544-818D-CFFC6B412FB2}"/>
            </a:ext>
          </a:extLst>
        </xdr:cNvPr>
        <xdr:cNvPicPr>
          <a:picLocks noChangeAspect="1"/>
        </xdr:cNvPicPr>
      </xdr:nvPicPr>
      <xdr:blipFill>
        <a:blip xmlns:r="http://schemas.openxmlformats.org/officeDocument/2006/relationships" r:embed="rId1"/>
        <a:stretch>
          <a:fillRect/>
        </a:stretch>
      </xdr:blipFill>
      <xdr:spPr>
        <a:xfrm>
          <a:off x="8682621" y="209550"/>
          <a:ext cx="10788615" cy="6413499"/>
        </a:xfrm>
        <a:prstGeom prst="rect">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pic>
    <xdr:clientData/>
  </xdr:oneCellAnchor>
  <xdr:twoCellAnchor>
    <xdr:from>
      <xdr:col>3</xdr:col>
      <xdr:colOff>847725</xdr:colOff>
      <xdr:row>12</xdr:row>
      <xdr:rowOff>170090</xdr:rowOff>
    </xdr:from>
    <xdr:to>
      <xdr:col>3</xdr:col>
      <xdr:colOff>1288143</xdr:colOff>
      <xdr:row>15</xdr:row>
      <xdr:rowOff>142875</xdr:rowOff>
    </xdr:to>
    <xdr:cxnSp macro="">
      <xdr:nvCxnSpPr>
        <xdr:cNvPr id="4" name="Straight Arrow Connector 3">
          <a:extLst>
            <a:ext uri="{FF2B5EF4-FFF2-40B4-BE49-F238E27FC236}">
              <a16:creationId xmlns:a16="http://schemas.microsoft.com/office/drawing/2014/main" id="{DFEDAD51-DEEB-4BBC-8FC4-2CFC596E63B8}"/>
            </a:ext>
          </a:extLst>
        </xdr:cNvPr>
        <xdr:cNvCxnSpPr/>
      </xdr:nvCxnSpPr>
      <xdr:spPr>
        <a:xfrm>
          <a:off x="3629025" y="4100740"/>
          <a:ext cx="440418" cy="525235"/>
        </a:xfrm>
        <a:prstGeom prst="straightConnector1">
          <a:avLst/>
        </a:prstGeom>
        <a:ln w="12700">
          <a:solidFill>
            <a:srgbClr val="0070C0"/>
          </a:solidFill>
          <a:tailEnd type="triangle"/>
        </a:ln>
      </xdr:spPr>
      <xdr:style>
        <a:lnRef idx="2">
          <a:schemeClr val="dk1"/>
        </a:lnRef>
        <a:fillRef idx="1">
          <a:schemeClr val="lt1"/>
        </a:fillRef>
        <a:effectRef idx="0">
          <a:schemeClr val="dk1"/>
        </a:effectRef>
        <a:fontRef idx="minor">
          <a:schemeClr val="dk1"/>
        </a:fontRef>
      </xdr:style>
    </xdr:cxnSp>
    <xdr:clientData/>
  </xdr:twoCellAnchor>
  <xdr:twoCellAnchor>
    <xdr:from>
      <xdr:col>5</xdr:col>
      <xdr:colOff>650875</xdr:colOff>
      <xdr:row>12</xdr:row>
      <xdr:rowOff>96158</xdr:rowOff>
    </xdr:from>
    <xdr:to>
      <xdr:col>5</xdr:col>
      <xdr:colOff>1175660</xdr:colOff>
      <xdr:row>15</xdr:row>
      <xdr:rowOff>158750</xdr:rowOff>
    </xdr:to>
    <xdr:cxnSp macro="">
      <xdr:nvCxnSpPr>
        <xdr:cNvPr id="5" name="Straight Arrow Connector 4">
          <a:extLst>
            <a:ext uri="{FF2B5EF4-FFF2-40B4-BE49-F238E27FC236}">
              <a16:creationId xmlns:a16="http://schemas.microsoft.com/office/drawing/2014/main" id="{A2A76DF4-DF8E-41F1-B5CB-8099A7FF3321}"/>
            </a:ext>
          </a:extLst>
        </xdr:cNvPr>
        <xdr:cNvCxnSpPr/>
      </xdr:nvCxnSpPr>
      <xdr:spPr>
        <a:xfrm flipH="1">
          <a:off x="6207125" y="4026808"/>
          <a:ext cx="524785" cy="615042"/>
        </a:xfrm>
        <a:prstGeom prst="straightConnector1">
          <a:avLst/>
        </a:prstGeom>
        <a:ln w="12700">
          <a:solidFill>
            <a:srgbClr val="0070C0"/>
          </a:solidFill>
          <a:tailEnd type="triangle"/>
        </a:ln>
      </xdr:spPr>
      <xdr:style>
        <a:lnRef idx="2">
          <a:schemeClr val="dk1"/>
        </a:lnRef>
        <a:fillRef idx="1">
          <a:schemeClr val="lt1"/>
        </a:fillRef>
        <a:effectRef idx="0">
          <a:schemeClr val="dk1"/>
        </a:effectRef>
        <a:fontRef idx="minor">
          <a:schemeClr val="dk1"/>
        </a:fontRef>
      </xdr:style>
    </xdr:cxnSp>
    <xdr:clientData/>
  </xdr:twoCellAnchor>
  <xdr:twoCellAnchor>
    <xdr:from>
      <xdr:col>3</xdr:col>
      <xdr:colOff>1539875</xdr:colOff>
      <xdr:row>20</xdr:row>
      <xdr:rowOff>38554</xdr:rowOff>
    </xdr:from>
    <xdr:to>
      <xdr:col>3</xdr:col>
      <xdr:colOff>1545093</xdr:colOff>
      <xdr:row>28</xdr:row>
      <xdr:rowOff>39688</xdr:rowOff>
    </xdr:to>
    <xdr:cxnSp macro="">
      <xdr:nvCxnSpPr>
        <xdr:cNvPr id="6" name="Straight Arrow Connector 5">
          <a:extLst>
            <a:ext uri="{FF2B5EF4-FFF2-40B4-BE49-F238E27FC236}">
              <a16:creationId xmlns:a16="http://schemas.microsoft.com/office/drawing/2014/main" id="{959F3F82-CE4A-4481-AF3E-AEDCEB696AC2}"/>
            </a:ext>
          </a:extLst>
        </xdr:cNvPr>
        <xdr:cNvCxnSpPr/>
      </xdr:nvCxnSpPr>
      <xdr:spPr>
        <a:xfrm flipH="1">
          <a:off x="4321175" y="5442404"/>
          <a:ext cx="5218" cy="1474334"/>
        </a:xfrm>
        <a:prstGeom prst="straightConnector1">
          <a:avLst/>
        </a:prstGeom>
        <a:ln w="12700">
          <a:solidFill>
            <a:srgbClr val="0070C0"/>
          </a:solidFill>
          <a:tailEnd type="triangle"/>
        </a:ln>
      </xdr:spPr>
      <xdr:style>
        <a:lnRef idx="2">
          <a:schemeClr val="dk1"/>
        </a:lnRef>
        <a:fillRef idx="1">
          <a:schemeClr val="lt1"/>
        </a:fillRef>
        <a:effectRef idx="0">
          <a:schemeClr val="dk1"/>
        </a:effectRef>
        <a:fontRef idx="minor">
          <a:schemeClr val="dk1"/>
        </a:fontRef>
      </xdr:style>
    </xdr:cxnSp>
    <xdr:clientData/>
  </xdr:twoCellAnchor>
  <xdr:twoCellAnchor>
    <xdr:from>
      <xdr:col>4</xdr:col>
      <xdr:colOff>68943</xdr:colOff>
      <xdr:row>4</xdr:row>
      <xdr:rowOff>644978</xdr:rowOff>
    </xdr:from>
    <xdr:to>
      <xdr:col>5</xdr:col>
      <xdr:colOff>1193800</xdr:colOff>
      <xdr:row>6</xdr:row>
      <xdr:rowOff>215900</xdr:rowOff>
    </xdr:to>
    <xdr:cxnSp macro="">
      <xdr:nvCxnSpPr>
        <xdr:cNvPr id="7" name="Straight Arrow Connector 6">
          <a:extLst>
            <a:ext uri="{FF2B5EF4-FFF2-40B4-BE49-F238E27FC236}">
              <a16:creationId xmlns:a16="http://schemas.microsoft.com/office/drawing/2014/main" id="{D991B5B0-57A0-4C35-9ACF-2BF1850B3AA0}"/>
            </a:ext>
          </a:extLst>
        </xdr:cNvPr>
        <xdr:cNvCxnSpPr/>
      </xdr:nvCxnSpPr>
      <xdr:spPr>
        <a:xfrm>
          <a:off x="4405993" y="1610178"/>
          <a:ext cx="2344057" cy="859972"/>
        </a:xfrm>
        <a:prstGeom prst="straightConnector1">
          <a:avLst/>
        </a:prstGeom>
        <a:ln w="12700">
          <a:solidFill>
            <a:srgbClr val="0070C0"/>
          </a:solidFill>
          <a:tailEnd type="triangle"/>
        </a:ln>
      </xdr:spPr>
      <xdr:style>
        <a:lnRef idx="2">
          <a:schemeClr val="dk1"/>
        </a:lnRef>
        <a:fillRef idx="1">
          <a:schemeClr val="lt1"/>
        </a:fillRef>
        <a:effectRef idx="0">
          <a:schemeClr val="dk1"/>
        </a:effectRef>
        <a:fontRef idx="minor">
          <a:schemeClr val="dk1"/>
        </a:fontRef>
      </xdr:style>
    </xdr:cxnSp>
    <xdr:clientData/>
  </xdr:twoCellAnchor>
  <xdr:twoCellAnchor>
    <xdr:from>
      <xdr:col>3</xdr:col>
      <xdr:colOff>1092200</xdr:colOff>
      <xdr:row>4</xdr:row>
      <xdr:rowOff>635000</xdr:rowOff>
    </xdr:from>
    <xdr:to>
      <xdr:col>5</xdr:col>
      <xdr:colOff>544287</xdr:colOff>
      <xdr:row>6</xdr:row>
      <xdr:rowOff>203200</xdr:rowOff>
    </xdr:to>
    <xdr:cxnSp macro="">
      <xdr:nvCxnSpPr>
        <xdr:cNvPr id="8" name="Straight Arrow Connector 7">
          <a:extLst>
            <a:ext uri="{FF2B5EF4-FFF2-40B4-BE49-F238E27FC236}">
              <a16:creationId xmlns:a16="http://schemas.microsoft.com/office/drawing/2014/main" id="{2BC6F101-A873-4D57-8DF5-22D533B42532}"/>
            </a:ext>
          </a:extLst>
        </xdr:cNvPr>
        <xdr:cNvCxnSpPr/>
      </xdr:nvCxnSpPr>
      <xdr:spPr>
        <a:xfrm flipH="1">
          <a:off x="3873500" y="1600200"/>
          <a:ext cx="2227037" cy="857250"/>
        </a:xfrm>
        <a:prstGeom prst="straightConnector1">
          <a:avLst/>
        </a:prstGeom>
        <a:ln w="12700">
          <a:solidFill>
            <a:srgbClr val="0070C0"/>
          </a:solidFill>
          <a:tailEnd type="triangle"/>
        </a:ln>
      </xdr:spPr>
      <xdr:style>
        <a:lnRef idx="2">
          <a:schemeClr val="dk1"/>
        </a:lnRef>
        <a:fillRef idx="1">
          <a:schemeClr val="lt1"/>
        </a:fillRef>
        <a:effectRef idx="0">
          <a:schemeClr val="dk1"/>
        </a:effectRef>
        <a:fontRef idx="minor">
          <a:schemeClr val="dk1"/>
        </a:fontRef>
      </xdr:style>
    </xdr:cxnSp>
    <xdr:clientData/>
  </xdr:twoCellAnchor>
  <xdr:twoCellAnchor>
    <xdr:from>
      <xdr:col>5</xdr:col>
      <xdr:colOff>292100</xdr:colOff>
      <xdr:row>3</xdr:row>
      <xdr:rowOff>12700</xdr:rowOff>
    </xdr:from>
    <xdr:to>
      <xdr:col>8</xdr:col>
      <xdr:colOff>0</xdr:colOff>
      <xdr:row>5</xdr:row>
      <xdr:rowOff>11793</xdr:rowOff>
    </xdr:to>
    <xdr:sp macro="" textlink="">
      <xdr:nvSpPr>
        <xdr:cNvPr id="9" name="Rectangle: Rounded Corners 8">
          <a:extLst>
            <a:ext uri="{FF2B5EF4-FFF2-40B4-BE49-F238E27FC236}">
              <a16:creationId xmlns:a16="http://schemas.microsoft.com/office/drawing/2014/main" id="{2A93828F-A253-4EAF-818A-7B759A6D26E2}"/>
            </a:ext>
          </a:extLst>
        </xdr:cNvPr>
        <xdr:cNvSpPr/>
      </xdr:nvSpPr>
      <xdr:spPr>
        <a:xfrm>
          <a:off x="5848350" y="793750"/>
          <a:ext cx="2197100" cy="919843"/>
        </a:xfrm>
        <a:prstGeom prst="roundRect">
          <a:avLst/>
        </a:prstGeom>
        <a:solidFill>
          <a:schemeClr val="accent6">
            <a:lumMod val="40000"/>
            <a:lumOff val="60000"/>
          </a:schemeClr>
        </a:solid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400" b="1">
              <a:solidFill>
                <a:sysClr val="windowText" lastClr="000000"/>
              </a:solidFill>
            </a:rPr>
            <a:t>Climate Impacts </a:t>
          </a:r>
          <a:r>
            <a:rPr lang="en-US" sz="1400">
              <a:solidFill>
                <a:sysClr val="windowText" lastClr="000000"/>
              </a:solidFill>
            </a:rPr>
            <a:t>(average climate conditions and disasters)</a:t>
          </a:r>
        </a:p>
      </xdr:txBody>
    </xdr:sp>
    <xdr:clientData/>
  </xdr:twoCellAnchor>
  <xdr:twoCellAnchor>
    <xdr:from>
      <xdr:col>3</xdr:col>
      <xdr:colOff>1046616</xdr:colOff>
      <xdr:row>28</xdr:row>
      <xdr:rowOff>39687</xdr:rowOff>
    </xdr:from>
    <xdr:to>
      <xdr:col>5</xdr:col>
      <xdr:colOff>912813</xdr:colOff>
      <xdr:row>31</xdr:row>
      <xdr:rowOff>87313</xdr:rowOff>
    </xdr:to>
    <xdr:sp macro="" textlink="">
      <xdr:nvSpPr>
        <xdr:cNvPr id="10" name="Rectangle: Rounded Corners 9">
          <a:extLst>
            <a:ext uri="{FF2B5EF4-FFF2-40B4-BE49-F238E27FC236}">
              <a16:creationId xmlns:a16="http://schemas.microsoft.com/office/drawing/2014/main" id="{F0349CAB-FDE4-4E89-8CC9-F78434490864}"/>
            </a:ext>
          </a:extLst>
        </xdr:cNvPr>
        <xdr:cNvSpPr/>
      </xdr:nvSpPr>
      <xdr:spPr>
        <a:xfrm>
          <a:off x="3827916" y="6916737"/>
          <a:ext cx="2641147" cy="600076"/>
        </a:xfrm>
        <a:prstGeom prst="roundRect">
          <a:avLst/>
        </a:prstGeom>
        <a:solidFill>
          <a:schemeClr val="tx2">
            <a:lumMod val="60000"/>
            <a:lumOff val="40000"/>
          </a:schemeClr>
        </a:solid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400" b="1">
              <a:solidFill>
                <a:sysClr val="windowText" lastClr="000000"/>
              </a:solidFill>
            </a:rPr>
            <a:t>Parameters_Results </a:t>
          </a:r>
          <a:r>
            <a:rPr lang="en-US" sz="1400" b="0">
              <a:solidFill>
                <a:sysClr val="windowText" lastClr="000000"/>
              </a:solidFill>
            </a:rPr>
            <a:t>(results</a:t>
          </a:r>
          <a:r>
            <a:rPr lang="en-US" sz="1400" b="0" baseline="0">
              <a:solidFill>
                <a:sysClr val="windowText" lastClr="000000"/>
              </a:solidFill>
            </a:rPr>
            <a:t> based on expected flows)</a:t>
          </a:r>
          <a:r>
            <a:rPr lang="en-US" sz="1400" b="1" baseline="0">
              <a:solidFill>
                <a:sysClr val="windowText" lastClr="000000"/>
              </a:solidFill>
            </a:rPr>
            <a:t> </a:t>
          </a:r>
          <a:endParaRPr lang="en-US" sz="1400" b="1">
            <a:solidFill>
              <a:sysClr val="windowText" lastClr="000000"/>
            </a:solidFill>
          </a:endParaRPr>
        </a:p>
      </xdr:txBody>
    </xdr:sp>
    <xdr:clientData/>
  </xdr:twoCellAnchor>
  <xdr:twoCellAnchor>
    <xdr:from>
      <xdr:col>3</xdr:col>
      <xdr:colOff>877661</xdr:colOff>
      <xdr:row>16</xdr:row>
      <xdr:rowOff>2724</xdr:rowOff>
    </xdr:from>
    <xdr:to>
      <xdr:col>5</xdr:col>
      <xdr:colOff>1047749</xdr:colOff>
      <xdr:row>20</xdr:row>
      <xdr:rowOff>31750</xdr:rowOff>
    </xdr:to>
    <xdr:sp macro="" textlink="">
      <xdr:nvSpPr>
        <xdr:cNvPr id="11" name="Rectangle: Rounded Corners 10">
          <a:extLst>
            <a:ext uri="{FF2B5EF4-FFF2-40B4-BE49-F238E27FC236}">
              <a16:creationId xmlns:a16="http://schemas.microsoft.com/office/drawing/2014/main" id="{35B889B3-5EB8-41E4-9AFE-16065D0D22FF}"/>
            </a:ext>
          </a:extLst>
        </xdr:cNvPr>
        <xdr:cNvSpPr/>
      </xdr:nvSpPr>
      <xdr:spPr>
        <a:xfrm>
          <a:off x="3658961" y="4669974"/>
          <a:ext cx="2945038" cy="765626"/>
        </a:xfrm>
        <a:prstGeom prst="roundRect">
          <a:avLst/>
        </a:prstGeom>
        <a:solidFill>
          <a:schemeClr val="accent2">
            <a:lumMod val="60000"/>
            <a:lumOff val="40000"/>
          </a:schemeClr>
        </a:solid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400" b="1">
              <a:solidFill>
                <a:sysClr val="windowText" lastClr="000000"/>
              </a:solidFill>
            </a:rPr>
            <a:t>Expected flows </a:t>
          </a:r>
          <a:r>
            <a:rPr lang="en-US" sz="1400" b="0">
              <a:solidFill>
                <a:sysClr val="windowText" lastClr="000000"/>
              </a:solidFill>
            </a:rPr>
            <a:t>(calculations</a:t>
          </a:r>
          <a:r>
            <a:rPr lang="en-US" sz="1400" b="0" baseline="0">
              <a:solidFill>
                <a:sysClr val="windowText" lastClr="000000"/>
              </a:solidFill>
            </a:rPr>
            <a:t> from extrapolation sheets combined) </a:t>
          </a:r>
          <a:endParaRPr lang="en-US" sz="1400" b="1">
            <a:solidFill>
              <a:sysClr val="windowText" lastClr="000000"/>
            </a:solidFill>
          </a:endParaRPr>
        </a:p>
      </xdr:txBody>
    </xdr:sp>
    <xdr:clientData/>
  </xdr:twoCellAnchor>
  <xdr:twoCellAnchor>
    <xdr:from>
      <xdr:col>4</xdr:col>
      <xdr:colOff>1187448</xdr:colOff>
      <xdr:row>6</xdr:row>
      <xdr:rowOff>342899</xdr:rowOff>
    </xdr:from>
    <xdr:to>
      <xdr:col>7</xdr:col>
      <xdr:colOff>603250</xdr:colOff>
      <xdr:row>12</xdr:row>
      <xdr:rowOff>158749</xdr:rowOff>
    </xdr:to>
    <xdr:sp macro="" textlink="">
      <xdr:nvSpPr>
        <xdr:cNvPr id="12" name="Rectangle: Rounded Corners 11">
          <a:extLst>
            <a:ext uri="{FF2B5EF4-FFF2-40B4-BE49-F238E27FC236}">
              <a16:creationId xmlns:a16="http://schemas.microsoft.com/office/drawing/2014/main" id="{C78BA7F9-A59D-4EF2-9A50-665E076F5699}"/>
            </a:ext>
          </a:extLst>
        </xdr:cNvPr>
        <xdr:cNvSpPr/>
      </xdr:nvSpPr>
      <xdr:spPr>
        <a:xfrm>
          <a:off x="5524498" y="2597149"/>
          <a:ext cx="2508252" cy="1492250"/>
        </a:xfrm>
        <a:prstGeom prst="roundRect">
          <a:avLst/>
        </a:prstGeom>
        <a:solidFill>
          <a:schemeClr val="accent2">
            <a:lumMod val="60000"/>
            <a:lumOff val="40000"/>
          </a:schemeClr>
        </a:solid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400" b="1">
              <a:solidFill>
                <a:sysClr val="windowText" lastClr="000000"/>
              </a:solidFill>
            </a:rPr>
            <a:t>Extrapolation disasters </a:t>
          </a:r>
          <a:r>
            <a:rPr lang="en-US" sz="1200">
              <a:solidFill>
                <a:schemeClr val="dk1"/>
              </a:solidFill>
              <a:effectLst/>
              <a:latin typeface="+mn-lt"/>
              <a:ea typeface="+mn-ea"/>
              <a:cs typeface="+mn-cs"/>
            </a:rPr>
            <a:t>(calculations on impacts from disasters and</a:t>
          </a:r>
          <a:r>
            <a:rPr lang="en-US" sz="1200" baseline="0">
              <a:solidFill>
                <a:schemeClr val="dk1"/>
              </a:solidFill>
              <a:effectLst/>
              <a:latin typeface="+mn-lt"/>
              <a:ea typeface="+mn-ea"/>
              <a:cs typeface="+mn-cs"/>
            </a:rPr>
            <a:t> change in disaster</a:t>
          </a:r>
          <a:r>
            <a:rPr lang="en-US" sz="1200">
              <a:solidFill>
                <a:schemeClr val="dk1"/>
              </a:solidFill>
              <a:effectLst/>
              <a:latin typeface="+mn-lt"/>
              <a:ea typeface="+mn-ea"/>
              <a:cs typeface="+mn-cs"/>
            </a:rPr>
            <a:t> frequency based on on a linear interpolation and parameter</a:t>
          </a:r>
          <a:r>
            <a:rPr lang="en-US" sz="1200" baseline="0">
              <a:solidFill>
                <a:schemeClr val="dk1"/>
              </a:solidFill>
              <a:effectLst/>
              <a:latin typeface="+mn-lt"/>
              <a:ea typeface="+mn-ea"/>
              <a:cs typeface="+mn-cs"/>
            </a:rPr>
            <a:t> inputs</a:t>
          </a:r>
          <a:r>
            <a:rPr lang="en-US" sz="1200">
              <a:solidFill>
                <a:schemeClr val="dk1"/>
              </a:solidFill>
              <a:effectLst/>
              <a:latin typeface="+mn-lt"/>
              <a:ea typeface="+mn-ea"/>
              <a:cs typeface="+mn-cs"/>
            </a:rPr>
            <a:t>) </a:t>
          </a:r>
          <a:endParaRPr lang="en-US" sz="1200" b="1">
            <a:solidFill>
              <a:sysClr val="windowText" lastClr="000000"/>
            </a:solidFill>
          </a:endParaRPr>
        </a:p>
      </xdr:txBody>
    </xdr:sp>
    <xdr:clientData/>
  </xdr:twoCellAnchor>
  <xdr:twoCellAnchor>
    <xdr:from>
      <xdr:col>2</xdr:col>
      <xdr:colOff>269421</xdr:colOff>
      <xdr:row>6</xdr:row>
      <xdr:rowOff>329292</xdr:rowOff>
    </xdr:from>
    <xdr:to>
      <xdr:col>4</xdr:col>
      <xdr:colOff>666750</xdr:colOff>
      <xdr:row>12</xdr:row>
      <xdr:rowOff>174624</xdr:rowOff>
    </xdr:to>
    <xdr:sp macro="" textlink="">
      <xdr:nvSpPr>
        <xdr:cNvPr id="13" name="Rectangle: Rounded Corners 12">
          <a:extLst>
            <a:ext uri="{FF2B5EF4-FFF2-40B4-BE49-F238E27FC236}">
              <a16:creationId xmlns:a16="http://schemas.microsoft.com/office/drawing/2014/main" id="{4A2393BE-CEB5-44B7-8BA4-4240F29BA1C9}"/>
            </a:ext>
          </a:extLst>
        </xdr:cNvPr>
        <xdr:cNvSpPr/>
      </xdr:nvSpPr>
      <xdr:spPr>
        <a:xfrm>
          <a:off x="2434771" y="2583542"/>
          <a:ext cx="2569029" cy="1521732"/>
        </a:xfrm>
        <a:prstGeom prst="roundRect">
          <a:avLst/>
        </a:prstGeom>
        <a:solidFill>
          <a:schemeClr val="accent2">
            <a:lumMod val="60000"/>
            <a:lumOff val="40000"/>
          </a:schemeClr>
        </a:solid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400" b="1">
              <a:solidFill>
                <a:sysClr val="windowText" lastClr="000000"/>
              </a:solidFill>
            </a:rPr>
            <a:t>Extrapolation average conditions</a:t>
          </a:r>
          <a:r>
            <a:rPr lang="en-US" sz="1400">
              <a:solidFill>
                <a:sysClr val="windowText" lastClr="000000"/>
              </a:solidFill>
            </a:rPr>
            <a:t> </a:t>
          </a:r>
          <a:r>
            <a:rPr lang="en-US" sz="1200">
              <a:solidFill>
                <a:sysClr val="windowText" lastClr="000000"/>
              </a:solidFill>
            </a:rPr>
            <a:t>(calculations on impacts from changing average climate conditons based </a:t>
          </a:r>
          <a:r>
            <a:rPr lang="en-US" sz="1200">
              <a:solidFill>
                <a:schemeClr val="dk1"/>
              </a:solidFill>
              <a:effectLst/>
              <a:latin typeface="+mn-lt"/>
              <a:ea typeface="+mn-ea"/>
              <a:cs typeface="+mn-cs"/>
            </a:rPr>
            <a:t>on a linear interpolation and parameter</a:t>
          </a:r>
          <a:r>
            <a:rPr lang="en-US" sz="1200" baseline="0">
              <a:solidFill>
                <a:schemeClr val="dk1"/>
              </a:solidFill>
              <a:effectLst/>
              <a:latin typeface="+mn-lt"/>
              <a:ea typeface="+mn-ea"/>
              <a:cs typeface="+mn-cs"/>
            </a:rPr>
            <a:t> inputs</a:t>
          </a:r>
          <a:r>
            <a:rPr lang="en-US" sz="1200">
              <a:solidFill>
                <a:schemeClr val="dk1"/>
              </a:solidFill>
              <a:effectLst/>
              <a:latin typeface="+mn-lt"/>
              <a:ea typeface="+mn-ea"/>
              <a:cs typeface="+mn-cs"/>
            </a:rPr>
            <a:t>) </a:t>
          </a:r>
          <a:endParaRPr lang="en-US" sz="1200">
            <a:solidFill>
              <a:sysClr val="windowText" lastClr="000000"/>
            </a:solidFill>
          </a:endParaRPr>
        </a:p>
      </xdr:txBody>
    </xdr:sp>
    <xdr:clientData/>
  </xdr:twoCellAnchor>
  <xdr:twoCellAnchor>
    <xdr:from>
      <xdr:col>2</xdr:col>
      <xdr:colOff>328386</xdr:colOff>
      <xdr:row>3</xdr:row>
      <xdr:rowOff>0</xdr:rowOff>
    </xdr:from>
    <xdr:to>
      <xdr:col>4</xdr:col>
      <xdr:colOff>279400</xdr:colOff>
      <xdr:row>4</xdr:row>
      <xdr:rowOff>723900</xdr:rowOff>
    </xdr:to>
    <xdr:sp macro="" textlink="">
      <xdr:nvSpPr>
        <xdr:cNvPr id="14" name="Rectangle: Rounded Corners 13">
          <a:extLst>
            <a:ext uri="{FF2B5EF4-FFF2-40B4-BE49-F238E27FC236}">
              <a16:creationId xmlns:a16="http://schemas.microsoft.com/office/drawing/2014/main" id="{9F5C83A2-19BD-41F7-A086-A866C82E1FA1}"/>
            </a:ext>
          </a:extLst>
        </xdr:cNvPr>
        <xdr:cNvSpPr/>
      </xdr:nvSpPr>
      <xdr:spPr>
        <a:xfrm>
          <a:off x="2493736" y="781050"/>
          <a:ext cx="2122714" cy="908050"/>
        </a:xfrm>
        <a:prstGeom prst="roundRect">
          <a:avLst/>
        </a:prstGeom>
        <a:solidFill>
          <a:schemeClr val="accent6">
            <a:lumMod val="40000"/>
            <a:lumOff val="60000"/>
          </a:schemeClr>
        </a:solid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400" b="1">
              <a:solidFill>
                <a:sysClr val="windowText" lastClr="000000"/>
              </a:solidFill>
            </a:rPr>
            <a:t>Baseline Scenarios </a:t>
          </a:r>
          <a:r>
            <a:rPr lang="en-US" sz="1400">
              <a:solidFill>
                <a:sysClr val="windowText" lastClr="000000"/>
              </a:solidFill>
            </a:rPr>
            <a:t>(optimistic and pessimistc) </a:t>
          </a:r>
        </a:p>
        <a:p>
          <a:pPr algn="l"/>
          <a:endParaRPr lang="en-US" sz="1100">
            <a:solidFill>
              <a:sysClr val="windowText" lastClr="000000"/>
            </a:solidFill>
          </a:endParaRPr>
        </a:p>
      </xdr:txBody>
    </xdr:sp>
    <xdr:clientData/>
  </xdr:twoCellAnchor>
  <xdr:twoCellAnchor>
    <xdr:from>
      <xdr:col>0</xdr:col>
      <xdr:colOff>578304</xdr:colOff>
      <xdr:row>15</xdr:row>
      <xdr:rowOff>4536</xdr:rowOff>
    </xdr:from>
    <xdr:to>
      <xdr:col>2</xdr:col>
      <xdr:colOff>380999</xdr:colOff>
      <xdr:row>20</xdr:row>
      <xdr:rowOff>72571</xdr:rowOff>
    </xdr:to>
    <xdr:sp macro="" textlink="">
      <xdr:nvSpPr>
        <xdr:cNvPr id="15" name="Rectangle: Rounded Corners 14">
          <a:extLst>
            <a:ext uri="{FF2B5EF4-FFF2-40B4-BE49-F238E27FC236}">
              <a16:creationId xmlns:a16="http://schemas.microsoft.com/office/drawing/2014/main" id="{4494F202-FF3C-4085-81DA-89508B3E5A8D}"/>
            </a:ext>
          </a:extLst>
        </xdr:cNvPr>
        <xdr:cNvSpPr/>
      </xdr:nvSpPr>
      <xdr:spPr>
        <a:xfrm>
          <a:off x="578304" y="4487636"/>
          <a:ext cx="1968045" cy="988785"/>
        </a:xfrm>
        <a:prstGeom prst="roundRect">
          <a:avLst/>
        </a:prstGeom>
        <a:ln w="19050">
          <a:solidFill>
            <a:schemeClr val="accent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Note that "</a:t>
          </a:r>
          <a:r>
            <a:rPr lang="en-US" sz="1400" b="1"/>
            <a:t>Additional  Calculations</a:t>
          </a:r>
          <a:r>
            <a:rPr lang="en-US" sz="1400"/>
            <a:t>" sheets may be needed.</a:t>
          </a:r>
        </a:p>
      </xdr:txBody>
    </xdr:sp>
    <xdr:clientData/>
  </xdr:twoCellAnchor>
  <xdr:twoCellAnchor>
    <xdr:from>
      <xdr:col>3</xdr:col>
      <xdr:colOff>772206</xdr:colOff>
      <xdr:row>4</xdr:row>
      <xdr:rowOff>723900</xdr:rowOff>
    </xdr:from>
    <xdr:to>
      <xdr:col>3</xdr:col>
      <xdr:colOff>777875</xdr:colOff>
      <xdr:row>6</xdr:row>
      <xdr:rowOff>238125</xdr:rowOff>
    </xdr:to>
    <xdr:cxnSp macro="">
      <xdr:nvCxnSpPr>
        <xdr:cNvPr id="16" name="Straight Arrow Connector 15">
          <a:extLst>
            <a:ext uri="{FF2B5EF4-FFF2-40B4-BE49-F238E27FC236}">
              <a16:creationId xmlns:a16="http://schemas.microsoft.com/office/drawing/2014/main" id="{FCC3B115-7407-414A-B0D1-6653F95DDC87}"/>
            </a:ext>
          </a:extLst>
        </xdr:cNvPr>
        <xdr:cNvCxnSpPr>
          <a:stCxn id="14" idx="2"/>
        </xdr:cNvCxnSpPr>
      </xdr:nvCxnSpPr>
      <xdr:spPr>
        <a:xfrm>
          <a:off x="3553506" y="1689100"/>
          <a:ext cx="5669" cy="803275"/>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317500</xdr:colOff>
      <xdr:row>5</xdr:row>
      <xdr:rowOff>17462</xdr:rowOff>
    </xdr:from>
    <xdr:to>
      <xdr:col>6</xdr:col>
      <xdr:colOff>319087</xdr:colOff>
      <xdr:row>6</xdr:row>
      <xdr:rowOff>269875</xdr:rowOff>
    </xdr:to>
    <xdr:cxnSp macro="">
      <xdr:nvCxnSpPr>
        <xdr:cNvPr id="17" name="Straight Arrow Connector 16">
          <a:extLst>
            <a:ext uri="{FF2B5EF4-FFF2-40B4-BE49-F238E27FC236}">
              <a16:creationId xmlns:a16="http://schemas.microsoft.com/office/drawing/2014/main" id="{22B93929-16D1-4F97-9A96-5AA249476EA8}"/>
            </a:ext>
          </a:extLst>
        </xdr:cNvPr>
        <xdr:cNvCxnSpPr/>
      </xdr:nvCxnSpPr>
      <xdr:spPr>
        <a:xfrm flipH="1">
          <a:off x="7131050" y="1719262"/>
          <a:ext cx="1587" cy="804863"/>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290287</xdr:colOff>
      <xdr:row>21</xdr:row>
      <xdr:rowOff>158750</xdr:rowOff>
    </xdr:from>
    <xdr:to>
      <xdr:col>5</xdr:col>
      <xdr:colOff>1071563</xdr:colOff>
      <xdr:row>26</xdr:row>
      <xdr:rowOff>111124</xdr:rowOff>
    </xdr:to>
    <xdr:sp macro="" textlink="">
      <xdr:nvSpPr>
        <xdr:cNvPr id="18" name="Rectangle: Rounded Corners 17">
          <a:extLst>
            <a:ext uri="{FF2B5EF4-FFF2-40B4-BE49-F238E27FC236}">
              <a16:creationId xmlns:a16="http://schemas.microsoft.com/office/drawing/2014/main" id="{D60A35AB-1DA4-4E67-97EC-0A8A203DB06D}"/>
            </a:ext>
          </a:extLst>
        </xdr:cNvPr>
        <xdr:cNvSpPr/>
      </xdr:nvSpPr>
      <xdr:spPr>
        <a:xfrm>
          <a:off x="4627337" y="5746750"/>
          <a:ext cx="2000476" cy="873124"/>
        </a:xfrm>
        <a:prstGeom prst="roundRect">
          <a:avLst/>
        </a:prstGeom>
        <a:solidFill>
          <a:schemeClr val="accent2">
            <a:lumMod val="60000"/>
            <a:lumOff val="40000"/>
          </a:schemeClr>
        </a:solid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400" b="1">
              <a:solidFill>
                <a:sysClr val="windowText" lastClr="000000"/>
              </a:solidFill>
            </a:rPr>
            <a:t>Expected flows disasters </a:t>
          </a:r>
          <a:r>
            <a:rPr lang="en-US" sz="1400" b="0">
              <a:solidFill>
                <a:sysClr val="windowText" lastClr="000000"/>
              </a:solidFill>
            </a:rPr>
            <a:t>(calculations</a:t>
          </a:r>
          <a:r>
            <a:rPr lang="en-US" sz="1400" b="0" baseline="0">
              <a:solidFill>
                <a:sysClr val="windowText" lastClr="000000"/>
              </a:solidFill>
            </a:rPr>
            <a:t> for each disaster disaggregated) </a:t>
          </a:r>
          <a:endParaRPr lang="en-US" sz="1400" b="1">
            <a:solidFill>
              <a:sysClr val="windowText" lastClr="00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68035</xdr:colOff>
      <xdr:row>38</xdr:row>
      <xdr:rowOff>13607</xdr:rowOff>
    </xdr:from>
    <xdr:to>
      <xdr:col>2</xdr:col>
      <xdr:colOff>627629</xdr:colOff>
      <xdr:row>59</xdr:row>
      <xdr:rowOff>136072</xdr:rowOff>
    </xdr:to>
    <xdr:graphicFrame macro="">
      <xdr:nvGraphicFramePr>
        <xdr:cNvPr id="6" name="Chart 5">
          <a:extLst>
            <a:ext uri="{FF2B5EF4-FFF2-40B4-BE49-F238E27FC236}">
              <a16:creationId xmlns:a16="http://schemas.microsoft.com/office/drawing/2014/main" id="{3A02A3EC-4AF1-40BB-8649-AA73A1DE89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725760</xdr:colOff>
      <xdr:row>38</xdr:row>
      <xdr:rowOff>11906</xdr:rowOff>
    </xdr:from>
    <xdr:to>
      <xdr:col>6</xdr:col>
      <xdr:colOff>38597</xdr:colOff>
      <xdr:row>59</xdr:row>
      <xdr:rowOff>136072</xdr:rowOff>
    </xdr:to>
    <xdr:graphicFrame macro="">
      <xdr:nvGraphicFramePr>
        <xdr:cNvPr id="7" name="Chart 6">
          <a:extLst>
            <a:ext uri="{FF2B5EF4-FFF2-40B4-BE49-F238E27FC236}">
              <a16:creationId xmlns:a16="http://schemas.microsoft.com/office/drawing/2014/main" id="{C444633D-2472-4D06-BBAF-A823199B73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888745</xdr:colOff>
      <xdr:row>38</xdr:row>
      <xdr:rowOff>6155</xdr:rowOff>
    </xdr:from>
    <xdr:to>
      <xdr:col>21</xdr:col>
      <xdr:colOff>139128</xdr:colOff>
      <xdr:row>54</xdr:row>
      <xdr:rowOff>13607</xdr:rowOff>
    </xdr:to>
    <xdr:graphicFrame macro="">
      <xdr:nvGraphicFramePr>
        <xdr:cNvPr id="9" name="Chart 8">
          <a:extLst>
            <a:ext uri="{FF2B5EF4-FFF2-40B4-BE49-F238E27FC236}">
              <a16:creationId xmlns:a16="http://schemas.microsoft.com/office/drawing/2014/main" id="{DA44907D-6097-4B64-BA6E-6228853AB1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904874</xdr:colOff>
      <xdr:row>53</xdr:row>
      <xdr:rowOff>29767</xdr:rowOff>
    </xdr:from>
    <xdr:to>
      <xdr:col>9</xdr:col>
      <xdr:colOff>107156</xdr:colOff>
      <xdr:row>55</xdr:row>
      <xdr:rowOff>17861</xdr:rowOff>
    </xdr:to>
    <xdr:sp macro="" textlink="">
      <xdr:nvSpPr>
        <xdr:cNvPr id="2" name="Right Brace 1">
          <a:extLst>
            <a:ext uri="{FF2B5EF4-FFF2-40B4-BE49-F238E27FC236}">
              <a16:creationId xmlns:a16="http://schemas.microsoft.com/office/drawing/2014/main" id="{15247562-05F3-4C54-B120-E86658295659}"/>
            </a:ext>
          </a:extLst>
        </xdr:cNvPr>
        <xdr:cNvSpPr/>
      </xdr:nvSpPr>
      <xdr:spPr>
        <a:xfrm rot="5400000">
          <a:off x="11727656" y="10647760"/>
          <a:ext cx="350044" cy="1878807"/>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7</xdr:col>
      <xdr:colOff>166687</xdr:colOff>
      <xdr:row>55</xdr:row>
      <xdr:rowOff>166688</xdr:rowOff>
    </xdr:from>
    <xdr:to>
      <xdr:col>8</xdr:col>
      <xdr:colOff>785812</xdr:colOff>
      <xdr:row>58</xdr:row>
      <xdr:rowOff>47625</xdr:rowOff>
    </xdr:to>
    <xdr:sp macro="" textlink="">
      <xdr:nvSpPr>
        <xdr:cNvPr id="3" name="Rectangle 2">
          <a:extLst>
            <a:ext uri="{FF2B5EF4-FFF2-40B4-BE49-F238E27FC236}">
              <a16:creationId xmlns:a16="http://schemas.microsoft.com/office/drawing/2014/main" id="{23A22557-3AE2-4E2D-87DC-CDD2E57F0DA1}"/>
            </a:ext>
          </a:extLst>
        </xdr:cNvPr>
        <xdr:cNvSpPr/>
      </xdr:nvSpPr>
      <xdr:spPr>
        <a:xfrm>
          <a:off x="10072687" y="12132469"/>
          <a:ext cx="1488281" cy="45243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Changes in average conditions</a:t>
          </a:r>
        </a:p>
      </xdr:txBody>
    </xdr:sp>
    <xdr:clientData/>
  </xdr:twoCellAnchor>
  <xdr:twoCellAnchor>
    <xdr:from>
      <xdr:col>9</xdr:col>
      <xdr:colOff>256776</xdr:colOff>
      <xdr:row>53</xdr:row>
      <xdr:rowOff>48023</xdr:rowOff>
    </xdr:from>
    <xdr:to>
      <xdr:col>12</xdr:col>
      <xdr:colOff>771524</xdr:colOff>
      <xdr:row>53</xdr:row>
      <xdr:rowOff>93742</xdr:rowOff>
    </xdr:to>
    <xdr:sp macro="" textlink="">
      <xdr:nvSpPr>
        <xdr:cNvPr id="10" name="Right Brace 9">
          <a:extLst>
            <a:ext uri="{FF2B5EF4-FFF2-40B4-BE49-F238E27FC236}">
              <a16:creationId xmlns:a16="http://schemas.microsoft.com/office/drawing/2014/main" id="{CA735CF8-4082-4015-89A5-04A0842FA2FE}"/>
            </a:ext>
          </a:extLst>
        </xdr:cNvPr>
        <xdr:cNvSpPr/>
      </xdr:nvSpPr>
      <xdr:spPr>
        <a:xfrm rot="5400000">
          <a:off x="16440903" y="10552946"/>
          <a:ext cx="45719" cy="3248423"/>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10</xdr:col>
      <xdr:colOff>465136</xdr:colOff>
      <xdr:row>55</xdr:row>
      <xdr:rowOff>135731</xdr:rowOff>
    </xdr:from>
    <xdr:to>
      <xdr:col>11</xdr:col>
      <xdr:colOff>773113</xdr:colOff>
      <xdr:row>58</xdr:row>
      <xdr:rowOff>19843</xdr:rowOff>
    </xdr:to>
    <xdr:sp macro="" textlink="">
      <xdr:nvSpPr>
        <xdr:cNvPr id="12" name="Rectangle 11">
          <a:extLst>
            <a:ext uri="{FF2B5EF4-FFF2-40B4-BE49-F238E27FC236}">
              <a16:creationId xmlns:a16="http://schemas.microsoft.com/office/drawing/2014/main" id="{92BEF677-9C83-4C41-862F-0E604CAD1DFD}"/>
            </a:ext>
          </a:extLst>
        </xdr:cNvPr>
        <xdr:cNvSpPr/>
      </xdr:nvSpPr>
      <xdr:spPr>
        <a:xfrm>
          <a:off x="15838486" y="12603956"/>
          <a:ext cx="1174752" cy="42703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Natural disasters</a:t>
          </a:r>
        </a:p>
      </xdr:txBody>
    </xdr:sp>
    <xdr:clientData/>
  </xdr:twoCellAnchor>
  <xdr:twoCellAnchor>
    <xdr:from>
      <xdr:col>6</xdr:col>
      <xdr:colOff>112711</xdr:colOff>
      <xdr:row>36</xdr:row>
      <xdr:rowOff>55562</xdr:rowOff>
    </xdr:from>
    <xdr:to>
      <xdr:col>13</xdr:col>
      <xdr:colOff>647699</xdr:colOff>
      <xdr:row>51</xdr:row>
      <xdr:rowOff>96837</xdr:rowOff>
    </xdr:to>
    <xdr:graphicFrame macro="">
      <xdr:nvGraphicFramePr>
        <xdr:cNvPr id="11" name="Chart 10">
          <a:extLst>
            <a:ext uri="{FF2B5EF4-FFF2-40B4-BE49-F238E27FC236}">
              <a16:creationId xmlns:a16="http://schemas.microsoft.com/office/drawing/2014/main" id="{E4D60AD5-D1AD-4D27-84CD-D6B9C281E1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273367</xdr:colOff>
      <xdr:row>43</xdr:row>
      <xdr:rowOff>119061</xdr:rowOff>
    </xdr:from>
    <xdr:to>
      <xdr:col>8</xdr:col>
      <xdr:colOff>21771</xdr:colOff>
      <xdr:row>61</xdr:row>
      <xdr:rowOff>185057</xdr:rowOff>
    </xdr:to>
    <xdr:graphicFrame macro="">
      <xdr:nvGraphicFramePr>
        <xdr:cNvPr id="3" name="Chart 2">
          <a:extLst>
            <a:ext uri="{FF2B5EF4-FFF2-40B4-BE49-F238E27FC236}">
              <a16:creationId xmlns:a16="http://schemas.microsoft.com/office/drawing/2014/main" id="{67EEC328-2360-4EA2-8AC3-60AF599F31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12700</xdr:colOff>
      <xdr:row>76</xdr:row>
      <xdr:rowOff>12700</xdr:rowOff>
    </xdr:from>
    <xdr:to>
      <xdr:col>2</xdr:col>
      <xdr:colOff>933813</xdr:colOff>
      <xdr:row>92</xdr:row>
      <xdr:rowOff>22588</xdr:rowOff>
    </xdr:to>
    <xdr:graphicFrame macro="">
      <xdr:nvGraphicFramePr>
        <xdr:cNvPr id="11" name="Chart 10">
          <a:extLst>
            <a:ext uri="{FF2B5EF4-FFF2-40B4-BE49-F238E27FC236}">
              <a16:creationId xmlns:a16="http://schemas.microsoft.com/office/drawing/2014/main" id="{87D15DDA-6A10-1E4A-BF94-48B0679A94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5130800</xdr:colOff>
      <xdr:row>76</xdr:row>
      <xdr:rowOff>165100</xdr:rowOff>
    </xdr:from>
    <xdr:to>
      <xdr:col>35</xdr:col>
      <xdr:colOff>87539</xdr:colOff>
      <xdr:row>92</xdr:row>
      <xdr:rowOff>163558</xdr:rowOff>
    </xdr:to>
    <xdr:graphicFrame macro="">
      <xdr:nvGraphicFramePr>
        <xdr:cNvPr id="14" name="Chart 13">
          <a:extLst>
            <a:ext uri="{FF2B5EF4-FFF2-40B4-BE49-F238E27FC236}">
              <a16:creationId xmlns:a16="http://schemas.microsoft.com/office/drawing/2014/main" id="{075E636E-AB37-F34A-9A81-BDBD0C96D6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50800</xdr:colOff>
      <xdr:row>76</xdr:row>
      <xdr:rowOff>152400</xdr:rowOff>
    </xdr:from>
    <xdr:to>
      <xdr:col>29</xdr:col>
      <xdr:colOff>5112113</xdr:colOff>
      <xdr:row>92</xdr:row>
      <xdr:rowOff>162288</xdr:rowOff>
    </xdr:to>
    <xdr:graphicFrame macro="">
      <xdr:nvGraphicFramePr>
        <xdr:cNvPr id="15" name="Chart 14">
          <a:extLst>
            <a:ext uri="{FF2B5EF4-FFF2-40B4-BE49-F238E27FC236}">
              <a16:creationId xmlns:a16="http://schemas.microsoft.com/office/drawing/2014/main" id="{FE753477-0CF9-4849-9B48-1F401D5768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57</xdr:col>
      <xdr:colOff>0</xdr:colOff>
      <xdr:row>75</xdr:row>
      <xdr:rowOff>127000</xdr:rowOff>
    </xdr:from>
    <xdr:to>
      <xdr:col>57</xdr:col>
      <xdr:colOff>5061313</xdr:colOff>
      <xdr:row>91</xdr:row>
      <xdr:rowOff>136888</xdr:rowOff>
    </xdr:to>
    <xdr:graphicFrame macro="">
      <xdr:nvGraphicFramePr>
        <xdr:cNvPr id="16" name="Chart 15">
          <a:extLst>
            <a:ext uri="{FF2B5EF4-FFF2-40B4-BE49-F238E27FC236}">
              <a16:creationId xmlns:a16="http://schemas.microsoft.com/office/drawing/2014/main" id="{32626E75-650D-0D4E-A428-C4A7CE6247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952500</xdr:colOff>
      <xdr:row>76</xdr:row>
      <xdr:rowOff>0</xdr:rowOff>
    </xdr:from>
    <xdr:to>
      <xdr:col>7</xdr:col>
      <xdr:colOff>303439</xdr:colOff>
      <xdr:row>91</xdr:row>
      <xdr:rowOff>188958</xdr:rowOff>
    </xdr:to>
    <xdr:graphicFrame macro="">
      <xdr:nvGraphicFramePr>
        <xdr:cNvPr id="18" name="Chart 17">
          <a:extLst>
            <a:ext uri="{FF2B5EF4-FFF2-40B4-BE49-F238E27FC236}">
              <a16:creationId xmlns:a16="http://schemas.microsoft.com/office/drawing/2014/main" id="{5AFF3FDE-A508-DA4E-A3C8-672CFFBACF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57</xdr:col>
      <xdr:colOff>5105400</xdr:colOff>
      <xdr:row>75</xdr:row>
      <xdr:rowOff>152400</xdr:rowOff>
    </xdr:from>
    <xdr:to>
      <xdr:col>65</xdr:col>
      <xdr:colOff>659039</xdr:colOff>
      <xdr:row>91</xdr:row>
      <xdr:rowOff>150858</xdr:rowOff>
    </xdr:to>
    <xdr:graphicFrame macro="">
      <xdr:nvGraphicFramePr>
        <xdr:cNvPr id="19" name="Chart 18">
          <a:extLst>
            <a:ext uri="{FF2B5EF4-FFF2-40B4-BE49-F238E27FC236}">
              <a16:creationId xmlns:a16="http://schemas.microsoft.com/office/drawing/2014/main" id="{9AFF34A7-A76C-9F4B-9740-D2BB7DBB7E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535305</xdr:colOff>
      <xdr:row>25</xdr:row>
      <xdr:rowOff>67626</xdr:rowOff>
    </xdr:from>
    <xdr:to>
      <xdr:col>1</xdr:col>
      <xdr:colOff>2112645</xdr:colOff>
      <xdr:row>49</xdr:row>
      <xdr:rowOff>180974</xdr:rowOff>
    </xdr:to>
    <xdr:graphicFrame macro="">
      <xdr:nvGraphicFramePr>
        <xdr:cNvPr id="2" name="Chart 1">
          <a:extLst>
            <a:ext uri="{FF2B5EF4-FFF2-40B4-BE49-F238E27FC236}">
              <a16:creationId xmlns:a16="http://schemas.microsoft.com/office/drawing/2014/main" id="{07A7AD6E-6252-40D3-B2DB-4F20601BFB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152400</xdr:colOff>
      <xdr:row>25</xdr:row>
      <xdr:rowOff>38100</xdr:rowOff>
    </xdr:from>
    <xdr:to>
      <xdr:col>9</xdr:col>
      <xdr:colOff>419100</xdr:colOff>
      <xdr:row>49</xdr:row>
      <xdr:rowOff>151448</xdr:rowOff>
    </xdr:to>
    <xdr:graphicFrame macro="">
      <xdr:nvGraphicFramePr>
        <xdr:cNvPr id="3" name="Chart 2">
          <a:extLst>
            <a:ext uri="{FF2B5EF4-FFF2-40B4-BE49-F238E27FC236}">
              <a16:creationId xmlns:a16="http://schemas.microsoft.com/office/drawing/2014/main" id="{BA0BDF57-7BB6-4F1C-832F-9D5BF2BB8D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0</xdr:colOff>
      <xdr:row>25</xdr:row>
      <xdr:rowOff>0</xdr:rowOff>
    </xdr:from>
    <xdr:to>
      <xdr:col>17</xdr:col>
      <xdr:colOff>57150</xdr:colOff>
      <xdr:row>49</xdr:row>
      <xdr:rowOff>113348</xdr:rowOff>
    </xdr:to>
    <xdr:graphicFrame macro="">
      <xdr:nvGraphicFramePr>
        <xdr:cNvPr id="4" name="Chart 3">
          <a:extLst>
            <a:ext uri="{FF2B5EF4-FFF2-40B4-BE49-F238E27FC236}">
              <a16:creationId xmlns:a16="http://schemas.microsoft.com/office/drawing/2014/main" id="{F8E75143-4C73-4E59-9F6C-DB90780411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52</xdr:row>
      <xdr:rowOff>0</xdr:rowOff>
    </xdr:from>
    <xdr:to>
      <xdr:col>1</xdr:col>
      <xdr:colOff>1581150</xdr:colOff>
      <xdr:row>76</xdr:row>
      <xdr:rowOff>113348</xdr:rowOff>
    </xdr:to>
    <xdr:graphicFrame macro="">
      <xdr:nvGraphicFramePr>
        <xdr:cNvPr id="5" name="Chart 4">
          <a:extLst>
            <a:ext uri="{FF2B5EF4-FFF2-40B4-BE49-F238E27FC236}">
              <a16:creationId xmlns:a16="http://schemas.microsoft.com/office/drawing/2014/main" id="{F88472FF-2146-4F17-A923-23A29CC364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428625</xdr:colOff>
      <xdr:row>1</xdr:row>
      <xdr:rowOff>35718</xdr:rowOff>
    </xdr:from>
    <xdr:to>
      <xdr:col>12</xdr:col>
      <xdr:colOff>142875</xdr:colOff>
      <xdr:row>4</xdr:row>
      <xdr:rowOff>154781</xdr:rowOff>
    </xdr:to>
    <xdr:sp macro="" textlink="">
      <xdr:nvSpPr>
        <xdr:cNvPr id="6" name="Rectangle 5">
          <a:extLst>
            <a:ext uri="{FF2B5EF4-FFF2-40B4-BE49-F238E27FC236}">
              <a16:creationId xmlns:a16="http://schemas.microsoft.com/office/drawing/2014/main" id="{090569F8-E743-400B-8EBE-D6AA0DCEFA45}"/>
            </a:ext>
          </a:extLst>
        </xdr:cNvPr>
        <xdr:cNvSpPr/>
      </xdr:nvSpPr>
      <xdr:spPr>
        <a:xfrm>
          <a:off x="8358188" y="226218"/>
          <a:ext cx="4714875" cy="690563"/>
        </a:xfrm>
        <a:prstGeom prst="rect">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ctr"/>
        <a:lstStyle/>
        <a:p>
          <a:pPr algn="ctr"/>
          <a:r>
            <a:rPr lang="en-US" sz="1100"/>
            <a:t>Tested -&gt; same</a:t>
          </a:r>
          <a:r>
            <a:rPr lang="en-US" sz="1100" baseline="0"/>
            <a:t> results as base sheet</a:t>
          </a:r>
          <a:endParaRPr lang="en-US" sz="1100"/>
        </a:p>
      </xdr:txBody>
    </xdr:sp>
    <xdr:clientData/>
  </xdr:twoCellAnchor>
  <xdr:twoCellAnchor>
    <xdr:from>
      <xdr:col>12</xdr:col>
      <xdr:colOff>595312</xdr:colOff>
      <xdr:row>1</xdr:row>
      <xdr:rowOff>23813</xdr:rowOff>
    </xdr:from>
    <xdr:to>
      <xdr:col>21</xdr:col>
      <xdr:colOff>125869</xdr:colOff>
      <xdr:row>12</xdr:row>
      <xdr:rowOff>71438</xdr:rowOff>
    </xdr:to>
    <xdr:sp macro="" textlink="">
      <xdr:nvSpPr>
        <xdr:cNvPr id="7" name="Rectangle 6">
          <a:extLst>
            <a:ext uri="{FF2B5EF4-FFF2-40B4-BE49-F238E27FC236}">
              <a16:creationId xmlns:a16="http://schemas.microsoft.com/office/drawing/2014/main" id="{C48BA3D3-603D-435E-9F61-8F4D1C61ED33}"/>
            </a:ext>
          </a:extLst>
        </xdr:cNvPr>
        <xdr:cNvSpPr/>
      </xdr:nvSpPr>
      <xdr:spPr>
        <a:xfrm>
          <a:off x="13525500" y="214313"/>
          <a:ext cx="6162338" cy="2143125"/>
        </a:xfrm>
        <a:prstGeom prst="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ctr"/>
        <a:lstStyle/>
        <a:p>
          <a:pPr algn="ctr"/>
          <a:r>
            <a:rPr lang="en-US" sz="1500" b="1">
              <a:solidFill>
                <a:sysClr val="windowText" lastClr="000000"/>
              </a:solidFill>
            </a:rPr>
            <a:t>To do:</a:t>
          </a:r>
          <a:r>
            <a:rPr lang="en-US" sz="1500" b="1" baseline="0">
              <a:solidFill>
                <a:sysClr val="windowText" lastClr="000000"/>
              </a:solidFill>
            </a:rPr>
            <a:t> adapt design</a:t>
          </a:r>
          <a:endParaRPr lang="en-US" sz="1500" b="0" baseline="0">
            <a:solidFill>
              <a:sysClr val="windowText" lastClr="000000"/>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132396</xdr:colOff>
      <xdr:row>55</xdr:row>
      <xdr:rowOff>951</xdr:rowOff>
    </xdr:from>
    <xdr:to>
      <xdr:col>9</xdr:col>
      <xdr:colOff>38100</xdr:colOff>
      <xdr:row>73</xdr:row>
      <xdr:rowOff>104774</xdr:rowOff>
    </xdr:to>
    <xdr:graphicFrame macro="">
      <xdr:nvGraphicFramePr>
        <xdr:cNvPr id="2" name="Chart 1">
          <a:extLst>
            <a:ext uri="{FF2B5EF4-FFF2-40B4-BE49-F238E27FC236}">
              <a16:creationId xmlns:a16="http://schemas.microsoft.com/office/drawing/2014/main" id="{656CF85A-98E5-46F1-8A33-E09EE0E7F2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98107</xdr:colOff>
      <xdr:row>55</xdr:row>
      <xdr:rowOff>8572</xdr:rowOff>
    </xdr:from>
    <xdr:to>
      <xdr:col>15</xdr:col>
      <xdr:colOff>600075</xdr:colOff>
      <xdr:row>73</xdr:row>
      <xdr:rowOff>95250</xdr:rowOff>
    </xdr:to>
    <xdr:graphicFrame macro="">
      <xdr:nvGraphicFramePr>
        <xdr:cNvPr id="3" name="Chart 2">
          <a:extLst>
            <a:ext uri="{FF2B5EF4-FFF2-40B4-BE49-F238E27FC236}">
              <a16:creationId xmlns:a16="http://schemas.microsoft.com/office/drawing/2014/main" id="{A2405A1F-41F8-4019-BA83-5126B2C082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76200</xdr:colOff>
      <xdr:row>55</xdr:row>
      <xdr:rowOff>0</xdr:rowOff>
    </xdr:from>
    <xdr:to>
      <xdr:col>22</xdr:col>
      <xdr:colOff>581978</xdr:colOff>
      <xdr:row>73</xdr:row>
      <xdr:rowOff>82868</xdr:rowOff>
    </xdr:to>
    <xdr:graphicFrame macro="">
      <xdr:nvGraphicFramePr>
        <xdr:cNvPr id="4" name="Chart 3">
          <a:extLst>
            <a:ext uri="{FF2B5EF4-FFF2-40B4-BE49-F238E27FC236}">
              <a16:creationId xmlns:a16="http://schemas.microsoft.com/office/drawing/2014/main" id="{28DB43BE-336E-44D2-8A4A-D50B19368F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47625</xdr:colOff>
      <xdr:row>0</xdr:row>
      <xdr:rowOff>142875</xdr:rowOff>
    </xdr:from>
    <xdr:to>
      <xdr:col>13</xdr:col>
      <xdr:colOff>511969</xdr:colOff>
      <xdr:row>3</xdr:row>
      <xdr:rowOff>166689</xdr:rowOff>
    </xdr:to>
    <xdr:sp macro="" textlink="">
      <xdr:nvSpPr>
        <xdr:cNvPr id="5" name="Rectangle 4">
          <a:extLst>
            <a:ext uri="{FF2B5EF4-FFF2-40B4-BE49-F238E27FC236}">
              <a16:creationId xmlns:a16="http://schemas.microsoft.com/office/drawing/2014/main" id="{16E57F33-92E4-47AC-B72E-D1662B1DF2EE}"/>
            </a:ext>
          </a:extLst>
        </xdr:cNvPr>
        <xdr:cNvSpPr/>
      </xdr:nvSpPr>
      <xdr:spPr>
        <a:xfrm>
          <a:off x="6167438" y="142875"/>
          <a:ext cx="4714875" cy="702470"/>
        </a:xfrm>
        <a:prstGeom prst="rect">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ctr"/>
        <a:lstStyle/>
        <a:p>
          <a:pPr algn="ctr"/>
          <a:r>
            <a:rPr lang="en-US" sz="1100"/>
            <a:t>Tested -&gt; same</a:t>
          </a:r>
          <a:r>
            <a:rPr lang="en-US" sz="1100" baseline="0"/>
            <a:t> results as base sheet</a:t>
          </a:r>
          <a:endParaRPr lang="en-US" sz="1100"/>
        </a:p>
      </xdr:txBody>
    </xdr:sp>
    <xdr:clientData/>
  </xdr:twoCellAnchor>
</xdr:wsDr>
</file>

<file path=xl/persons/person.xml><?xml version="1.0" encoding="utf-8"?>
<personList xmlns="http://schemas.microsoft.com/office/spreadsheetml/2018/threadedcomments" xmlns:x="http://schemas.openxmlformats.org/spreadsheetml/2006/main">
  <person displayName="Daniela Zingler" id="{B3D0B836-DC01-4153-871A-E199374BE952}" userId="S::dzingler@worldbank.org::eef6f26f7fbfea93" providerId="AD"/>
  <person displayName="Ammara Shariq" id="{2C6ADDBB-C855-450B-843F-951FDFF8D903}" userId="S::ashariq@worldbank.org::fc8fd5ff-f819-4b3f-801b-da7a7af3e6cd"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11" dT="2021-02-01T23:31:56.51" personId="{2C6ADDBB-C855-450B-843F-951FDFF8D903}" id="{A7BB3678-EED8-4293-8F25-1535E913459A}">
    <text>As user costs are included in the benefits section an 'increase' in user costs due to climate change is still indicated with a negative sign.</text>
  </threadedComment>
</ThreadedComments>
</file>

<file path=xl/threadedComments/threadedComment2.xml><?xml version="1.0" encoding="utf-8"?>
<ThreadedComments xmlns="http://schemas.microsoft.com/office/spreadsheetml/2018/threadedcomments" xmlns:x="http://schemas.openxmlformats.org/spreadsheetml/2006/main">
  <threadedComment ref="B1" dT="2019-12-08T23:23:51.80" personId="{B3D0B836-DC01-4153-871A-E199374BE952}" id="{D9DF0F41-2BE7-40F3-803A-BD3F4D8647B6}">
    <text>User enters pessimistic and optimistic figures. Extrapolates disaster CB based on pessimism/optimism value in "main parameters" section.
Result: one value per year, based on user´s pessimism entry</text>
  </threadedComment>
  <threadedComment ref="B35" dT="2019-12-09T02:24:35.42" personId="{B3D0B836-DC01-4153-871A-E199374BE952}" id="{10707388-1D4D-FA42-9E3A-6A7E442D957E}">
    <text>Formulas not included in guidance note</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9.bin"/><Relationship Id="rId4" Type="http://schemas.microsoft.com/office/2017/10/relationships/threadedComment" Target="../threadedComments/threadedComment1.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10.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A6085-1E30-4A9E-9956-D90A715583AE}">
  <dimension ref="A1:J6"/>
  <sheetViews>
    <sheetView showGridLines="0" tabSelected="1" zoomScale="80" zoomScaleNormal="80" workbookViewId="0"/>
  </sheetViews>
  <sheetFormatPr defaultRowHeight="14.5"/>
  <cols>
    <col min="1" max="1" width="20.1796875" customWidth="1"/>
    <col min="2" max="2" width="18.26953125" customWidth="1"/>
    <col min="7" max="7" width="15.54296875" customWidth="1"/>
  </cols>
  <sheetData>
    <row r="1" spans="1:10" ht="31">
      <c r="A1" s="285" t="s">
        <v>262</v>
      </c>
    </row>
    <row r="2" spans="1:10" ht="92.15" customHeight="1">
      <c r="A2" s="292" t="s">
        <v>263</v>
      </c>
      <c r="B2" s="297" t="s">
        <v>264</v>
      </c>
      <c r="C2" s="297"/>
      <c r="D2" s="297"/>
      <c r="E2" s="297"/>
      <c r="F2" s="297"/>
      <c r="G2" s="297"/>
      <c r="J2" s="293"/>
    </row>
    <row r="3" spans="1:10" ht="131" customHeight="1">
      <c r="A3" s="292" t="s">
        <v>265</v>
      </c>
      <c r="B3" s="297" t="s">
        <v>266</v>
      </c>
      <c r="C3" s="297"/>
      <c r="D3" s="297"/>
      <c r="E3" s="297"/>
      <c r="F3" s="297"/>
      <c r="G3" s="297"/>
    </row>
    <row r="4" spans="1:10" ht="133.5" customHeight="1">
      <c r="A4" s="296" t="s">
        <v>267</v>
      </c>
      <c r="B4" s="297" t="s">
        <v>268</v>
      </c>
      <c r="C4" s="297"/>
      <c r="D4" s="297"/>
      <c r="E4" s="297"/>
      <c r="F4" s="297"/>
      <c r="G4" s="297"/>
      <c r="J4" s="294"/>
    </row>
    <row r="5" spans="1:10">
      <c r="A5" s="295"/>
      <c r="B5" s="298"/>
      <c r="C5" s="298"/>
      <c r="D5" s="298"/>
      <c r="E5" s="298"/>
      <c r="F5" s="298"/>
      <c r="G5" s="298"/>
    </row>
    <row r="6" spans="1:10">
      <c r="A6" s="295"/>
      <c r="B6" s="298"/>
      <c r="C6" s="298"/>
      <c r="D6" s="298"/>
      <c r="E6" s="298"/>
      <c r="F6" s="298"/>
      <c r="G6" s="298"/>
    </row>
  </sheetData>
  <mergeCells count="5">
    <mergeCell ref="B2:G2"/>
    <mergeCell ref="B3:G3"/>
    <mergeCell ref="B4:G4"/>
    <mergeCell ref="B5:G5"/>
    <mergeCell ref="B6:G6"/>
  </mergeCells>
  <pageMargins left="0.7" right="0.7" top="0.75" bottom="0.75" header="0.3" footer="0.3"/>
  <pageSetup orientation="portrait" horizontalDpi="4294967294"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E72BA-9C60-4B2F-8167-C899DE6F472B}">
  <dimension ref="B2:H23"/>
  <sheetViews>
    <sheetView zoomScale="80" zoomScaleNormal="80" workbookViewId="0">
      <selection activeCell="D24" sqref="D24"/>
    </sheetView>
  </sheetViews>
  <sheetFormatPr defaultColWidth="8.81640625" defaultRowHeight="14.5"/>
  <cols>
    <col min="2" max="2" width="22.1796875" customWidth="1"/>
    <col min="4" max="4" width="22.26953125" customWidth="1"/>
    <col min="5" max="5" width="17.453125" customWidth="1"/>
    <col min="6" max="6" width="18" customWidth="1"/>
  </cols>
  <sheetData>
    <row r="2" spans="2:8" ht="23.5" customHeight="1">
      <c r="B2" s="285" t="s">
        <v>256</v>
      </c>
    </row>
    <row r="3" spans="2:8" ht="23.5" customHeight="1">
      <c r="B3" s="85"/>
    </row>
    <row r="4" spans="2:8">
      <c r="B4" s="13" t="s">
        <v>257</v>
      </c>
    </row>
    <row r="5" spans="2:8" ht="58">
      <c r="B5" s="286" t="s">
        <v>258</v>
      </c>
    </row>
    <row r="6" spans="2:8" ht="43.5">
      <c r="B6" s="287" t="s">
        <v>259</v>
      </c>
      <c r="D6" s="288"/>
      <c r="F6" s="288"/>
      <c r="H6" t="s">
        <v>122</v>
      </c>
    </row>
    <row r="7" spans="2:8" ht="43" customHeight="1">
      <c r="B7" s="289" t="s">
        <v>260</v>
      </c>
    </row>
    <row r="8" spans="2:8" ht="31" customHeight="1">
      <c r="B8" s="290" t="s">
        <v>261</v>
      </c>
    </row>
    <row r="9" spans="2:8">
      <c r="B9" s="38"/>
      <c r="D9" s="288"/>
    </row>
    <row r="12" spans="2:8">
      <c r="D12" s="288"/>
      <c r="F12" s="291"/>
    </row>
    <row r="23" spans="5:5">
      <c r="E23" s="291"/>
    </row>
  </sheetData>
  <pageMargins left="0.7" right="0.7" top="0.75" bottom="0.75" header="0.3" footer="0.3"/>
  <pageSetup orientation="portrait" horizontalDpi="4294967294"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topLeftCell="E1" workbookViewId="0">
      <selection activeCell="X29" sqref="X29"/>
    </sheetView>
  </sheetViews>
  <sheetFormatPr defaultColWidth="8.81640625" defaultRowHeight="14.5"/>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96443-B15F-4A14-BB07-935D0CCBD462}">
  <dimension ref="A1:AA58"/>
  <sheetViews>
    <sheetView topLeftCell="B1" workbookViewId="0">
      <selection activeCell="AA25" sqref="AA25"/>
    </sheetView>
  </sheetViews>
  <sheetFormatPr defaultRowHeight="14.5"/>
  <cols>
    <col min="1" max="1" width="42.54296875" bestFit="1" customWidth="1"/>
    <col min="2" max="2" width="13.90625" bestFit="1" customWidth="1"/>
    <col min="3" max="3" width="12.453125" bestFit="1" customWidth="1"/>
  </cols>
  <sheetData>
    <row r="1" spans="1:26" ht="15.5">
      <c r="A1" s="232" t="s">
        <v>3</v>
      </c>
      <c r="B1" s="232">
        <v>2020</v>
      </c>
      <c r="C1" s="232">
        <v>2021</v>
      </c>
      <c r="D1" s="232">
        <v>2022</v>
      </c>
      <c r="E1" s="232">
        <v>2023</v>
      </c>
      <c r="F1" s="232">
        <v>2024</v>
      </c>
      <c r="G1" s="232">
        <v>2025</v>
      </c>
      <c r="H1" s="232">
        <v>2026</v>
      </c>
      <c r="I1" s="232">
        <v>2027</v>
      </c>
      <c r="J1" s="232">
        <v>2028</v>
      </c>
      <c r="K1" s="232">
        <v>2029</v>
      </c>
      <c r="L1" s="232">
        <v>2030</v>
      </c>
      <c r="M1" s="232">
        <v>2031</v>
      </c>
      <c r="N1" s="232">
        <v>2032</v>
      </c>
      <c r="O1" s="232">
        <v>2033</v>
      </c>
      <c r="P1" s="232">
        <v>2034</v>
      </c>
      <c r="Q1" s="232">
        <v>2035</v>
      </c>
      <c r="R1" s="232">
        <v>2036</v>
      </c>
      <c r="S1" s="232">
        <v>2037</v>
      </c>
      <c r="T1" s="232">
        <v>2038</v>
      </c>
      <c r="U1" s="232">
        <v>2039</v>
      </c>
      <c r="V1" s="232">
        <v>2040</v>
      </c>
      <c r="W1" s="232">
        <v>2041</v>
      </c>
      <c r="X1" s="232">
        <v>2042</v>
      </c>
      <c r="Y1" s="232">
        <v>2043</v>
      </c>
      <c r="Z1" s="232">
        <v>2044</v>
      </c>
    </row>
    <row r="2" spans="1:26" ht="15.5">
      <c r="A2" s="232" t="s">
        <v>33</v>
      </c>
      <c r="B2" s="232"/>
      <c r="C2" s="232"/>
      <c r="D2" s="232"/>
      <c r="E2" s="232"/>
      <c r="F2" s="232"/>
      <c r="G2" s="232"/>
      <c r="H2" s="232"/>
      <c r="I2" s="232"/>
      <c r="J2" s="232"/>
      <c r="K2" s="232"/>
      <c r="L2" s="232"/>
      <c r="M2" s="232"/>
      <c r="N2" s="232"/>
      <c r="O2" s="232"/>
      <c r="P2" s="232"/>
      <c r="Q2" s="232"/>
      <c r="R2" s="232"/>
      <c r="S2" s="232"/>
      <c r="T2" s="232"/>
      <c r="U2" s="232"/>
      <c r="V2" s="232"/>
      <c r="W2" s="232"/>
      <c r="X2" s="232"/>
      <c r="Y2" s="232"/>
      <c r="Z2" s="232"/>
    </row>
    <row r="3" spans="1:26" ht="15.5">
      <c r="A3" s="233" t="s">
        <v>147</v>
      </c>
      <c r="B3">
        <v>0</v>
      </c>
      <c r="C3">
        <v>933.08133600000008</v>
      </c>
      <c r="D3">
        <v>974.26470400000005</v>
      </c>
      <c r="E3">
        <v>1456.1167120000002</v>
      </c>
      <c r="F3">
        <v>379.78744000000006</v>
      </c>
      <c r="G3">
        <v>0</v>
      </c>
      <c r="H3">
        <v>0</v>
      </c>
      <c r="I3">
        <v>0</v>
      </c>
      <c r="J3">
        <v>0</v>
      </c>
      <c r="K3">
        <v>56.879999999999995</v>
      </c>
      <c r="L3">
        <v>63.000449999999994</v>
      </c>
      <c r="M3">
        <v>0</v>
      </c>
      <c r="N3">
        <v>0</v>
      </c>
      <c r="O3">
        <v>0</v>
      </c>
      <c r="P3">
        <v>0</v>
      </c>
      <c r="Q3">
        <v>56.879999999999995</v>
      </c>
      <c r="R3">
        <v>63.000449999999994</v>
      </c>
      <c r="S3">
        <v>0</v>
      </c>
      <c r="T3">
        <v>0</v>
      </c>
      <c r="U3">
        <v>0</v>
      </c>
      <c r="V3">
        <v>0</v>
      </c>
      <c r="W3">
        <v>56.879999999999995</v>
      </c>
      <c r="X3">
        <v>63.000449999999994</v>
      </c>
      <c r="Y3">
        <v>0</v>
      </c>
      <c r="Z3">
        <v>-748.65003200000001</v>
      </c>
    </row>
    <row r="4" spans="1:26" ht="15.5">
      <c r="A4" s="234" t="s">
        <v>148</v>
      </c>
      <c r="B4">
        <v>0.14417976999999998</v>
      </c>
      <c r="C4">
        <v>0.89825962000000015</v>
      </c>
      <c r="D4">
        <v>1.79862693</v>
      </c>
      <c r="E4">
        <v>2.52030771</v>
      </c>
      <c r="F4">
        <v>2.9916176800000001</v>
      </c>
      <c r="G4">
        <v>3.1691729299999998</v>
      </c>
      <c r="H4">
        <v>3.3006500600000002</v>
      </c>
      <c r="I4">
        <v>3.43831336</v>
      </c>
      <c r="J4">
        <v>3.5829906699999996</v>
      </c>
      <c r="K4">
        <v>3.7350721400000002</v>
      </c>
      <c r="L4">
        <v>3.8948851699999998</v>
      </c>
      <c r="M4">
        <v>4.0627426699999996</v>
      </c>
      <c r="N4">
        <v>4.1919373800000006</v>
      </c>
      <c r="O4">
        <v>4.2931481500000013</v>
      </c>
      <c r="P4">
        <v>4.3975445999999998</v>
      </c>
      <c r="Q4">
        <v>4.5078150299999997</v>
      </c>
      <c r="R4">
        <v>4.6286310000000004</v>
      </c>
      <c r="S4">
        <v>4.7617586999999997</v>
      </c>
      <c r="T4">
        <v>4.9055741599999996</v>
      </c>
      <c r="U4">
        <v>5.05786625</v>
      </c>
      <c r="V4">
        <v>5.2184691399999998</v>
      </c>
      <c r="W4">
        <v>5.3877134399999989</v>
      </c>
      <c r="X4">
        <v>5.5660371599999996</v>
      </c>
      <c r="Y4">
        <v>5.7539219799999985</v>
      </c>
      <c r="Z4">
        <v>5.9518778200000009</v>
      </c>
    </row>
    <row r="5" spans="1:26" ht="15.5">
      <c r="A5" s="233" t="s">
        <v>149</v>
      </c>
      <c r="B5">
        <f>((0.14417977)*-1)*-1</f>
        <v>0.14417977000000001</v>
      </c>
      <c r="C5">
        <v>0</v>
      </c>
      <c r="D5">
        <v>0</v>
      </c>
      <c r="E5">
        <v>59.151551999999995</v>
      </c>
      <c r="F5">
        <v>50.619564999999994</v>
      </c>
      <c r="G5">
        <v>0</v>
      </c>
      <c r="H5">
        <v>0</v>
      </c>
      <c r="I5">
        <v>0</v>
      </c>
      <c r="J5">
        <v>0</v>
      </c>
      <c r="K5">
        <v>0.15310362</v>
      </c>
      <c r="L5">
        <v>7.6551809999999998E-2</v>
      </c>
      <c r="M5">
        <v>0</v>
      </c>
      <c r="N5">
        <v>0</v>
      </c>
      <c r="O5">
        <v>0</v>
      </c>
      <c r="P5">
        <v>0</v>
      </c>
      <c r="Q5">
        <v>3.7772799999999995E-2</v>
      </c>
      <c r="R5">
        <v>1.7833889999999998E-2</v>
      </c>
      <c r="S5">
        <v>0</v>
      </c>
      <c r="T5">
        <v>0</v>
      </c>
      <c r="U5">
        <v>0</v>
      </c>
      <c r="V5">
        <v>0</v>
      </c>
      <c r="W5">
        <v>5.590701E-2</v>
      </c>
      <c r="X5">
        <v>1.7833889999999998E-2</v>
      </c>
      <c r="Y5">
        <v>0</v>
      </c>
      <c r="Z5">
        <v>0</v>
      </c>
    </row>
    <row r="6" spans="1:26" ht="15.5">
      <c r="A6" s="234" t="s">
        <v>150</v>
      </c>
      <c r="B6">
        <v>1761.3379519999999</v>
      </c>
      <c r="C6">
        <v>1866.016664</v>
      </c>
      <c r="D6">
        <v>1995.1373719999999</v>
      </c>
      <c r="E6">
        <v>2167.7768719999999</v>
      </c>
      <c r="F6">
        <v>2376.2884640000002</v>
      </c>
      <c r="G6">
        <v>2571.8985240000002</v>
      </c>
      <c r="H6">
        <v>2745.6023800000003</v>
      </c>
      <c r="I6">
        <v>2939.3104760000001</v>
      </c>
      <c r="J6">
        <v>3158.2760280000002</v>
      </c>
      <c r="K6">
        <v>3378.8506600000001</v>
      </c>
      <c r="L6">
        <v>3579.1352240000006</v>
      </c>
      <c r="M6">
        <v>3780.2661440000002</v>
      </c>
      <c r="N6">
        <v>3988.0940480000004</v>
      </c>
      <c r="O6">
        <v>4206.3651120000004</v>
      </c>
      <c r="P6">
        <v>4438.6087960000004</v>
      </c>
      <c r="Q6">
        <v>4686.6470239999999</v>
      </c>
      <c r="R6">
        <v>4950.5821600000008</v>
      </c>
      <c r="S6">
        <v>5226.7897120000007</v>
      </c>
      <c r="T6">
        <v>5513.5772560000005</v>
      </c>
      <c r="U6">
        <v>5819.8678079999991</v>
      </c>
      <c r="V6">
        <v>6148.6449360000006</v>
      </c>
      <c r="W6">
        <v>6506.6403439999995</v>
      </c>
      <c r="X6">
        <v>6901.5262000000002</v>
      </c>
      <c r="Y6">
        <v>7329.6234080000013</v>
      </c>
      <c r="Z6">
        <v>7802.2375200000006</v>
      </c>
    </row>
    <row r="7" spans="1:26" ht="15.5">
      <c r="A7" s="233" t="s">
        <v>151</v>
      </c>
      <c r="B7">
        <v>-1761.3379520000001</v>
      </c>
      <c r="C7">
        <v>-1866.016664</v>
      </c>
      <c r="D7">
        <v>-1960.750164</v>
      </c>
      <c r="E7">
        <v>-2060.395696</v>
      </c>
      <c r="F7">
        <v>-2071.400024</v>
      </c>
      <c r="G7">
        <v>-2081.8416239999997</v>
      </c>
      <c r="H7">
        <v>-2187.5408379999999</v>
      </c>
      <c r="I7">
        <v>-2298.876964</v>
      </c>
      <c r="J7">
        <v>-2805.7317600000001</v>
      </c>
      <c r="K7">
        <v>-2949.7509359999999</v>
      </c>
      <c r="L7">
        <v>-3101.8531360000006</v>
      </c>
      <c r="M7">
        <v>-3260.3295720000001</v>
      </c>
      <c r="N7">
        <v>-3427.2927319999994</v>
      </c>
      <c r="O7">
        <v>-3606.0633039999993</v>
      </c>
      <c r="P7">
        <v>-3796.1759440000001</v>
      </c>
      <c r="Q7">
        <v>-4002.4476239999999</v>
      </c>
      <c r="R7">
        <v>-4226.9589040000001</v>
      </c>
      <c r="S7">
        <v>-4463.4609920000003</v>
      </c>
      <c r="T7">
        <v>-4714.1847440000001</v>
      </c>
      <c r="U7">
        <v>-4988.0530880000006</v>
      </c>
      <c r="V7">
        <v>-5280.2388640000008</v>
      </c>
      <c r="W7">
        <v>-5591.4092799999999</v>
      </c>
      <c r="X7">
        <v>-5916.0780480000003</v>
      </c>
      <c r="Y7">
        <v>-6229.6881999999996</v>
      </c>
      <c r="Z7">
        <v>-6558.0340319999996</v>
      </c>
    </row>
    <row r="8" spans="1:26" ht="15.5">
      <c r="A8" s="234" t="s">
        <v>152</v>
      </c>
      <c r="B8">
        <v>1237.5520180000001</v>
      </c>
      <c r="C8">
        <v>1303.9513420000001</v>
      </c>
      <c r="D8">
        <v>1376.6630900000002</v>
      </c>
      <c r="E8">
        <v>1467.7078320000001</v>
      </c>
      <c r="F8">
        <v>1615.4275579999999</v>
      </c>
      <c r="G8">
        <v>1762.4850320000005</v>
      </c>
      <c r="H8">
        <v>1870.2686820000001</v>
      </c>
      <c r="I8">
        <v>1996.9990220000002</v>
      </c>
      <c r="J8">
        <v>2151.5878780000003</v>
      </c>
      <c r="K8">
        <v>2316.4836600000003</v>
      </c>
      <c r="L8">
        <v>2467.691804</v>
      </c>
      <c r="M8">
        <v>2618.1079920000006</v>
      </c>
      <c r="N8">
        <v>2773.4452159999996</v>
      </c>
      <c r="O8">
        <v>2938.8563680000002</v>
      </c>
      <c r="P8">
        <v>3117.4904599999995</v>
      </c>
      <c r="Q8">
        <v>3311.9716520000002</v>
      </c>
      <c r="R8">
        <v>3522.240832</v>
      </c>
      <c r="S8">
        <v>3747.0232719999995</v>
      </c>
      <c r="T8">
        <v>3985.0053319999997</v>
      </c>
      <c r="U8">
        <v>4247.1060600000001</v>
      </c>
      <c r="V8">
        <v>4535.2138919999998</v>
      </c>
      <c r="W8">
        <v>4859.2455239999999</v>
      </c>
      <c r="X8">
        <v>5226.0529839999999</v>
      </c>
      <c r="Y8">
        <v>5626.6204600000001</v>
      </c>
      <c r="Z8">
        <v>6076.1512960000009</v>
      </c>
    </row>
    <row r="9" spans="1:26" ht="15.5">
      <c r="A9" s="233" t="s">
        <v>153</v>
      </c>
      <c r="B9">
        <v>-1237.5520180000001</v>
      </c>
      <c r="C9">
        <v>-1303.9513420000001</v>
      </c>
      <c r="D9">
        <v>-1373.2118679999999</v>
      </c>
      <c r="E9">
        <v>-1446.4023200000001</v>
      </c>
      <c r="F9">
        <v>-1312.082521</v>
      </c>
      <c r="G9">
        <v>-1171.8848069999999</v>
      </c>
      <c r="H9">
        <v>-1233.9469220000001</v>
      </c>
      <c r="I9">
        <v>-1299.5368549999998</v>
      </c>
      <c r="J9">
        <v>-1565.9647600000001</v>
      </c>
      <c r="K9">
        <v>-1650.6831020000002</v>
      </c>
      <c r="L9">
        <v>-1740.4736039999998</v>
      </c>
      <c r="M9">
        <v>-1835.7053760000001</v>
      </c>
      <c r="N9">
        <v>-1937.8650700000001</v>
      </c>
      <c r="O9">
        <v>-2051.4563999999996</v>
      </c>
      <c r="P9">
        <v>-2173.7732919999999</v>
      </c>
      <c r="Q9">
        <v>-2312.4253159999998</v>
      </c>
      <c r="R9">
        <v>-2469.5848880000003</v>
      </c>
      <c r="S9">
        <v>-2643.9235559999997</v>
      </c>
      <c r="T9">
        <v>-2840.6303599999997</v>
      </c>
      <c r="U9">
        <v>-3068.1739479999997</v>
      </c>
      <c r="V9">
        <v>-3312.2325320000004</v>
      </c>
      <c r="W9">
        <v>-3565.78712</v>
      </c>
      <c r="X9">
        <v>-3820.3526959999999</v>
      </c>
      <c r="Y9">
        <v>-4039.5191280000004</v>
      </c>
      <c r="Z9">
        <v>-4279.5964359999989</v>
      </c>
    </row>
    <row r="10" spans="1:26" ht="15.5">
      <c r="A10" s="234" t="s">
        <v>154</v>
      </c>
      <c r="B10">
        <v>47.174227950000002</v>
      </c>
      <c r="C10">
        <v>48.862871089999999</v>
      </c>
      <c r="D10">
        <v>52.658607379999999</v>
      </c>
      <c r="E10">
        <v>59.168352429999992</v>
      </c>
      <c r="F10">
        <v>67.333359730000012</v>
      </c>
      <c r="G10">
        <v>73.026481489999995</v>
      </c>
      <c r="H10">
        <v>74.827963109999999</v>
      </c>
      <c r="I10">
        <v>76.916100630000003</v>
      </c>
      <c r="J10">
        <v>79.399788860000001</v>
      </c>
      <c r="K10">
        <v>81.663804540000015</v>
      </c>
      <c r="L10">
        <v>83.138939539999981</v>
      </c>
      <c r="M10">
        <v>84.58885315000002</v>
      </c>
      <c r="N10">
        <v>86.026604849999998</v>
      </c>
      <c r="O10">
        <v>87.552317810000005</v>
      </c>
      <c r="P10">
        <v>89.202247749999998</v>
      </c>
      <c r="Q10">
        <v>91.009994689999999</v>
      </c>
      <c r="R10">
        <v>92.950484540000019</v>
      </c>
      <c r="S10">
        <v>94.629695179999999</v>
      </c>
      <c r="T10">
        <v>95.861529060000009</v>
      </c>
      <c r="U10">
        <v>96.819786470000011</v>
      </c>
      <c r="V10">
        <v>97.787715629999994</v>
      </c>
      <c r="W10">
        <v>98.765481409999992</v>
      </c>
      <c r="X10">
        <v>99.75308665999998</v>
      </c>
      <c r="Y10">
        <v>100.75055881000002</v>
      </c>
      <c r="Z10">
        <v>101.75801407</v>
      </c>
    </row>
    <row r="11" spans="1:26" ht="15.5">
      <c r="A11" s="233" t="s">
        <v>155</v>
      </c>
      <c r="B11">
        <v>-47.174227950000002</v>
      </c>
      <c r="C11">
        <v>-48.862871089999999</v>
      </c>
      <c r="D11">
        <v>-49.351500540000004</v>
      </c>
      <c r="E11">
        <v>-49.845015449999998</v>
      </c>
      <c r="F11">
        <v>-41.054601130000009</v>
      </c>
      <c r="G11">
        <v>-39.384955859999998</v>
      </c>
      <c r="H11">
        <v>-39.826796680000001</v>
      </c>
      <c r="I11">
        <v>-40.277768950000002</v>
      </c>
      <c r="J11">
        <v>-47.101803889999999</v>
      </c>
      <c r="K11">
        <v>-47.652631069999998</v>
      </c>
      <c r="L11">
        <v>-48.212898940000009</v>
      </c>
      <c r="M11">
        <v>-48.742213569999997</v>
      </c>
      <c r="N11">
        <v>-49.26902235</v>
      </c>
      <c r="O11">
        <v>-49.809034940000011</v>
      </c>
      <c r="P11">
        <v>-50.365491020000007</v>
      </c>
      <c r="Q11">
        <v>-50.946118179999999</v>
      </c>
      <c r="R11">
        <v>-51.546213770000008</v>
      </c>
      <c r="S11">
        <v>-52.113372030000008</v>
      </c>
      <c r="T11">
        <v>-52.681849460000002</v>
      </c>
      <c r="U11">
        <v>-53.265712010000009</v>
      </c>
      <c r="V11">
        <v>-53.868513959999994</v>
      </c>
      <c r="W11">
        <v>-54.49912217</v>
      </c>
      <c r="X11">
        <v>-55.151427039999994</v>
      </c>
      <c r="Y11">
        <v>-55.765042989999998</v>
      </c>
      <c r="Z11">
        <v>-56.379842709999998</v>
      </c>
    </row>
    <row r="12" spans="1:26">
      <c r="B12">
        <v>-1</v>
      </c>
    </row>
    <row r="13" spans="1:26">
      <c r="A13" t="s">
        <v>157</v>
      </c>
      <c r="B13">
        <v>2019</v>
      </c>
      <c r="C13">
        <v>2020</v>
      </c>
      <c r="D13">
        <v>2021</v>
      </c>
      <c r="E13">
        <v>2022</v>
      </c>
      <c r="F13">
        <v>2023</v>
      </c>
      <c r="G13">
        <v>2024</v>
      </c>
      <c r="H13">
        <v>2025</v>
      </c>
      <c r="I13">
        <v>2026</v>
      </c>
      <c r="J13">
        <v>2027</v>
      </c>
      <c r="K13">
        <v>2028</v>
      </c>
      <c r="L13">
        <v>2029</v>
      </c>
      <c r="M13">
        <v>2030</v>
      </c>
      <c r="N13">
        <v>2031</v>
      </c>
      <c r="O13">
        <v>2032</v>
      </c>
      <c r="P13">
        <v>2033</v>
      </c>
      <c r="Q13">
        <v>2034</v>
      </c>
      <c r="R13">
        <v>2035</v>
      </c>
      <c r="S13">
        <v>2036</v>
      </c>
      <c r="T13">
        <v>2037</v>
      </c>
      <c r="U13">
        <v>2038</v>
      </c>
      <c r="V13">
        <v>2039</v>
      </c>
      <c r="W13">
        <v>2040</v>
      </c>
      <c r="X13">
        <v>2041</v>
      </c>
      <c r="Y13">
        <v>2042</v>
      </c>
      <c r="Z13">
        <v>2043</v>
      </c>
    </row>
    <row r="14" spans="1:26">
      <c r="A14" t="s">
        <v>151</v>
      </c>
      <c r="B14">
        <v>1761.3379520000001</v>
      </c>
      <c r="C14">
        <v>1866.016664</v>
      </c>
      <c r="D14">
        <v>1960.750164</v>
      </c>
      <c r="E14">
        <v>2060.395696</v>
      </c>
      <c r="F14">
        <v>2071.400024</v>
      </c>
      <c r="G14">
        <v>2081.8416239999997</v>
      </c>
      <c r="H14">
        <v>2187.5408379999999</v>
      </c>
      <c r="I14">
        <v>2298.876964</v>
      </c>
      <c r="J14">
        <v>2805.7317600000001</v>
      </c>
      <c r="K14">
        <v>2949.7509359999999</v>
      </c>
      <c r="L14">
        <v>3101.8531360000006</v>
      </c>
      <c r="M14">
        <v>3260.3295720000001</v>
      </c>
      <c r="N14">
        <v>3427.2927319999994</v>
      </c>
      <c r="O14">
        <v>3606.0633039999993</v>
      </c>
      <c r="P14">
        <v>3796.1759440000001</v>
      </c>
      <c r="Q14">
        <v>4002.4476239999999</v>
      </c>
      <c r="R14">
        <v>4226.9589040000001</v>
      </c>
      <c r="S14">
        <v>4463.4609920000003</v>
      </c>
      <c r="T14">
        <v>4714.1847440000001</v>
      </c>
      <c r="U14">
        <v>4988.0530880000006</v>
      </c>
      <c r="V14">
        <v>5280.2388640000008</v>
      </c>
      <c r="W14">
        <v>5591.4092799999999</v>
      </c>
      <c r="X14">
        <v>5916.0780480000003</v>
      </c>
      <c r="Y14">
        <v>6229.6881999999996</v>
      </c>
      <c r="Z14">
        <v>6558.0340319999996</v>
      </c>
    </row>
    <row r="15" spans="1:26">
      <c r="A15" t="s">
        <v>153</v>
      </c>
      <c r="B15">
        <v>1237.5520180000001</v>
      </c>
      <c r="C15">
        <v>1303.9513420000001</v>
      </c>
      <c r="D15">
        <v>1373.2118679999999</v>
      </c>
      <c r="E15">
        <v>1446.4023200000001</v>
      </c>
      <c r="F15">
        <v>1312.082521</v>
      </c>
      <c r="G15">
        <v>1171.8848069999999</v>
      </c>
      <c r="H15">
        <v>1233.9469220000001</v>
      </c>
      <c r="I15">
        <v>1299.5368549999998</v>
      </c>
      <c r="J15">
        <v>1565.9647600000001</v>
      </c>
      <c r="K15">
        <v>1650.6831020000002</v>
      </c>
      <c r="L15">
        <v>1740.4736039999998</v>
      </c>
      <c r="M15">
        <v>1835.7053760000001</v>
      </c>
      <c r="N15">
        <v>1937.8650700000001</v>
      </c>
      <c r="O15">
        <v>2051.4563999999996</v>
      </c>
      <c r="P15">
        <v>2173.7732919999999</v>
      </c>
      <c r="Q15">
        <v>2312.4253159999998</v>
      </c>
      <c r="R15">
        <v>2469.5848880000003</v>
      </c>
      <c r="S15">
        <v>2643.9235559999997</v>
      </c>
      <c r="T15">
        <v>2840.6303599999997</v>
      </c>
      <c r="U15">
        <v>3068.1739479999997</v>
      </c>
      <c r="V15">
        <v>3312.2325320000004</v>
      </c>
      <c r="W15">
        <v>3565.78712</v>
      </c>
      <c r="X15">
        <v>3820.3526959999999</v>
      </c>
      <c r="Y15">
        <v>4039.5191280000004</v>
      </c>
      <c r="Z15">
        <v>4279.5964359999989</v>
      </c>
    </row>
    <row r="16" spans="1:26">
      <c r="A16" t="s">
        <v>155</v>
      </c>
      <c r="B16">
        <v>47.174227950000002</v>
      </c>
      <c r="C16">
        <v>48.862871089999999</v>
      </c>
      <c r="D16">
        <v>49.351500540000004</v>
      </c>
      <c r="E16">
        <v>49.845015449999998</v>
      </c>
      <c r="F16">
        <v>41.054601130000009</v>
      </c>
      <c r="G16">
        <v>39.384955859999998</v>
      </c>
      <c r="H16">
        <v>39.826796680000001</v>
      </c>
      <c r="I16">
        <v>40.277768950000002</v>
      </c>
      <c r="J16">
        <v>47.101803889999999</v>
      </c>
      <c r="K16">
        <v>47.652631069999998</v>
      </c>
      <c r="L16">
        <v>48.212898940000009</v>
      </c>
      <c r="M16">
        <v>48.742213569999997</v>
      </c>
      <c r="N16">
        <v>49.26902235</v>
      </c>
      <c r="O16">
        <v>49.809034940000011</v>
      </c>
      <c r="P16">
        <v>50.365491020000007</v>
      </c>
      <c r="Q16">
        <v>50.946118179999999</v>
      </c>
      <c r="R16">
        <v>51.546213770000008</v>
      </c>
      <c r="S16">
        <v>52.113372030000008</v>
      </c>
      <c r="T16">
        <v>52.681849460000002</v>
      </c>
      <c r="U16">
        <v>53.265712010000009</v>
      </c>
      <c r="V16">
        <v>53.868513959999994</v>
      </c>
      <c r="W16">
        <v>54.49912217</v>
      </c>
      <c r="X16">
        <v>55.151427039999994</v>
      </c>
      <c r="Y16">
        <v>55.765042989999998</v>
      </c>
      <c r="Z16">
        <v>56.379842709999998</v>
      </c>
    </row>
    <row r="17" spans="1:27">
      <c r="A17" t="s">
        <v>160</v>
      </c>
      <c r="B17">
        <v>1766.4685884612718</v>
      </c>
      <c r="C17">
        <v>1865.5028614932432</v>
      </c>
      <c r="D17">
        <v>1972.0248954650833</v>
      </c>
      <c r="E17">
        <v>2088.0661908447983</v>
      </c>
      <c r="F17">
        <v>2230.3334140443612</v>
      </c>
      <c r="G17">
        <v>2370.6138291590992</v>
      </c>
      <c r="H17">
        <v>2520.4711390904358</v>
      </c>
      <c r="I17">
        <v>2689.0393515949881</v>
      </c>
      <c r="J17">
        <v>2970.9472106917055</v>
      </c>
      <c r="K17">
        <v>3173.6859850550113</v>
      </c>
      <c r="L17">
        <v>3358.9609487134985</v>
      </c>
      <c r="M17">
        <v>3555.279436941355</v>
      </c>
      <c r="N17">
        <v>3764.9509862858627</v>
      </c>
      <c r="O17">
        <v>3989.7305855485588</v>
      </c>
      <c r="P17">
        <v>4230.6114335602133</v>
      </c>
      <c r="Q17">
        <v>4490.1697962417711</v>
      </c>
      <c r="R17">
        <v>4771.8550192932289</v>
      </c>
      <c r="S17">
        <v>5071.8918995996682</v>
      </c>
      <c r="T17">
        <v>5397.1667463861359</v>
      </c>
      <c r="U17">
        <v>5764.5525750490015</v>
      </c>
      <c r="V17">
        <v>6169.4206767733349</v>
      </c>
      <c r="W17">
        <v>6617.7057633121731</v>
      </c>
      <c r="X17">
        <v>7139.6974147842502</v>
      </c>
      <c r="Y17">
        <v>7712.8336128094834</v>
      </c>
      <c r="Z17">
        <v>8393.4330623181504</v>
      </c>
      <c r="AA17">
        <v>108289.95109695201</v>
      </c>
    </row>
    <row r="18" spans="1:27">
      <c r="A18" t="s">
        <v>158</v>
      </c>
      <c r="B18">
        <f>((SUM(B14:B17)))</f>
        <v>4812.5327864112714</v>
      </c>
      <c r="C18">
        <f t="shared" ref="C18:Z18" si="0">((SUM(C14:C17))*-1)*-1</f>
        <v>5084.3337385832438</v>
      </c>
      <c r="D18">
        <f t="shared" si="0"/>
        <v>5355.3384280050832</v>
      </c>
      <c r="E18">
        <f t="shared" si="0"/>
        <v>5644.7092222947986</v>
      </c>
      <c r="F18">
        <f t="shared" si="0"/>
        <v>5654.8705601743604</v>
      </c>
      <c r="G18">
        <f t="shared" si="0"/>
        <v>5663.7252160190983</v>
      </c>
      <c r="H18">
        <f t="shared" si="0"/>
        <v>5981.7856957704353</v>
      </c>
      <c r="I18">
        <f t="shared" si="0"/>
        <v>6327.7309395449884</v>
      </c>
      <c r="J18">
        <f t="shared" si="0"/>
        <v>7389.7455345817061</v>
      </c>
      <c r="K18">
        <f t="shared" si="0"/>
        <v>7821.7726541250122</v>
      </c>
      <c r="L18">
        <f t="shared" si="0"/>
        <v>8249.5005876534997</v>
      </c>
      <c r="M18">
        <f t="shared" si="0"/>
        <v>8700.0565985113553</v>
      </c>
      <c r="N18">
        <f t="shared" si="0"/>
        <v>9179.3778106358623</v>
      </c>
      <c r="O18">
        <f t="shared" si="0"/>
        <v>9697.0593244885567</v>
      </c>
      <c r="P18">
        <f t="shared" si="0"/>
        <v>10250.926160580213</v>
      </c>
      <c r="Q18">
        <f t="shared" si="0"/>
        <v>10855.98885442177</v>
      </c>
      <c r="R18">
        <f t="shared" si="0"/>
        <v>11519.945025063229</v>
      </c>
      <c r="S18">
        <f t="shared" si="0"/>
        <v>12231.389819629669</v>
      </c>
      <c r="T18">
        <f t="shared" si="0"/>
        <v>13004.663699846136</v>
      </c>
      <c r="U18">
        <f t="shared" si="0"/>
        <v>13874.045323059003</v>
      </c>
      <c r="V18">
        <f t="shared" si="0"/>
        <v>14815.760586733337</v>
      </c>
      <c r="W18">
        <f t="shared" si="0"/>
        <v>15829.401285482174</v>
      </c>
      <c r="X18">
        <f t="shared" si="0"/>
        <v>16931.279585824253</v>
      </c>
      <c r="Y18">
        <f t="shared" si="0"/>
        <v>18037.805983799484</v>
      </c>
      <c r="Z18">
        <f t="shared" si="0"/>
        <v>19287.443373028149</v>
      </c>
      <c r="AA18">
        <f>SUM(B18:Z18)</f>
        <v>252201.18879426667</v>
      </c>
    </row>
    <row r="20" spans="1:27">
      <c r="A20" t="s">
        <v>159</v>
      </c>
      <c r="B20">
        <v>2019</v>
      </c>
      <c r="C20">
        <v>2020</v>
      </c>
      <c r="D20">
        <v>2021</v>
      </c>
      <c r="E20">
        <v>2022</v>
      </c>
      <c r="F20">
        <v>2023</v>
      </c>
      <c r="G20">
        <v>2024</v>
      </c>
      <c r="H20">
        <v>2025</v>
      </c>
      <c r="I20">
        <v>2026</v>
      </c>
      <c r="J20">
        <v>2027</v>
      </c>
      <c r="K20">
        <v>2028</v>
      </c>
      <c r="L20">
        <v>2029</v>
      </c>
      <c r="M20">
        <v>2030</v>
      </c>
      <c r="N20">
        <v>2031</v>
      </c>
      <c r="O20">
        <v>2032</v>
      </c>
      <c r="P20">
        <v>2033</v>
      </c>
      <c r="Q20">
        <v>2034</v>
      </c>
      <c r="R20">
        <v>2035</v>
      </c>
      <c r="S20">
        <v>2036</v>
      </c>
      <c r="T20">
        <v>2037</v>
      </c>
      <c r="U20">
        <v>2038</v>
      </c>
      <c r="V20">
        <v>2039</v>
      </c>
      <c r="W20">
        <v>2040</v>
      </c>
      <c r="X20">
        <v>2041</v>
      </c>
      <c r="Y20">
        <v>2042</v>
      </c>
      <c r="Z20">
        <v>2043</v>
      </c>
    </row>
    <row r="21" spans="1:27" ht="15.5">
      <c r="A21" s="252" t="s">
        <v>150</v>
      </c>
      <c r="B21">
        <v>1761.3379519999999</v>
      </c>
      <c r="C21">
        <v>1866.016664</v>
      </c>
      <c r="D21">
        <v>1995.1373719999999</v>
      </c>
      <c r="E21">
        <v>2167.7768719999999</v>
      </c>
      <c r="F21">
        <v>2376.2884640000002</v>
      </c>
      <c r="G21">
        <v>2571.8985240000002</v>
      </c>
      <c r="H21">
        <v>2745.6023800000003</v>
      </c>
      <c r="I21">
        <v>2939.3104760000001</v>
      </c>
      <c r="J21">
        <v>3158.2760280000002</v>
      </c>
      <c r="K21">
        <v>3378.8506600000001</v>
      </c>
      <c r="L21">
        <v>3579.1352240000006</v>
      </c>
      <c r="M21">
        <v>3780.2661440000002</v>
      </c>
      <c r="N21">
        <v>3988.0940480000004</v>
      </c>
      <c r="O21">
        <v>4206.3651120000004</v>
      </c>
      <c r="P21">
        <v>4438.6087960000004</v>
      </c>
      <c r="Q21">
        <v>4686.6470239999999</v>
      </c>
      <c r="R21">
        <v>4950.5821600000008</v>
      </c>
      <c r="S21">
        <v>5226.7897120000007</v>
      </c>
      <c r="T21">
        <v>5513.5772560000005</v>
      </c>
      <c r="U21">
        <v>5819.8678079999991</v>
      </c>
      <c r="V21">
        <v>6148.6449360000006</v>
      </c>
      <c r="W21">
        <v>6506.6403439999995</v>
      </c>
      <c r="X21">
        <v>6901.5262000000002</v>
      </c>
      <c r="Y21">
        <v>7329.6234080000013</v>
      </c>
      <c r="Z21">
        <v>7802.2375200000006</v>
      </c>
    </row>
    <row r="22" spans="1:27" ht="15.5">
      <c r="A22" s="252" t="s">
        <v>152</v>
      </c>
      <c r="B22">
        <v>1237.5520180000001</v>
      </c>
      <c r="C22">
        <v>1303.9513420000001</v>
      </c>
      <c r="D22">
        <v>1376.6630900000002</v>
      </c>
      <c r="E22">
        <v>1467.7078320000001</v>
      </c>
      <c r="F22">
        <v>1615.4275579999999</v>
      </c>
      <c r="G22">
        <v>1762.4850320000005</v>
      </c>
      <c r="H22">
        <v>1870.2686820000001</v>
      </c>
      <c r="I22">
        <v>1996.9990220000002</v>
      </c>
      <c r="J22">
        <v>2151.5878780000003</v>
      </c>
      <c r="K22">
        <v>2316.4836600000003</v>
      </c>
      <c r="L22">
        <v>2467.691804</v>
      </c>
      <c r="M22">
        <v>2618.1079920000006</v>
      </c>
      <c r="N22">
        <v>2773.4452159999996</v>
      </c>
      <c r="O22">
        <v>2938.8563680000002</v>
      </c>
      <c r="P22">
        <v>3117.4904599999995</v>
      </c>
      <c r="Q22">
        <v>3311.9716520000002</v>
      </c>
      <c r="R22">
        <v>3522.240832</v>
      </c>
      <c r="S22">
        <v>3747.0232719999995</v>
      </c>
      <c r="T22">
        <v>3985.0053319999997</v>
      </c>
      <c r="U22">
        <v>4247.1060600000001</v>
      </c>
      <c r="V22">
        <v>4535.2138919999998</v>
      </c>
      <c r="W22">
        <v>4859.2455239999999</v>
      </c>
      <c r="X22">
        <v>5226.0529839999999</v>
      </c>
      <c r="Y22">
        <v>5626.6204600000001</v>
      </c>
      <c r="Z22">
        <v>6076.1512960000009</v>
      </c>
    </row>
    <row r="23" spans="1:27" ht="15.5">
      <c r="A23" s="252" t="s">
        <v>154</v>
      </c>
      <c r="B23">
        <v>47.174227950000002</v>
      </c>
      <c r="C23">
        <v>48.862871089999999</v>
      </c>
      <c r="D23">
        <v>52.658607379999999</v>
      </c>
      <c r="E23">
        <v>59.168352429999992</v>
      </c>
      <c r="F23">
        <v>67.333359730000012</v>
      </c>
      <c r="G23">
        <v>73.026481489999995</v>
      </c>
      <c r="H23">
        <v>74.827963109999999</v>
      </c>
      <c r="I23">
        <v>76.916100630000003</v>
      </c>
      <c r="J23">
        <v>79.399788860000001</v>
      </c>
      <c r="K23">
        <v>81.663804540000015</v>
      </c>
      <c r="L23">
        <v>83.138939539999981</v>
      </c>
      <c r="M23">
        <v>84.58885315000002</v>
      </c>
      <c r="N23">
        <v>86.026604849999998</v>
      </c>
      <c r="O23">
        <v>87.552317810000005</v>
      </c>
      <c r="P23">
        <v>89.202247749999998</v>
      </c>
      <c r="Q23">
        <v>91.009994689999999</v>
      </c>
      <c r="R23">
        <v>92.950484540000019</v>
      </c>
      <c r="S23">
        <v>94.629695179999999</v>
      </c>
      <c r="T23">
        <v>95.861529060000009</v>
      </c>
      <c r="U23">
        <v>96.819786470000011</v>
      </c>
      <c r="V23">
        <v>97.787715629999994</v>
      </c>
      <c r="W23">
        <v>98.765481409999992</v>
      </c>
      <c r="X23">
        <v>99.75308665999998</v>
      </c>
      <c r="Y23">
        <v>100.75055881000002</v>
      </c>
      <c r="Z23">
        <v>101.75801407</v>
      </c>
    </row>
    <row r="24" spans="1:27" ht="15.5">
      <c r="A24" s="252" t="s">
        <v>161</v>
      </c>
      <c r="B24">
        <v>1766.4685884612718</v>
      </c>
      <c r="C24">
        <v>1865.5028614932432</v>
      </c>
      <c r="D24">
        <v>1972.0281655126691</v>
      </c>
      <c r="E24">
        <v>2088.0768462673136</v>
      </c>
      <c r="F24">
        <v>2230.34558921178</v>
      </c>
      <c r="G24">
        <v>2370.6535479822942</v>
      </c>
      <c r="H24">
        <v>2520.5218660968944</v>
      </c>
      <c r="I24">
        <v>2689.1059719871855</v>
      </c>
      <c r="J24">
        <v>2971.0243597671815</v>
      </c>
      <c r="K24">
        <v>3173.7875198489746</v>
      </c>
      <c r="L24">
        <v>3359.0786697198955</v>
      </c>
      <c r="M24">
        <v>3555.4146271540976</v>
      </c>
      <c r="N24">
        <v>3765.1055584904316</v>
      </c>
      <c r="O24">
        <v>3989.9089068655521</v>
      </c>
      <c r="P24">
        <v>4230.8155401152299</v>
      </c>
      <c r="Q24">
        <v>4490.4046179374018</v>
      </c>
      <c r="R24">
        <v>4772.1219364664539</v>
      </c>
      <c r="S24">
        <v>5072.1980559749018</v>
      </c>
      <c r="T24">
        <v>5397.5250750650212</v>
      </c>
      <c r="U24">
        <v>5764.9717746210208</v>
      </c>
      <c r="V24">
        <v>6169.9188571218083</v>
      </c>
      <c r="W24">
        <v>6618.3063065299357</v>
      </c>
      <c r="X24">
        <v>7140.4364612602503</v>
      </c>
      <c r="Y24">
        <v>7713.7646237796753</v>
      </c>
      <c r="Z24">
        <v>8394.6359863143916</v>
      </c>
      <c r="AA24">
        <v>104082.12231404489</v>
      </c>
    </row>
    <row r="25" spans="1:27" ht="15.5">
      <c r="A25" s="252" t="s">
        <v>159</v>
      </c>
      <c r="B25">
        <f>((SUM(B21:B24)))</f>
        <v>4812.5327864112714</v>
      </c>
      <c r="C25">
        <f t="shared" ref="C25:Z25" si="1">((SUM(C21:C24))*-1)*-1</f>
        <v>5084.3337385832438</v>
      </c>
      <c r="D25">
        <f t="shared" si="1"/>
        <v>5396.4872348926692</v>
      </c>
      <c r="E25">
        <f t="shared" si="1"/>
        <v>5782.7299026973142</v>
      </c>
      <c r="F25">
        <f t="shared" si="1"/>
        <v>6289.3949709417802</v>
      </c>
      <c r="G25">
        <f t="shared" si="1"/>
        <v>6778.063585472295</v>
      </c>
      <c r="H25">
        <f t="shared" si="1"/>
        <v>7211.2208912068945</v>
      </c>
      <c r="I25">
        <f t="shared" si="1"/>
        <v>7702.3315706171861</v>
      </c>
      <c r="J25">
        <f t="shared" si="1"/>
        <v>8360.2880546271808</v>
      </c>
      <c r="K25">
        <f t="shared" si="1"/>
        <v>8950.7856443889759</v>
      </c>
      <c r="L25">
        <f t="shared" si="1"/>
        <v>9489.0446372598963</v>
      </c>
      <c r="M25">
        <f t="shared" si="1"/>
        <v>10038.377616304098</v>
      </c>
      <c r="N25">
        <f t="shared" si="1"/>
        <v>10612.671427340432</v>
      </c>
      <c r="O25">
        <f t="shared" si="1"/>
        <v>11222.682704675553</v>
      </c>
      <c r="P25">
        <f t="shared" si="1"/>
        <v>11876.11704386523</v>
      </c>
      <c r="Q25">
        <f t="shared" si="1"/>
        <v>12580.033288627401</v>
      </c>
      <c r="R25">
        <f t="shared" si="1"/>
        <v>13337.895413006456</v>
      </c>
      <c r="S25">
        <f t="shared" si="1"/>
        <v>14140.640735154902</v>
      </c>
      <c r="T25">
        <f t="shared" si="1"/>
        <v>14991.969192125021</v>
      </c>
      <c r="U25">
        <f t="shared" si="1"/>
        <v>15928.76542909102</v>
      </c>
      <c r="V25">
        <f t="shared" si="1"/>
        <v>16951.56540075181</v>
      </c>
      <c r="W25">
        <f t="shared" si="1"/>
        <v>18082.957655939936</v>
      </c>
      <c r="X25">
        <f t="shared" si="1"/>
        <v>19367.768731920249</v>
      </c>
      <c r="Y25">
        <f t="shared" si="1"/>
        <v>20770.759050589677</v>
      </c>
      <c r="Z25">
        <f t="shared" si="1"/>
        <v>22374.782816384395</v>
      </c>
      <c r="AA25">
        <f>SUM(B25:Z25)</f>
        <v>288134.1995228749</v>
      </c>
    </row>
    <row r="27" spans="1:27" ht="15.5">
      <c r="A27" s="235" t="s">
        <v>162</v>
      </c>
      <c r="B27">
        <f t="shared" ref="B27:Z27" si="2">B25-B18</f>
        <v>0</v>
      </c>
      <c r="C27">
        <f t="shared" si="2"/>
        <v>0</v>
      </c>
      <c r="D27">
        <f t="shared" si="2"/>
        <v>41.148806887586034</v>
      </c>
      <c r="E27">
        <f t="shared" si="2"/>
        <v>138.02068040251561</v>
      </c>
      <c r="F27">
        <f t="shared" si="2"/>
        <v>634.52441076741979</v>
      </c>
      <c r="G27">
        <f t="shared" si="2"/>
        <v>1114.3383694531967</v>
      </c>
      <c r="H27">
        <f t="shared" si="2"/>
        <v>1229.4351954364593</v>
      </c>
      <c r="I27">
        <f t="shared" si="2"/>
        <v>1374.6006310721978</v>
      </c>
      <c r="J27">
        <f t="shared" si="2"/>
        <v>970.5425200454747</v>
      </c>
      <c r="K27">
        <f t="shared" si="2"/>
        <v>1129.0129902639637</v>
      </c>
      <c r="L27">
        <f t="shared" si="2"/>
        <v>1239.5440496063966</v>
      </c>
      <c r="M27">
        <f t="shared" si="2"/>
        <v>1338.3210177927431</v>
      </c>
      <c r="N27">
        <f t="shared" si="2"/>
        <v>1433.29361670457</v>
      </c>
      <c r="O27">
        <f t="shared" si="2"/>
        <v>1525.6233801869967</v>
      </c>
      <c r="P27">
        <f t="shared" si="2"/>
        <v>1625.1908832850168</v>
      </c>
      <c r="Q27">
        <f t="shared" si="2"/>
        <v>1724.0444342056308</v>
      </c>
      <c r="R27">
        <f t="shared" si="2"/>
        <v>1817.9503879432268</v>
      </c>
      <c r="S27">
        <f t="shared" si="2"/>
        <v>1909.2509155252337</v>
      </c>
      <c r="T27">
        <f t="shared" si="2"/>
        <v>1987.3054922788851</v>
      </c>
      <c r="U27">
        <f t="shared" si="2"/>
        <v>2054.7201060320167</v>
      </c>
      <c r="V27">
        <f t="shared" si="2"/>
        <v>2135.8048140184728</v>
      </c>
      <c r="W27">
        <f t="shared" si="2"/>
        <v>2253.5563704577617</v>
      </c>
      <c r="X27">
        <f t="shared" si="2"/>
        <v>2436.4891460959952</v>
      </c>
      <c r="Y27">
        <f t="shared" si="2"/>
        <v>2732.9530667901927</v>
      </c>
      <c r="Z27">
        <f t="shared" si="2"/>
        <v>3087.3394433562462</v>
      </c>
    </row>
    <row r="28" spans="1:27">
      <c r="A28">
        <v>1.1000000000000001</v>
      </c>
    </row>
    <row r="29" spans="1:27">
      <c r="B29">
        <v>1826.8178164806418</v>
      </c>
      <c r="C29">
        <v>1932.2725768268961</v>
      </c>
      <c r="D29">
        <v>2042.8781394516409</v>
      </c>
      <c r="E29">
        <v>2163.2102790440704</v>
      </c>
      <c r="F29">
        <v>2300.9319054179764</v>
      </c>
      <c r="G29">
        <v>2454.9544685839119</v>
      </c>
      <c r="H29">
        <v>2599.6343720722375</v>
      </c>
      <c r="I29">
        <v>2754.0338148949886</v>
      </c>
      <c r="J29">
        <v>3121.5793798745767</v>
      </c>
      <c r="K29">
        <v>3308.5684988581306</v>
      </c>
      <c r="L29">
        <v>3508.7975630975061</v>
      </c>
      <c r="M29">
        <v>3720.8259155919905</v>
      </c>
      <c r="N29">
        <v>3946.2490775012698</v>
      </c>
      <c r="O29">
        <v>4188.908581820604</v>
      </c>
      <c r="P29">
        <v>4450.07562857009</v>
      </c>
      <c r="Q29">
        <v>4731.9893741236019</v>
      </c>
      <c r="R29">
        <v>5037.6485592433473</v>
      </c>
      <c r="S29">
        <v>5368.2565377979417</v>
      </c>
      <c r="T29">
        <v>5712.4587846138456</v>
      </c>
      <c r="U29">
        <v>6081.5251021007771</v>
      </c>
      <c r="V29">
        <v>6480.6746025800549</v>
      </c>
      <c r="W29">
        <v>6913.7811787050869</v>
      </c>
      <c r="X29">
        <v>7382.5358347013689</v>
      </c>
      <c r="Y29">
        <v>7873.9586063333763</v>
      </c>
      <c r="Z29">
        <v>8387.3844986663371</v>
      </c>
    </row>
    <row r="30" spans="1:27">
      <c r="A30" t="s">
        <v>164</v>
      </c>
      <c r="B30">
        <v>5293.9446627994002</v>
      </c>
      <c r="C30">
        <v>5592.7671124415683</v>
      </c>
      <c r="D30">
        <v>5890.8722708055921</v>
      </c>
      <c r="E30">
        <v>6274.2468517242796</v>
      </c>
      <c r="F30">
        <v>6276.0391376917978</v>
      </c>
      <c r="G30">
        <v>6230.0977376210085</v>
      </c>
      <c r="H30">
        <v>6579.9642653474793</v>
      </c>
      <c r="I30">
        <v>6960.5040334994874</v>
      </c>
      <c r="J30">
        <v>8128.7200880398777</v>
      </c>
      <c r="K30">
        <v>8604.1183335195128</v>
      </c>
      <c r="L30">
        <v>9074.5348534098484</v>
      </c>
      <c r="M30">
        <v>9570.0622583624918</v>
      </c>
      <c r="N30">
        <v>10097.315591699449</v>
      </c>
      <c r="O30">
        <v>10666.765256937413</v>
      </c>
      <c r="P30">
        <v>11276.018776638235</v>
      </c>
      <c r="Q30">
        <v>11941.629289943949</v>
      </c>
      <c r="R30">
        <v>12671.959144848553</v>
      </c>
      <c r="S30">
        <v>13454.528801592636</v>
      </c>
      <c r="T30">
        <v>14305.130069830751</v>
      </c>
      <c r="U30">
        <v>15261.449855364905</v>
      </c>
      <c r="V30">
        <v>16297.336645406673</v>
      </c>
      <c r="W30">
        <v>17412.402911741392</v>
      </c>
      <c r="X30">
        <v>18624.427161685679</v>
      </c>
      <c r="Y30">
        <v>19841.586582179436</v>
      </c>
      <c r="Z30">
        <v>21216.187710330967</v>
      </c>
    </row>
    <row r="33" spans="1:3">
      <c r="A33" t="s">
        <v>187</v>
      </c>
      <c r="B33" t="s">
        <v>163</v>
      </c>
      <c r="C33" t="s">
        <v>156</v>
      </c>
    </row>
    <row r="34" spans="1:3">
      <c r="B34">
        <v>1766.4685884612718</v>
      </c>
      <c r="C34">
        <v>1766.4685884612718</v>
      </c>
    </row>
    <row r="35" spans="1:3">
      <c r="B35">
        <v>1865.5028614932432</v>
      </c>
      <c r="C35">
        <v>1865.5028614932432</v>
      </c>
    </row>
    <row r="36" spans="1:3">
      <c r="B36">
        <v>1972.0281655126691</v>
      </c>
      <c r="C36">
        <v>1972.0248954650833</v>
      </c>
    </row>
    <row r="37" spans="1:3">
      <c r="B37">
        <v>2088.0768462673136</v>
      </c>
      <c r="C37">
        <v>2088.0661908447983</v>
      </c>
    </row>
    <row r="38" spans="1:3">
      <c r="B38">
        <v>2230.34558921178</v>
      </c>
      <c r="C38">
        <v>2230.3334140443612</v>
      </c>
    </row>
    <row r="39" spans="1:3">
      <c r="B39">
        <v>2370.6535479822942</v>
      </c>
      <c r="C39">
        <v>2370.6138291590992</v>
      </c>
    </row>
    <row r="40" spans="1:3">
      <c r="B40">
        <v>2520.5218660968944</v>
      </c>
      <c r="C40">
        <v>2520.4711390904358</v>
      </c>
    </row>
    <row r="41" spans="1:3">
      <c r="B41">
        <v>2689.1059719871855</v>
      </c>
      <c r="C41">
        <v>2689.0393515949881</v>
      </c>
    </row>
    <row r="42" spans="1:3">
      <c r="B42">
        <v>2971.0243597671815</v>
      </c>
      <c r="C42">
        <v>2970.9472106917055</v>
      </c>
    </row>
    <row r="43" spans="1:3">
      <c r="B43">
        <v>3173.7875198489746</v>
      </c>
      <c r="C43">
        <v>3173.6859850550113</v>
      </c>
    </row>
    <row r="44" spans="1:3">
      <c r="B44">
        <v>3359.0786697198955</v>
      </c>
      <c r="C44">
        <v>3358.9609487134985</v>
      </c>
    </row>
    <row r="45" spans="1:3">
      <c r="B45">
        <v>3555.4146271540976</v>
      </c>
      <c r="C45">
        <v>3555.279436941355</v>
      </c>
    </row>
    <row r="46" spans="1:3">
      <c r="B46">
        <v>3765.1055584904316</v>
      </c>
      <c r="C46">
        <v>3764.9509862858627</v>
      </c>
    </row>
    <row r="47" spans="1:3">
      <c r="B47">
        <v>3989.9089068655521</v>
      </c>
      <c r="C47">
        <v>3989.7305855485588</v>
      </c>
    </row>
    <row r="48" spans="1:3">
      <c r="B48">
        <v>4230.8155401152299</v>
      </c>
      <c r="C48">
        <v>4230.6114335602133</v>
      </c>
    </row>
    <row r="49" spans="2:3">
      <c r="B49">
        <v>4490.4046179374018</v>
      </c>
      <c r="C49">
        <v>4490.1697962417711</v>
      </c>
    </row>
    <row r="50" spans="2:3">
      <c r="B50">
        <v>4772.1219364664539</v>
      </c>
      <c r="C50">
        <v>4771.8550192932289</v>
      </c>
    </row>
    <row r="51" spans="2:3">
      <c r="B51">
        <v>5072.1980559749018</v>
      </c>
      <c r="C51">
        <v>5071.8918995996682</v>
      </c>
    </row>
    <row r="52" spans="2:3">
      <c r="B52">
        <v>5397.5250750650212</v>
      </c>
      <c r="C52">
        <v>5397.1667463861359</v>
      </c>
    </row>
    <row r="53" spans="2:3">
      <c r="B53">
        <v>5764.9717746210208</v>
      </c>
      <c r="C53">
        <v>5764.5525750490015</v>
      </c>
    </row>
    <row r="54" spans="2:3">
      <c r="B54">
        <v>6169.9188571218083</v>
      </c>
      <c r="C54">
        <v>6169.4206767733349</v>
      </c>
    </row>
    <row r="55" spans="2:3">
      <c r="B55">
        <v>6618.3063065299357</v>
      </c>
      <c r="C55">
        <v>6617.7057633121731</v>
      </c>
    </row>
    <row r="56" spans="2:3">
      <c r="B56">
        <v>7140.4364612602503</v>
      </c>
      <c r="C56">
        <v>7139.6974147842502</v>
      </c>
    </row>
    <row r="57" spans="2:3">
      <c r="B57">
        <v>7713.7646237796753</v>
      </c>
      <c r="C57">
        <v>7712.8336128094834</v>
      </c>
    </row>
    <row r="58" spans="2:3">
      <c r="B58">
        <v>8394.6359863143916</v>
      </c>
      <c r="C58">
        <v>8393.4330623181504</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59330-DAAD-4E40-AED1-3246CA5BF9C4}">
  <dimension ref="A1:M44"/>
  <sheetViews>
    <sheetView topLeftCell="G1" zoomScale="70" zoomScaleNormal="70" workbookViewId="0">
      <selection activeCell="H18" sqref="H18:K21"/>
    </sheetView>
  </sheetViews>
  <sheetFormatPr defaultRowHeight="14.5"/>
  <cols>
    <col min="1" max="1" width="34.1796875" bestFit="1" customWidth="1"/>
    <col min="2" max="2" width="12.81640625" customWidth="1"/>
    <col min="3" max="3" width="33" bestFit="1" customWidth="1"/>
    <col min="4" max="4" width="43.90625" bestFit="1" customWidth="1"/>
    <col min="5" max="5" width="43.1796875" bestFit="1" customWidth="1"/>
    <col min="6" max="6" width="35.26953125" bestFit="1" customWidth="1"/>
    <col min="7" max="7" width="47.26953125" bestFit="1" customWidth="1"/>
    <col min="8" max="8" width="33.81640625" bestFit="1" customWidth="1"/>
    <col min="9" max="9" width="32.81640625" bestFit="1" customWidth="1"/>
    <col min="10" max="10" width="34.7265625" bestFit="1" customWidth="1"/>
    <col min="11" max="11" width="36.26953125" bestFit="1" customWidth="1"/>
    <col min="12" max="12" width="12.08984375" bestFit="1" customWidth="1"/>
  </cols>
  <sheetData>
    <row r="1" spans="1:13">
      <c r="A1" s="13"/>
      <c r="B1" s="13"/>
      <c r="C1" s="299" t="s">
        <v>173</v>
      </c>
      <c r="D1" s="299"/>
      <c r="E1" s="299"/>
      <c r="F1" s="299"/>
      <c r="G1" s="299"/>
      <c r="H1" s="300" t="s">
        <v>182</v>
      </c>
      <c r="I1" s="300"/>
      <c r="J1" s="300"/>
      <c r="K1" s="300"/>
      <c r="L1" s="13"/>
      <c r="M1" s="13"/>
    </row>
    <row r="2" spans="1:13">
      <c r="A2" s="13"/>
      <c r="B2" s="13"/>
      <c r="C2" s="236"/>
      <c r="D2" s="253" t="s">
        <v>206</v>
      </c>
      <c r="E2" s="253" t="s">
        <v>207</v>
      </c>
      <c r="F2" s="254" t="s">
        <v>208</v>
      </c>
      <c r="G2" s="254" t="s">
        <v>209</v>
      </c>
      <c r="H2" s="253" t="s">
        <v>206</v>
      </c>
      <c r="I2" s="253" t="s">
        <v>207</v>
      </c>
      <c r="J2" s="254" t="s">
        <v>208</v>
      </c>
      <c r="K2" s="254" t="s">
        <v>209</v>
      </c>
      <c r="L2" s="13"/>
      <c r="M2" s="13"/>
    </row>
    <row r="3" spans="1:13">
      <c r="A3" s="13"/>
      <c r="B3" s="13"/>
      <c r="C3" s="236"/>
      <c r="D3" s="257">
        <f t="shared" ref="D3:E5" si="0">(D7-$D$29)/$D$29 *100</f>
        <v>0.24657534246575741</v>
      </c>
      <c r="E3" s="258">
        <f t="shared" si="0"/>
        <v>0.49315068493150327</v>
      </c>
      <c r="F3" s="257">
        <f t="shared" ref="F3:G5" si="1">(F7-$D$30)/$D$30*100</f>
        <v>0.49315068493150388</v>
      </c>
      <c r="G3" s="257">
        <f t="shared" si="1"/>
        <v>0.7397260273972559</v>
      </c>
      <c r="H3" s="256">
        <f t="shared" ref="H3:I5" si="2">(H7-$D$29)/$D$29*100</f>
        <v>0.49315068493150327</v>
      </c>
      <c r="I3" s="256">
        <f t="shared" si="2"/>
        <v>0.73972602739726079</v>
      </c>
      <c r="J3" s="256">
        <f t="shared" ref="J3:K5" si="3">(J7-$D$30)/$D$30*100</f>
        <v>0.61643835616436982</v>
      </c>
      <c r="K3" s="256">
        <f t="shared" si="3"/>
        <v>0.86301369863014188</v>
      </c>
      <c r="L3" s="13"/>
      <c r="M3" s="13"/>
    </row>
    <row r="4" spans="1:13">
      <c r="A4" s="13"/>
      <c r="B4" s="13"/>
      <c r="C4" s="236"/>
      <c r="D4" s="257">
        <f t="shared" si="0"/>
        <v>0.14794520547944523</v>
      </c>
      <c r="E4" s="258">
        <f t="shared" si="0"/>
        <v>0.19726027397260135</v>
      </c>
      <c r="F4" s="257">
        <f t="shared" si="1"/>
        <v>0.19726027397260559</v>
      </c>
      <c r="G4" s="257">
        <f t="shared" si="1"/>
        <v>0.29589041095889834</v>
      </c>
      <c r="H4" s="256">
        <f t="shared" si="2"/>
        <v>0.19726027397260135</v>
      </c>
      <c r="I4" s="256">
        <f t="shared" si="2"/>
        <v>0.2958904109589135</v>
      </c>
      <c r="J4" s="256">
        <f t="shared" si="3"/>
        <v>0.2219178082191586</v>
      </c>
      <c r="K4" s="256">
        <f t="shared" si="3"/>
        <v>0.32054794520547153</v>
      </c>
      <c r="L4" s="13"/>
      <c r="M4" s="13"/>
    </row>
    <row r="5" spans="1:13">
      <c r="A5" s="13"/>
      <c r="B5" s="13"/>
      <c r="C5" s="236"/>
      <c r="D5" s="257">
        <f t="shared" si="0"/>
        <v>3.6986301369864187E-2</v>
      </c>
      <c r="E5" s="258">
        <f t="shared" si="0"/>
        <v>5.1780821917812178E-2</v>
      </c>
      <c r="F5" s="257">
        <f t="shared" si="1"/>
        <v>5.9178082191791784E-2</v>
      </c>
      <c r="G5" s="257">
        <f t="shared" si="1"/>
        <v>7.3972602739719534E-2</v>
      </c>
      <c r="H5" s="256">
        <f t="shared" si="2"/>
        <v>5.9178082191780397E-2</v>
      </c>
      <c r="I5" s="256">
        <f t="shared" si="2"/>
        <v>7.3972602739728374E-2</v>
      </c>
      <c r="J5" s="256">
        <f t="shared" si="3"/>
        <v>6.2876712328773718E-2</v>
      </c>
      <c r="K5" s="256">
        <f t="shared" si="3"/>
        <v>7.7671232876701468E-2</v>
      </c>
      <c r="L5" s="13"/>
      <c r="M5" s="13"/>
    </row>
    <row r="6" spans="1:13">
      <c r="A6" s="13" t="s">
        <v>197</v>
      </c>
      <c r="B6" s="13" t="s">
        <v>198</v>
      </c>
      <c r="C6" s="13" t="s">
        <v>172</v>
      </c>
      <c r="D6" s="253" t="s">
        <v>214</v>
      </c>
      <c r="E6" s="253" t="s">
        <v>215</v>
      </c>
      <c r="F6" s="254" t="s">
        <v>176</v>
      </c>
      <c r="G6" s="254" t="s">
        <v>177</v>
      </c>
      <c r="H6" s="253" t="s">
        <v>179</v>
      </c>
      <c r="I6" s="253" t="s">
        <v>174</v>
      </c>
      <c r="J6" s="254" t="s">
        <v>176</v>
      </c>
      <c r="K6" s="254" t="s">
        <v>177</v>
      </c>
      <c r="L6">
        <v>100</v>
      </c>
    </row>
    <row r="7" spans="1:13">
      <c r="A7">
        <v>2</v>
      </c>
      <c r="B7">
        <f>C7-C8</f>
        <v>9.0000000000000011E-2</v>
      </c>
      <c r="C7">
        <f>1/10</f>
        <v>0.1</v>
      </c>
      <c r="D7" s="6">
        <f>D15+D11</f>
        <v>252823.05473923884</v>
      </c>
      <c r="E7" s="6">
        <f t="shared" ref="E7:K7" si="4">E15+E11</f>
        <v>253444.92068421099</v>
      </c>
      <c r="F7" s="6">
        <f>F15+F11</f>
        <v>289555.13530134386</v>
      </c>
      <c r="G7" s="6">
        <f t="shared" si="4"/>
        <v>290265.60319057835</v>
      </c>
      <c r="H7" s="6">
        <f>H15+H11</f>
        <v>253444.92068421099</v>
      </c>
      <c r="I7" s="6">
        <f t="shared" si="4"/>
        <v>254066.78662918316</v>
      </c>
      <c r="J7" s="6">
        <f t="shared" si="4"/>
        <v>289910.36924596108</v>
      </c>
      <c r="K7" s="6">
        <f t="shared" si="4"/>
        <v>290620.83713519562</v>
      </c>
    </row>
    <row r="8" spans="1:13">
      <c r="A8">
        <v>3</v>
      </c>
      <c r="B8">
        <f>C8-C9</f>
        <v>9.0000000000000011E-3</v>
      </c>
      <c r="C8">
        <f>1/100</f>
        <v>0.01</v>
      </c>
      <c r="D8" s="6">
        <f t="shared" ref="D8:K8" si="5">D16+D12</f>
        <v>252574.30836124995</v>
      </c>
      <c r="E8" s="6">
        <f t="shared" si="5"/>
        <v>252698.68155024439</v>
      </c>
      <c r="F8" s="6">
        <f t="shared" si="5"/>
        <v>288702.5738342625</v>
      </c>
      <c r="G8" s="6">
        <f t="shared" si="5"/>
        <v>288986.76098995627</v>
      </c>
      <c r="H8" s="6">
        <f t="shared" si="5"/>
        <v>252698.68155024439</v>
      </c>
      <c r="I8" s="6">
        <f t="shared" si="5"/>
        <v>252947.42792823329</v>
      </c>
      <c r="J8" s="6">
        <f t="shared" si="5"/>
        <v>288773.62062318588</v>
      </c>
      <c r="K8" s="6">
        <f t="shared" si="5"/>
        <v>289057.80777887971</v>
      </c>
    </row>
    <row r="9" spans="1:13">
      <c r="A9">
        <v>4</v>
      </c>
      <c r="B9">
        <v>8.9999999999999998E-4</v>
      </c>
      <c r="C9">
        <f>1/1000</f>
        <v>1E-3</v>
      </c>
      <c r="D9" s="6">
        <f t="shared" ref="D9:K9" si="6">D17+D13</f>
        <v>252294.46868601249</v>
      </c>
      <c r="E9" s="6">
        <f t="shared" si="6"/>
        <v>252331.78064271083</v>
      </c>
      <c r="F9" s="6">
        <f t="shared" si="6"/>
        <v>288304.71181629121</v>
      </c>
      <c r="G9" s="6">
        <f t="shared" si="6"/>
        <v>288347.33988964523</v>
      </c>
      <c r="H9" s="6">
        <f t="shared" si="6"/>
        <v>252350.43662105998</v>
      </c>
      <c r="I9" s="6">
        <f t="shared" si="6"/>
        <v>252387.74857775832</v>
      </c>
      <c r="J9" s="6">
        <f t="shared" si="6"/>
        <v>288315.36883462971</v>
      </c>
      <c r="K9" s="6">
        <f t="shared" si="6"/>
        <v>288357.99690798373</v>
      </c>
    </row>
    <row r="10" spans="1:13">
      <c r="D10" s="253" t="s">
        <v>202</v>
      </c>
      <c r="E10" s="253" t="s">
        <v>203</v>
      </c>
      <c r="F10" s="254" t="s">
        <v>204</v>
      </c>
      <c r="G10" s="254" t="s">
        <v>205</v>
      </c>
      <c r="H10" s="253" t="s">
        <v>202</v>
      </c>
      <c r="I10" s="253" t="s">
        <v>203</v>
      </c>
      <c r="J10" s="254" t="s">
        <v>204</v>
      </c>
      <c r="K10" s="254" t="s">
        <v>205</v>
      </c>
    </row>
    <row r="11" spans="1:13">
      <c r="A11">
        <v>2</v>
      </c>
      <c r="B11">
        <v>9.0000000000000011E-2</v>
      </c>
      <c r="C11">
        <v>0.1</v>
      </c>
      <c r="D11" s="12">
        <f t="shared" ref="D11:E13" si="7">$B11*D19*$A11*$D$29</f>
        <v>1243.7318899443289</v>
      </c>
      <c r="E11" s="12">
        <f t="shared" si="7"/>
        <v>2487.4637798886579</v>
      </c>
      <c r="F11" s="12">
        <f t="shared" ref="F11:G13" si="8">$B11*F19*$A11*$D$30</f>
        <v>2841.8715569379447</v>
      </c>
      <c r="G11" s="12">
        <f t="shared" si="8"/>
        <v>4262.8073354069165</v>
      </c>
      <c r="H11" s="43">
        <f t="shared" ref="H11:I13" si="9">$B11*H19*$A11*$D$29</f>
        <v>2487.4637798886579</v>
      </c>
      <c r="I11" s="43">
        <f t="shared" si="9"/>
        <v>3731.1956698329868</v>
      </c>
      <c r="J11" s="12">
        <f t="shared" ref="J11:K13" si="10">$B11*J19*$A11*$D$30</f>
        <v>3552.3394461724306</v>
      </c>
      <c r="K11" s="12">
        <f t="shared" si="10"/>
        <v>4973.2752246414029</v>
      </c>
    </row>
    <row r="12" spans="1:13">
      <c r="A12">
        <v>3</v>
      </c>
      <c r="B12">
        <v>9.0000000000000011E-3</v>
      </c>
      <c r="C12">
        <v>0.01</v>
      </c>
      <c r="D12" s="12">
        <f t="shared" si="7"/>
        <v>559.67935047494802</v>
      </c>
      <c r="E12" s="12">
        <f t="shared" si="7"/>
        <v>746.23913396659725</v>
      </c>
      <c r="F12" s="12">
        <f t="shared" si="8"/>
        <v>852.56146708138328</v>
      </c>
      <c r="G12" s="12">
        <f t="shared" si="8"/>
        <v>1278.8422006220751</v>
      </c>
      <c r="H12" s="43">
        <f t="shared" si="9"/>
        <v>746.23913396659725</v>
      </c>
      <c r="I12" s="43">
        <f t="shared" si="9"/>
        <v>1119.358700949896</v>
      </c>
      <c r="J12" s="12">
        <f t="shared" si="10"/>
        <v>959.13165046655615</v>
      </c>
      <c r="K12" s="12">
        <f t="shared" si="10"/>
        <v>1385.412384007248</v>
      </c>
    </row>
    <row r="13" spans="1:13">
      <c r="A13">
        <v>4</v>
      </c>
      <c r="B13">
        <v>8.9999999999999998E-4</v>
      </c>
      <c r="C13">
        <v>1E-3</v>
      </c>
      <c r="D13" s="12">
        <f t="shared" si="7"/>
        <v>124.37318899443287</v>
      </c>
      <c r="E13" s="12">
        <f t="shared" si="7"/>
        <v>174.12246459220603</v>
      </c>
      <c r="F13" s="12">
        <f t="shared" si="8"/>
        <v>227.34972455503552</v>
      </c>
      <c r="G13" s="12">
        <f t="shared" si="8"/>
        <v>284.18715569379441</v>
      </c>
      <c r="H13" s="43">
        <f t="shared" si="9"/>
        <v>198.9971023910926</v>
      </c>
      <c r="I13" s="43">
        <f t="shared" si="9"/>
        <v>248.74637798886573</v>
      </c>
      <c r="J13" s="12">
        <f t="shared" si="10"/>
        <v>241.55908233972525</v>
      </c>
      <c r="K13" s="12">
        <f t="shared" si="10"/>
        <v>298.39651347848411</v>
      </c>
    </row>
    <row r="14" spans="1:13">
      <c r="D14" s="253" t="s">
        <v>213</v>
      </c>
      <c r="E14" s="253" t="s">
        <v>199</v>
      </c>
      <c r="F14" s="254" t="s">
        <v>200</v>
      </c>
      <c r="G14" s="254" t="s">
        <v>201</v>
      </c>
      <c r="H14" s="253" t="s">
        <v>213</v>
      </c>
      <c r="I14" s="253" t="s">
        <v>199</v>
      </c>
      <c r="J14" s="254" t="s">
        <v>200</v>
      </c>
      <c r="K14" s="254" t="s">
        <v>201</v>
      </c>
    </row>
    <row r="15" spans="1:13">
      <c r="A15">
        <v>2</v>
      </c>
      <c r="B15">
        <v>9.0000000000000011E-2</v>
      </c>
      <c r="C15">
        <v>0.1</v>
      </c>
      <c r="D15" s="12">
        <f t="shared" ref="D15:E17" si="11">(1-$B15*D19)*$D$29</f>
        <v>251579.32284929452</v>
      </c>
      <c r="E15" s="12">
        <f t="shared" si="11"/>
        <v>250957.45690432232</v>
      </c>
      <c r="F15" s="12">
        <f t="shared" ref="F15:G17" si="12">(1-$B15*F19)*$D$30</f>
        <v>286713.26374440594</v>
      </c>
      <c r="G15" s="12">
        <f t="shared" si="12"/>
        <v>286002.79585517145</v>
      </c>
      <c r="H15" s="12">
        <f t="shared" ref="H15:I17" si="13">(1-$B15*H19)*$D$29</f>
        <v>250957.45690432232</v>
      </c>
      <c r="I15" s="12">
        <f t="shared" si="13"/>
        <v>250335.59095935017</v>
      </c>
      <c r="J15" s="12">
        <f t="shared" ref="J15:K17" si="14">(1-$B15*J19)*$D$30</f>
        <v>286358.02979978867</v>
      </c>
      <c r="K15" s="12">
        <f t="shared" si="14"/>
        <v>285647.56191055418</v>
      </c>
    </row>
    <row r="16" spans="1:13">
      <c r="A16">
        <v>3</v>
      </c>
      <c r="B16">
        <v>9.0000000000000011E-3</v>
      </c>
      <c r="C16">
        <v>0.01</v>
      </c>
      <c r="D16" s="12">
        <f t="shared" si="11"/>
        <v>252014.62901077501</v>
      </c>
      <c r="E16" s="12">
        <f t="shared" si="11"/>
        <v>251952.4424162778</v>
      </c>
      <c r="F16" s="12">
        <f t="shared" si="12"/>
        <v>287850.01236718113</v>
      </c>
      <c r="G16" s="12">
        <f t="shared" si="12"/>
        <v>287707.91878933419</v>
      </c>
      <c r="H16" s="12">
        <f t="shared" si="13"/>
        <v>251952.4424162778</v>
      </c>
      <c r="I16" s="12">
        <f t="shared" si="13"/>
        <v>251828.06922728338</v>
      </c>
      <c r="J16" s="12">
        <f t="shared" si="14"/>
        <v>287814.48897271935</v>
      </c>
      <c r="K16" s="12">
        <f t="shared" si="14"/>
        <v>287672.39539487247</v>
      </c>
    </row>
    <row r="17" spans="1:11">
      <c r="A17">
        <v>4</v>
      </c>
      <c r="B17">
        <v>8.9999999999999998E-4</v>
      </c>
      <c r="C17">
        <v>1E-3</v>
      </c>
      <c r="D17" s="12">
        <f t="shared" si="11"/>
        <v>252170.09549701805</v>
      </c>
      <c r="E17" s="12">
        <f t="shared" si="11"/>
        <v>252157.65817811861</v>
      </c>
      <c r="F17" s="12">
        <f t="shared" si="12"/>
        <v>288077.36209173617</v>
      </c>
      <c r="G17" s="12">
        <f t="shared" si="12"/>
        <v>288063.15273395146</v>
      </c>
      <c r="H17" s="12">
        <f t="shared" si="13"/>
        <v>252151.43951866889</v>
      </c>
      <c r="I17" s="12">
        <f t="shared" si="13"/>
        <v>252139.00219976946</v>
      </c>
      <c r="J17" s="12">
        <f t="shared" si="14"/>
        <v>288073.80975228996</v>
      </c>
      <c r="K17" s="12">
        <f t="shared" si="14"/>
        <v>288059.60039450525</v>
      </c>
    </row>
    <row r="18" spans="1:11">
      <c r="C18" s="284" t="s">
        <v>198</v>
      </c>
      <c r="D18" s="253" t="s">
        <v>235</v>
      </c>
      <c r="E18" s="253" t="s">
        <v>194</v>
      </c>
      <c r="F18" s="254" t="s">
        <v>195</v>
      </c>
      <c r="G18" s="254" t="s">
        <v>196</v>
      </c>
      <c r="H18" s="253" t="s">
        <v>236</v>
      </c>
      <c r="I18" s="253" t="s">
        <v>237</v>
      </c>
      <c r="J18" s="254" t="s">
        <v>238</v>
      </c>
      <c r="K18" s="254" t="s">
        <v>239</v>
      </c>
    </row>
    <row r="19" spans="1:11">
      <c r="C19">
        <f>1/10</f>
        <v>0.1</v>
      </c>
      <c r="D19">
        <f>D23/365</f>
        <v>2.7397260273972601E-2</v>
      </c>
      <c r="E19">
        <f t="shared" ref="E19:F19" si="15">E23/365</f>
        <v>5.4794520547945202E-2</v>
      </c>
      <c r="F19">
        <f t="shared" si="15"/>
        <v>5.4794520547945202E-2</v>
      </c>
      <c r="G19">
        <f>G23/365</f>
        <v>8.2191780821917804E-2</v>
      </c>
      <c r="H19" s="108">
        <f>H23/365</f>
        <v>5.4794520547945202E-2</v>
      </c>
      <c r="I19">
        <f>I23/365</f>
        <v>8.2191780821917804E-2</v>
      </c>
      <c r="J19">
        <f t="shared" ref="J19:K19" si="16">J23/365</f>
        <v>6.8493150684931503E-2</v>
      </c>
      <c r="K19">
        <f t="shared" si="16"/>
        <v>9.5890410958904104E-2</v>
      </c>
    </row>
    <row r="20" spans="1:11">
      <c r="C20">
        <f>1/100</f>
        <v>0.01</v>
      </c>
      <c r="D20">
        <f>D24/365</f>
        <v>8.2191780821917804E-2</v>
      </c>
      <c r="E20">
        <f>E24/365</f>
        <v>0.1095890410958904</v>
      </c>
      <c r="F20">
        <f t="shared" ref="F20:G20" si="17">F24/365</f>
        <v>0.1095890410958904</v>
      </c>
      <c r="G20">
        <f t="shared" si="17"/>
        <v>0.16438356164383561</v>
      </c>
      <c r="H20" s="108">
        <f>H24/365</f>
        <v>0.1095890410958904</v>
      </c>
      <c r="I20">
        <f t="shared" ref="I20:J20" si="18">I24/365</f>
        <v>0.16438356164383561</v>
      </c>
      <c r="J20">
        <f t="shared" si="18"/>
        <v>0.12328767123287671</v>
      </c>
      <c r="K20">
        <f>K24/365</f>
        <v>0.17808219178082191</v>
      </c>
    </row>
    <row r="21" spans="1:11">
      <c r="C21">
        <f>1/1000</f>
        <v>1E-3</v>
      </c>
      <c r="D21">
        <f t="shared" ref="D21:G21" si="19">D25/365</f>
        <v>0.13698630136986301</v>
      </c>
      <c r="E21">
        <f t="shared" si="19"/>
        <v>0.19178082191780821</v>
      </c>
      <c r="F21">
        <f t="shared" si="19"/>
        <v>0.21917808219178081</v>
      </c>
      <c r="G21">
        <f t="shared" si="19"/>
        <v>0.27397260273972601</v>
      </c>
      <c r="H21" s="108">
        <f t="shared" ref="H21:K21" si="20">H25/365</f>
        <v>0.21917808219178081</v>
      </c>
      <c r="I21">
        <f t="shared" si="20"/>
        <v>0.27397260273972601</v>
      </c>
      <c r="J21">
        <f t="shared" si="20"/>
        <v>0.23287671232876711</v>
      </c>
      <c r="K21">
        <f t="shared" si="20"/>
        <v>0.28767123287671231</v>
      </c>
    </row>
    <row r="22" spans="1:11">
      <c r="D22" s="253" t="s">
        <v>210</v>
      </c>
      <c r="E22" s="253" t="s">
        <v>211</v>
      </c>
      <c r="F22" s="254" t="s">
        <v>212</v>
      </c>
      <c r="G22" s="254" t="s">
        <v>216</v>
      </c>
      <c r="H22" s="255" t="s">
        <v>180</v>
      </c>
      <c r="I22" s="253" t="s">
        <v>175</v>
      </c>
      <c r="J22" s="254" t="s">
        <v>181</v>
      </c>
      <c r="K22" s="254" t="s">
        <v>178</v>
      </c>
    </row>
    <row r="23" spans="1:11">
      <c r="C23">
        <f>1/10</f>
        <v>0.1</v>
      </c>
      <c r="D23" s="42">
        <v>10</v>
      </c>
      <c r="E23" s="42">
        <v>20</v>
      </c>
      <c r="F23" s="42">
        <v>20</v>
      </c>
      <c r="G23" s="42">
        <v>30</v>
      </c>
      <c r="H23" s="42">
        <v>20</v>
      </c>
      <c r="I23" s="42">
        <v>30</v>
      </c>
      <c r="J23" s="42">
        <v>25</v>
      </c>
      <c r="K23" s="42">
        <v>35</v>
      </c>
    </row>
    <row r="24" spans="1:11">
      <c r="C24">
        <f>1/100</f>
        <v>0.01</v>
      </c>
      <c r="D24" s="42">
        <v>30</v>
      </c>
      <c r="E24" s="42">
        <v>40</v>
      </c>
      <c r="F24" s="42">
        <v>40</v>
      </c>
      <c r="G24" s="42">
        <v>60</v>
      </c>
      <c r="H24" s="42">
        <v>40</v>
      </c>
      <c r="I24" s="42">
        <v>60</v>
      </c>
      <c r="J24" s="42">
        <v>45</v>
      </c>
      <c r="K24" s="42">
        <v>65</v>
      </c>
    </row>
    <row r="25" spans="1:11">
      <c r="C25">
        <f>1/1000</f>
        <v>1E-3</v>
      </c>
      <c r="D25" s="42">
        <v>50</v>
      </c>
      <c r="E25" s="42">
        <v>70</v>
      </c>
      <c r="F25" s="42">
        <v>80</v>
      </c>
      <c r="G25" s="42">
        <v>100</v>
      </c>
      <c r="H25" s="42">
        <v>80</v>
      </c>
      <c r="I25" s="42">
        <v>100</v>
      </c>
      <c r="J25" s="42">
        <v>85</v>
      </c>
      <c r="K25" s="42">
        <v>105</v>
      </c>
    </row>
    <row r="26" spans="1:11">
      <c r="H26" s="22"/>
    </row>
    <row r="27" spans="1:11">
      <c r="H27" s="22"/>
    </row>
    <row r="28" spans="1:11" ht="32" customHeight="1"/>
    <row r="29" spans="1:11">
      <c r="C29" s="13"/>
      <c r="D29">
        <v>252201.18879426667</v>
      </c>
    </row>
    <row r="30" spans="1:11">
      <c r="B30" t="s">
        <v>122</v>
      </c>
      <c r="C30" s="13"/>
      <c r="D30">
        <v>288134.1995228749</v>
      </c>
    </row>
    <row r="32" spans="1:11" ht="18.5">
      <c r="A32" s="271" t="s">
        <v>222</v>
      </c>
      <c r="D32" s="264" t="s">
        <v>223</v>
      </c>
      <c r="E32" s="264" t="s">
        <v>225</v>
      </c>
      <c r="F32" s="265" t="s">
        <v>224</v>
      </c>
      <c r="G32" s="265" t="s">
        <v>225</v>
      </c>
    </row>
    <row r="33" spans="3:7">
      <c r="C33" t="s">
        <v>227</v>
      </c>
      <c r="D33">
        <f>ABS(SUM('Baseline scenario'!$D$15:$AB$15))</f>
        <v>252311.46309405667</v>
      </c>
      <c r="E33">
        <f>ABS(SUM('Baseline scenario'!$D$15:$AB$15))</f>
        <v>252311.46309405667</v>
      </c>
      <c r="F33">
        <f>ABS(SUM('Baseline scenario'!$D$16:$AB$16))</f>
        <v>288232.35863639484</v>
      </c>
      <c r="G33">
        <f>ABS(SUM('Baseline scenario'!$D$16:$AB$16))</f>
        <v>288232.35863639484</v>
      </c>
    </row>
    <row r="34" spans="3:7">
      <c r="C34">
        <v>2030</v>
      </c>
      <c r="D34">
        <f>(1-D40)*D$33+D40*D43*D$33</f>
        <v>252311.46309405667</v>
      </c>
      <c r="E34">
        <f>(1-E40)*E$33+E40*E43*E$33</f>
        <v>251205.44024213753</v>
      </c>
      <c r="F34">
        <f>(1-F40)*F$33+F40*F43*F$33</f>
        <v>285705.39001273329</v>
      </c>
      <c r="G34">
        <f>(1-G40)*G$33+G40*G43*G$33</f>
        <v>288232.35863639484</v>
      </c>
    </row>
    <row r="35" spans="3:7">
      <c r="C35" t="s">
        <v>228</v>
      </c>
      <c r="D35" s="2">
        <f>(D34-D33)/D33</f>
        <v>0</v>
      </c>
      <c r="E35" s="2">
        <f>(E34-E33)/E33</f>
        <v>-4.3835616438355832E-3</v>
      </c>
      <c r="F35" s="2">
        <f>(F34-F33)/F33</f>
        <v>-8.7671232876712635E-3</v>
      </c>
      <c r="G35" s="2">
        <f>(G34-G33)/G33</f>
        <v>0</v>
      </c>
    </row>
    <row r="36" spans="3:7">
      <c r="C36">
        <v>2050</v>
      </c>
      <c r="D36">
        <f>(1-D41)*D$33+D41*D44*D$33</f>
        <v>251205.44024213753</v>
      </c>
      <c r="E36">
        <f>(1-E41)*E$33+E41*E44*E$33</f>
        <v>250237.67024670827</v>
      </c>
      <c r="F36">
        <f>(1-F41)*F$33+F41*F44*F$33</f>
        <v>294549.78019554866</v>
      </c>
      <c r="G36">
        <f>(1-G41)*G$33+G41*G44*G$33</f>
        <v>300077.52405980829</v>
      </c>
    </row>
    <row r="37" spans="3:7">
      <c r="C37" t="s">
        <v>228</v>
      </c>
      <c r="D37" s="2">
        <f>(D36-D33)/D33</f>
        <v>-4.3835616438355832E-3</v>
      </c>
      <c r="E37" s="2">
        <f>(E36-E33)/E33</f>
        <v>-8.2191780821917627E-3</v>
      </c>
      <c r="F37" s="2">
        <f>(F36-F33)/F33</f>
        <v>2.1917808219177957E-2</v>
      </c>
      <c r="G37" s="2">
        <f>(G36-G33)/G33</f>
        <v>4.109589041095877E-2</v>
      </c>
    </row>
    <row r="38" spans="3:7">
      <c r="C38" s="283"/>
      <c r="D38" s="282" t="s">
        <v>223</v>
      </c>
      <c r="E38" s="282" t="s">
        <v>225</v>
      </c>
      <c r="F38" s="254" t="s">
        <v>224</v>
      </c>
      <c r="G38" s="254" t="s">
        <v>225</v>
      </c>
    </row>
    <row r="39" spans="3:7">
      <c r="C39" s="281" t="s">
        <v>226</v>
      </c>
      <c r="D39" s="283"/>
      <c r="E39" s="283"/>
      <c r="F39" s="283"/>
      <c r="G39" s="283"/>
    </row>
    <row r="40" spans="3:7">
      <c r="C40" s="13">
        <v>2030</v>
      </c>
      <c r="D40" s="283">
        <f>0/365</f>
        <v>0</v>
      </c>
      <c r="E40" s="283">
        <f>2/365</f>
        <v>5.4794520547945206E-3</v>
      </c>
      <c r="F40" s="283">
        <f>4/365</f>
        <v>1.0958904109589041E-2</v>
      </c>
      <c r="G40" s="283" t="b">
        <f>D18=6/365</f>
        <v>0</v>
      </c>
    </row>
    <row r="41" spans="3:7">
      <c r="C41" s="13">
        <v>2044</v>
      </c>
      <c r="D41" s="283">
        <f>2/365</f>
        <v>5.4794520547945206E-3</v>
      </c>
      <c r="E41" s="283">
        <f>4/365</f>
        <v>1.0958904109589041E-2</v>
      </c>
      <c r="F41" s="283">
        <f>8/365</f>
        <v>2.1917808219178082E-2</v>
      </c>
      <c r="G41" s="283">
        <f>10/365</f>
        <v>2.7397260273972601E-2</v>
      </c>
    </row>
    <row r="42" spans="3:7">
      <c r="C42" s="281" t="s">
        <v>197</v>
      </c>
      <c r="D42" s="283"/>
      <c r="E42" s="283"/>
      <c r="F42" s="283"/>
      <c r="G42" s="283"/>
    </row>
    <row r="43" spans="3:7">
      <c r="C43" s="13">
        <v>2030</v>
      </c>
      <c r="D43" s="283">
        <v>0</v>
      </c>
      <c r="E43" s="283">
        <v>0.2</v>
      </c>
      <c r="F43" s="283">
        <v>0.2</v>
      </c>
      <c r="G43" s="283">
        <v>0.25</v>
      </c>
    </row>
    <row r="44" spans="3:7">
      <c r="C44" s="13">
        <v>2044</v>
      </c>
      <c r="D44" s="283">
        <v>0.2</v>
      </c>
      <c r="E44" s="283">
        <v>0.25</v>
      </c>
      <c r="F44" s="283">
        <v>2</v>
      </c>
      <c r="G44" s="283">
        <v>2.5</v>
      </c>
    </row>
  </sheetData>
  <mergeCells count="2">
    <mergeCell ref="C1:G1"/>
    <mergeCell ref="H1:K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zoomScale="80" zoomScaleNormal="80" zoomScalePageLayoutView="80" workbookViewId="0">
      <selection activeCell="H33" sqref="H33"/>
    </sheetView>
  </sheetViews>
  <sheetFormatPr defaultColWidth="8.81640625" defaultRowHeight="14.5"/>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tint="0.59999389629810485"/>
  </sheetPr>
  <dimension ref="A2:V228"/>
  <sheetViews>
    <sheetView workbookViewId="0">
      <selection activeCell="B2" sqref="B2"/>
    </sheetView>
  </sheetViews>
  <sheetFormatPr defaultColWidth="8.81640625" defaultRowHeight="14.5"/>
  <cols>
    <col min="1" max="1" width="3.1796875" style="12" customWidth="1"/>
    <col min="2" max="2" width="65.453125" customWidth="1"/>
    <col min="3" max="3" width="32" customWidth="1"/>
    <col min="4" max="4" width="14.81640625" customWidth="1"/>
    <col min="5" max="5" width="13.6328125" customWidth="1"/>
    <col min="6" max="6" width="41.36328125" customWidth="1"/>
    <col min="7" max="8" width="13" bestFit="1" customWidth="1"/>
    <col min="9" max="9" width="12.36328125" bestFit="1" customWidth="1"/>
    <col min="10" max="10" width="11.36328125" bestFit="1" customWidth="1"/>
    <col min="11" max="11" width="12.36328125" bestFit="1" customWidth="1"/>
    <col min="12" max="14" width="15.36328125" bestFit="1" customWidth="1"/>
  </cols>
  <sheetData>
    <row r="2" spans="1:12" ht="23.5">
      <c r="B2" s="85" t="s">
        <v>82</v>
      </c>
    </row>
    <row r="3" spans="1:12" ht="43.5">
      <c r="B3" s="78" t="s">
        <v>83</v>
      </c>
    </row>
    <row r="4" spans="1:12">
      <c r="B4" s="62"/>
    </row>
    <row r="5" spans="1:12">
      <c r="B5" s="120"/>
    </row>
    <row r="6" spans="1:12" ht="166.5" customHeight="1">
      <c r="B6" s="305" t="s">
        <v>114</v>
      </c>
      <c r="C6" s="305"/>
      <c r="D6" s="305"/>
      <c r="E6" s="305"/>
      <c r="F6" s="305"/>
    </row>
    <row r="7" spans="1:12" s="12" customFormat="1">
      <c r="B7" s="79"/>
    </row>
    <row r="8" spans="1:12" s="12" customFormat="1" ht="15" thickBot="1">
      <c r="B8" s="40"/>
    </row>
    <row r="9" spans="1:12" s="12" customFormat="1">
      <c r="B9" s="118" t="s">
        <v>94</v>
      </c>
      <c r="C9" s="76"/>
      <c r="D9" s="20"/>
      <c r="F9" s="309" t="s">
        <v>229</v>
      </c>
      <c r="G9" s="309"/>
      <c r="H9" s="309"/>
      <c r="I9" s="309"/>
      <c r="J9" s="309"/>
      <c r="K9" s="309"/>
      <c r="L9" s="309"/>
    </row>
    <row r="10" spans="1:12">
      <c r="B10" s="21" t="s">
        <v>2</v>
      </c>
      <c r="C10" s="22"/>
      <c r="D10" s="23">
        <v>2018</v>
      </c>
      <c r="F10" s="309"/>
      <c r="G10" s="309"/>
      <c r="H10" s="309"/>
      <c r="I10" s="309"/>
      <c r="J10" s="309"/>
      <c r="K10" s="309"/>
      <c r="L10" s="309"/>
    </row>
    <row r="11" spans="1:12">
      <c r="B11" s="21" t="s">
        <v>5</v>
      </c>
      <c r="C11" s="22"/>
      <c r="D11" s="23">
        <v>2044</v>
      </c>
      <c r="F11" s="309"/>
      <c r="G11" s="309"/>
      <c r="H11" s="309"/>
      <c r="I11" s="309"/>
      <c r="J11" s="309"/>
      <c r="K11" s="309"/>
      <c r="L11" s="309"/>
    </row>
    <row r="12" spans="1:12">
      <c r="B12" s="21" t="s">
        <v>6</v>
      </c>
      <c r="C12" s="22"/>
      <c r="D12" s="48">
        <v>0.06</v>
      </c>
      <c r="F12" s="309"/>
      <c r="G12" s="309"/>
      <c r="H12" s="309"/>
      <c r="I12" s="309"/>
      <c r="J12" s="309"/>
      <c r="K12" s="309"/>
      <c r="L12" s="309"/>
    </row>
    <row r="13" spans="1:12">
      <c r="B13" s="21"/>
      <c r="C13" s="22"/>
      <c r="D13" s="87"/>
      <c r="F13" s="309"/>
      <c r="G13" s="309"/>
      <c r="H13" s="309"/>
      <c r="I13" s="309"/>
      <c r="J13" s="309"/>
      <c r="K13" s="309"/>
      <c r="L13" s="309"/>
    </row>
    <row r="14" spans="1:12" s="13" customFormat="1">
      <c r="A14" s="40"/>
      <c r="B14" s="132" t="s">
        <v>84</v>
      </c>
      <c r="C14" s="133"/>
      <c r="D14" s="134"/>
      <c r="F14" s="309"/>
      <c r="G14" s="309"/>
      <c r="H14" s="309"/>
      <c r="I14" s="309"/>
      <c r="J14" s="309"/>
      <c r="K14" s="309"/>
      <c r="L14" s="309"/>
    </row>
    <row r="15" spans="1:12">
      <c r="B15" s="21" t="s">
        <v>86</v>
      </c>
      <c r="C15" s="22"/>
      <c r="D15" s="123">
        <v>1</v>
      </c>
      <c r="F15" s="309"/>
      <c r="G15" s="309"/>
      <c r="H15" s="309"/>
      <c r="I15" s="309"/>
      <c r="J15" s="309"/>
      <c r="K15" s="309"/>
      <c r="L15" s="309"/>
    </row>
    <row r="16" spans="1:12">
      <c r="B16" s="145" t="s">
        <v>38</v>
      </c>
      <c r="C16" s="73"/>
      <c r="D16" s="146">
        <f>D15</f>
        <v>1</v>
      </c>
      <c r="F16" s="309"/>
      <c r="G16" s="309"/>
      <c r="H16" s="309"/>
      <c r="I16" s="309"/>
      <c r="J16" s="309"/>
      <c r="K16" s="309"/>
      <c r="L16" s="309"/>
    </row>
    <row r="17" spans="2:12">
      <c r="B17" s="145" t="s">
        <v>39</v>
      </c>
      <c r="C17" s="73"/>
      <c r="D17" s="146">
        <f>D15</f>
        <v>1</v>
      </c>
      <c r="F17" s="309"/>
      <c r="G17" s="309"/>
      <c r="H17" s="309"/>
      <c r="I17" s="309"/>
      <c r="J17" s="309"/>
      <c r="K17" s="309"/>
      <c r="L17" s="309"/>
    </row>
    <row r="18" spans="2:12">
      <c r="B18" s="145" t="s">
        <v>40</v>
      </c>
      <c r="C18" s="73"/>
      <c r="D18" s="146">
        <f>D15</f>
        <v>1</v>
      </c>
      <c r="F18" s="309"/>
      <c r="G18" s="309"/>
      <c r="H18" s="309"/>
      <c r="I18" s="309"/>
      <c r="J18" s="309"/>
      <c r="K18" s="309"/>
      <c r="L18" s="309"/>
    </row>
    <row r="19" spans="2:12">
      <c r="B19" s="145" t="s">
        <v>240</v>
      </c>
      <c r="C19" s="73"/>
      <c r="D19" s="146">
        <f>D15</f>
        <v>1</v>
      </c>
      <c r="F19" s="272"/>
      <c r="G19" s="272"/>
      <c r="H19" s="272"/>
      <c r="I19" s="272"/>
      <c r="J19" s="272"/>
      <c r="K19" s="272"/>
      <c r="L19" s="272"/>
    </row>
    <row r="20" spans="2:12">
      <c r="B20" s="145" t="s">
        <v>241</v>
      </c>
      <c r="C20" s="73"/>
      <c r="D20" s="146">
        <f>D15</f>
        <v>1</v>
      </c>
      <c r="F20" s="272"/>
      <c r="G20" s="272"/>
      <c r="H20" s="272"/>
      <c r="I20" s="272"/>
      <c r="J20" s="272"/>
      <c r="K20" s="272"/>
      <c r="L20" s="272"/>
    </row>
    <row r="21" spans="2:12">
      <c r="B21" s="145" t="s">
        <v>242</v>
      </c>
      <c r="C21" s="73"/>
      <c r="D21" s="146">
        <f>D15</f>
        <v>1</v>
      </c>
      <c r="F21" s="280"/>
      <c r="G21" s="280"/>
      <c r="H21" s="280"/>
      <c r="I21" s="280"/>
      <c r="J21" s="280"/>
      <c r="K21" s="280"/>
      <c r="L21" s="280"/>
    </row>
    <row r="22" spans="2:12">
      <c r="B22" s="145" t="s">
        <v>243</v>
      </c>
      <c r="C22" s="73"/>
      <c r="D22" s="146">
        <f>D15</f>
        <v>1</v>
      </c>
      <c r="F22" s="280"/>
      <c r="G22" s="280"/>
      <c r="H22" s="280"/>
      <c r="I22" s="280"/>
      <c r="J22" s="280"/>
      <c r="K22" s="280"/>
      <c r="L22" s="280"/>
    </row>
    <row r="23" spans="2:12">
      <c r="B23" s="145" t="s">
        <v>54</v>
      </c>
      <c r="C23" s="73"/>
      <c r="D23" s="146">
        <f>D15</f>
        <v>1</v>
      </c>
      <c r="F23" s="17"/>
      <c r="G23" s="17"/>
    </row>
    <row r="24" spans="2:12" ht="15" thickBot="1">
      <c r="B24" s="145" t="s">
        <v>55</v>
      </c>
      <c r="C24" s="73"/>
      <c r="D24" s="146">
        <f>D15</f>
        <v>1</v>
      </c>
      <c r="F24" s="13" t="s">
        <v>230</v>
      </c>
      <c r="H24" s="273"/>
      <c r="I24" s="273"/>
      <c r="J24" s="273"/>
      <c r="K24" s="273"/>
    </row>
    <row r="25" spans="2:12" ht="15" thickBot="1">
      <c r="B25" s="21"/>
      <c r="C25" s="22"/>
      <c r="D25" s="77"/>
      <c r="F25" s="310" t="s">
        <v>231</v>
      </c>
      <c r="G25" s="311"/>
      <c r="H25" s="316" t="s">
        <v>102</v>
      </c>
      <c r="I25" s="317"/>
      <c r="J25" s="317"/>
      <c r="K25" s="318"/>
    </row>
    <row r="26" spans="2:12" ht="15" customHeight="1" thickTop="1" thickBot="1">
      <c r="B26" s="132" t="s">
        <v>85</v>
      </c>
      <c r="C26" s="45"/>
      <c r="D26" s="135"/>
      <c r="F26" s="312"/>
      <c r="G26" s="313"/>
      <c r="H26" s="301" t="s">
        <v>232</v>
      </c>
      <c r="I26" s="302"/>
      <c r="J26" s="301" t="s">
        <v>57</v>
      </c>
      <c r="K26" s="302"/>
    </row>
    <row r="27" spans="2:12" ht="15" thickBot="1">
      <c r="B27" s="33" t="s">
        <v>87</v>
      </c>
      <c r="C27" s="34"/>
      <c r="D27" s="124">
        <v>1</v>
      </c>
      <c r="F27" s="314"/>
      <c r="G27" s="315"/>
      <c r="H27" s="274" t="s">
        <v>233</v>
      </c>
      <c r="I27" s="274" t="s">
        <v>234</v>
      </c>
      <c r="J27" s="274" t="s">
        <v>233</v>
      </c>
      <c r="K27" s="274" t="s">
        <v>234</v>
      </c>
    </row>
    <row r="28" spans="2:12" s="12" customFormat="1" ht="15.5" thickTop="1" thickBot="1">
      <c r="D28" s="18"/>
      <c r="F28" s="303" t="s">
        <v>71</v>
      </c>
      <c r="G28" s="275" t="s">
        <v>11</v>
      </c>
      <c r="H28" s="276">
        <v>767.22484880582726</v>
      </c>
      <c r="I28" s="276">
        <v>2.1250825622637075</v>
      </c>
      <c r="J28" s="276">
        <v>632.65459298138376</v>
      </c>
      <c r="K28" s="276">
        <v>1.5703317135543735</v>
      </c>
    </row>
    <row r="29" spans="2:12" s="12" customFormat="1" ht="15" thickBot="1">
      <c r="B29" s="40"/>
      <c r="D29" s="18"/>
      <c r="F29" s="304"/>
      <c r="G29" s="277" t="s">
        <v>12</v>
      </c>
      <c r="H29" s="278">
        <v>140.58521650090984</v>
      </c>
      <c r="I29" s="278">
        <v>1.2061585672615147</v>
      </c>
      <c r="J29" s="279">
        <v>128.74861745501426</v>
      </c>
      <c r="K29" s="279">
        <v>1.116065575790478</v>
      </c>
    </row>
    <row r="30" spans="2:12" s="12" customFormat="1">
      <c r="B30" s="119" t="s">
        <v>99</v>
      </c>
      <c r="C30" s="76"/>
      <c r="D30" s="95"/>
    </row>
    <row r="31" spans="2:12" s="12" customFormat="1">
      <c r="B31" s="97"/>
      <c r="C31" s="43"/>
      <c r="D31" s="77"/>
    </row>
    <row r="32" spans="2:12" s="12" customFormat="1">
      <c r="B32" s="97"/>
      <c r="C32" s="128" t="s">
        <v>34</v>
      </c>
      <c r="D32" s="129" t="s">
        <v>35</v>
      </c>
    </row>
    <row r="33" spans="2:22" s="12" customFormat="1">
      <c r="B33" s="96" t="s">
        <v>95</v>
      </c>
      <c r="C33" s="130">
        <f>'Expected flows'!$C$20</f>
        <v>11478.572773958989</v>
      </c>
      <c r="D33" s="131">
        <f>'Expected flows'!$C$21</f>
        <v>4.2165149461331488</v>
      </c>
    </row>
    <row r="34" spans="2:22" s="12" customFormat="1" ht="15" thickBot="1">
      <c r="B34" s="125" t="s">
        <v>98</v>
      </c>
      <c r="C34" s="126">
        <f>'Expected flows'!$C$52</f>
        <v>4362.510555892798</v>
      </c>
      <c r="D34" s="127">
        <f>'Expected flows'!$C$53</f>
        <v>1.6844520952378614</v>
      </c>
      <c r="F34" s="12" t="s">
        <v>122</v>
      </c>
    </row>
    <row r="35" spans="2:22" s="12" customFormat="1">
      <c r="B35" s="40"/>
      <c r="D35" s="18"/>
    </row>
    <row r="36" spans="2:22" s="12" customFormat="1" ht="15" thickBot="1">
      <c r="B36" s="40"/>
      <c r="D36" s="18"/>
    </row>
    <row r="37" spans="2:22" s="12" customFormat="1">
      <c r="B37" s="119" t="s">
        <v>100</v>
      </c>
      <c r="C37" s="76"/>
      <c r="D37" s="80"/>
      <c r="E37" s="76"/>
      <c r="F37" s="76"/>
      <c r="G37" s="76"/>
      <c r="H37" s="76"/>
      <c r="I37" s="76"/>
      <c r="J37" s="76"/>
      <c r="K37" s="76"/>
      <c r="L37" s="76"/>
      <c r="M37" s="76"/>
      <c r="N37" s="76"/>
      <c r="O37" s="76"/>
      <c r="P37" s="76"/>
      <c r="Q37" s="76"/>
      <c r="R37" s="76"/>
      <c r="S37" s="76"/>
      <c r="T37" s="76"/>
      <c r="U37" s="76"/>
      <c r="V37" s="20"/>
    </row>
    <row r="38" spans="2:22" s="12" customFormat="1">
      <c r="B38" s="81"/>
      <c r="C38" s="43"/>
      <c r="D38" s="44"/>
      <c r="E38" s="43"/>
      <c r="F38" s="43"/>
      <c r="G38" s="43"/>
      <c r="H38" s="43"/>
      <c r="I38" s="43"/>
      <c r="J38" s="43"/>
      <c r="K38" s="43"/>
      <c r="L38" s="43"/>
      <c r="M38" s="43"/>
      <c r="N38" s="43"/>
      <c r="O38" s="43"/>
      <c r="P38" s="43"/>
      <c r="Q38" s="43"/>
      <c r="R38" s="43"/>
      <c r="S38" s="43"/>
      <c r="T38" s="43"/>
      <c r="U38" s="43"/>
      <c r="V38" s="23"/>
    </row>
    <row r="39" spans="2:22" s="12" customFormat="1">
      <c r="B39" s="81"/>
      <c r="C39" s="43"/>
      <c r="D39" s="44"/>
      <c r="E39" s="43"/>
      <c r="F39" s="43"/>
      <c r="G39" s="43"/>
      <c r="H39" s="43"/>
      <c r="I39" s="43"/>
      <c r="J39" s="43"/>
      <c r="K39" s="43"/>
      <c r="L39" s="43"/>
      <c r="M39" s="43"/>
      <c r="N39" s="43"/>
      <c r="O39" s="43"/>
      <c r="P39" s="43"/>
      <c r="Q39" s="43"/>
      <c r="R39" s="43"/>
      <c r="S39" s="43"/>
      <c r="T39" s="43"/>
      <c r="U39" s="43"/>
      <c r="V39" s="23"/>
    </row>
    <row r="40" spans="2:22" s="12" customFormat="1">
      <c r="B40" s="81"/>
      <c r="C40" s="43"/>
      <c r="D40" s="44"/>
      <c r="E40" s="43"/>
      <c r="F40" s="43"/>
      <c r="G40" s="43"/>
      <c r="H40" s="43"/>
      <c r="I40" s="43"/>
      <c r="J40" s="43"/>
      <c r="K40" s="43"/>
      <c r="L40" s="43"/>
      <c r="M40" s="43"/>
      <c r="N40" s="43"/>
      <c r="O40" s="43"/>
      <c r="P40" s="43"/>
      <c r="Q40" s="43"/>
      <c r="R40" s="43"/>
      <c r="S40" s="43"/>
      <c r="T40" s="43"/>
      <c r="U40" s="43"/>
      <c r="V40" s="23"/>
    </row>
    <row r="41" spans="2:22" s="12" customFormat="1">
      <c r="B41" s="81"/>
      <c r="C41" s="43"/>
      <c r="D41" s="44"/>
      <c r="E41" s="43"/>
      <c r="F41" s="43"/>
      <c r="G41" s="43"/>
      <c r="H41" s="43"/>
      <c r="I41" s="43"/>
      <c r="J41" s="43"/>
      <c r="K41" s="43"/>
      <c r="L41" s="43"/>
      <c r="M41" s="43"/>
      <c r="N41" s="43"/>
      <c r="O41" s="43"/>
      <c r="P41" s="43"/>
      <c r="Q41" s="43"/>
      <c r="R41" s="43"/>
      <c r="S41" s="43"/>
      <c r="T41" s="43"/>
      <c r="U41" s="43"/>
      <c r="V41" s="23"/>
    </row>
    <row r="42" spans="2:22" s="12" customFormat="1">
      <c r="B42" s="81"/>
      <c r="C42" s="43"/>
      <c r="D42" s="44"/>
      <c r="E42" s="43"/>
      <c r="F42" s="43"/>
      <c r="G42" s="43"/>
      <c r="H42" s="43"/>
      <c r="I42" s="43"/>
      <c r="J42" s="43"/>
      <c r="K42" s="43"/>
      <c r="L42" s="43"/>
      <c r="M42" s="43"/>
      <c r="N42" s="43"/>
      <c r="O42" s="43"/>
      <c r="P42" s="43"/>
      <c r="Q42" s="43"/>
      <c r="R42" s="43"/>
      <c r="S42" s="43"/>
      <c r="T42" s="43"/>
      <c r="U42" s="43"/>
      <c r="V42" s="23"/>
    </row>
    <row r="43" spans="2:22" s="12" customFormat="1">
      <c r="B43" s="81"/>
      <c r="C43" s="43"/>
      <c r="D43" s="44"/>
      <c r="E43" s="43"/>
      <c r="F43" s="43"/>
      <c r="G43" s="43"/>
      <c r="H43" s="43"/>
      <c r="I43" s="43"/>
      <c r="J43" s="43"/>
      <c r="K43" s="43"/>
      <c r="L43" s="43"/>
      <c r="M43" s="43"/>
      <c r="N43" s="43"/>
      <c r="O43" s="43"/>
      <c r="P43" s="43"/>
      <c r="Q43" s="43"/>
      <c r="R43" s="43"/>
      <c r="S43" s="43"/>
      <c r="T43" s="43"/>
      <c r="U43" s="43"/>
      <c r="V43" s="23"/>
    </row>
    <row r="44" spans="2:22" s="12" customFormat="1">
      <c r="B44" s="81"/>
      <c r="C44" s="43"/>
      <c r="D44" s="44"/>
      <c r="E44" s="43"/>
      <c r="F44" s="43"/>
      <c r="G44" s="43"/>
      <c r="H44" s="43"/>
      <c r="I44" s="43"/>
      <c r="J44" s="43"/>
      <c r="K44" s="43"/>
      <c r="L44" s="43"/>
      <c r="M44" s="43"/>
      <c r="N44" s="43"/>
      <c r="O44" s="43"/>
      <c r="P44" s="43"/>
      <c r="Q44" s="43"/>
      <c r="R44" s="43"/>
      <c r="S44" s="43"/>
      <c r="T44" s="43"/>
      <c r="U44" s="43"/>
      <c r="V44" s="23"/>
    </row>
    <row r="45" spans="2:22" s="12" customFormat="1">
      <c r="B45" s="81"/>
      <c r="C45" s="43"/>
      <c r="D45" s="44"/>
      <c r="E45" s="43"/>
      <c r="F45" s="43"/>
      <c r="G45" s="43"/>
      <c r="H45" s="43"/>
      <c r="I45" s="43"/>
      <c r="J45" s="43"/>
      <c r="K45" s="43"/>
      <c r="L45" s="43"/>
      <c r="M45" s="43"/>
      <c r="N45" s="43"/>
      <c r="O45" s="43"/>
      <c r="P45" s="43"/>
      <c r="Q45" s="43"/>
      <c r="R45" s="43"/>
      <c r="S45" s="43"/>
      <c r="T45" s="43"/>
      <c r="U45" s="43"/>
      <c r="V45" s="23"/>
    </row>
    <row r="46" spans="2:22" s="12" customFormat="1">
      <c r="B46" s="81"/>
      <c r="C46" s="43"/>
      <c r="D46" s="44"/>
      <c r="E46" s="43"/>
      <c r="F46" s="43"/>
      <c r="G46" s="43"/>
      <c r="H46" s="43"/>
      <c r="I46" s="43"/>
      <c r="J46" s="43"/>
      <c r="K46" s="43"/>
      <c r="L46" s="43"/>
      <c r="M46" s="43"/>
      <c r="N46" s="43"/>
      <c r="O46" s="43"/>
      <c r="P46" s="43"/>
      <c r="Q46" s="43"/>
      <c r="R46" s="43"/>
      <c r="S46" s="43"/>
      <c r="T46" s="43"/>
      <c r="U46" s="43"/>
      <c r="V46" s="23"/>
    </row>
    <row r="47" spans="2:22" s="12" customFormat="1">
      <c r="B47" s="81"/>
      <c r="C47" s="43"/>
      <c r="D47" s="44"/>
      <c r="E47" s="43"/>
      <c r="F47" s="43"/>
      <c r="G47" s="43"/>
      <c r="H47" s="43"/>
      <c r="I47" s="43"/>
      <c r="J47" s="43"/>
      <c r="K47" s="43"/>
      <c r="L47" s="43"/>
      <c r="M47" s="43"/>
      <c r="N47" s="43"/>
      <c r="O47" s="43"/>
      <c r="P47" s="43"/>
      <c r="Q47" s="43"/>
      <c r="R47" s="43"/>
      <c r="S47" s="43"/>
      <c r="T47" s="43"/>
      <c r="U47" s="43"/>
      <c r="V47" s="23"/>
    </row>
    <row r="48" spans="2:22" s="12" customFormat="1">
      <c r="B48" s="81"/>
      <c r="C48" s="43"/>
      <c r="D48" s="44"/>
      <c r="E48" s="43"/>
      <c r="F48" s="43"/>
      <c r="G48" s="43"/>
      <c r="H48" s="43"/>
      <c r="I48" s="43"/>
      <c r="J48" s="43"/>
      <c r="K48" s="43"/>
      <c r="L48" s="43"/>
      <c r="M48" s="43"/>
      <c r="N48" s="43"/>
      <c r="O48" s="43"/>
      <c r="P48" s="43"/>
      <c r="Q48" s="43"/>
      <c r="R48" s="43"/>
      <c r="S48" s="43"/>
      <c r="T48" s="43"/>
      <c r="U48" s="43"/>
      <c r="V48" s="23"/>
    </row>
    <row r="49" spans="2:22" s="12" customFormat="1">
      <c r="B49" s="81"/>
      <c r="C49" s="43"/>
      <c r="D49" s="44"/>
      <c r="E49" s="43"/>
      <c r="F49" s="43"/>
      <c r="G49" s="43"/>
      <c r="H49" s="43"/>
      <c r="I49" s="43"/>
      <c r="J49" s="43"/>
      <c r="K49" s="43"/>
      <c r="L49" s="43"/>
      <c r="M49" s="43"/>
      <c r="N49" s="43"/>
      <c r="O49" s="43"/>
      <c r="P49" s="43"/>
      <c r="Q49" s="43"/>
      <c r="R49" s="43"/>
      <c r="S49" s="43"/>
      <c r="T49" s="43"/>
      <c r="U49" s="43"/>
      <c r="V49" s="23"/>
    </row>
    <row r="50" spans="2:22" s="12" customFormat="1">
      <c r="B50" s="81"/>
      <c r="C50" s="43"/>
      <c r="D50" s="44"/>
      <c r="E50" s="43"/>
      <c r="F50" s="43"/>
      <c r="G50" s="43"/>
      <c r="H50" s="43"/>
      <c r="I50" s="43"/>
      <c r="J50" s="43"/>
      <c r="K50" s="43"/>
      <c r="L50" s="43"/>
      <c r="M50" s="43"/>
      <c r="N50" s="43"/>
      <c r="O50" s="43"/>
      <c r="P50" s="43"/>
      <c r="Q50" s="43"/>
      <c r="R50" s="43"/>
      <c r="S50" s="43"/>
      <c r="T50" s="43"/>
      <c r="U50" s="43"/>
      <c r="V50" s="23"/>
    </row>
    <row r="51" spans="2:22" s="12" customFormat="1">
      <c r="B51" s="81"/>
      <c r="C51" s="43"/>
      <c r="D51" s="44"/>
      <c r="E51" s="43"/>
      <c r="F51" s="43"/>
      <c r="G51" s="43"/>
      <c r="H51" s="43"/>
      <c r="I51" s="43"/>
      <c r="J51" s="43"/>
      <c r="K51" s="43"/>
      <c r="L51" s="43"/>
      <c r="M51" s="43"/>
      <c r="N51" s="43"/>
      <c r="O51" s="43"/>
      <c r="P51" s="43"/>
      <c r="Q51" s="43"/>
      <c r="R51" s="43"/>
      <c r="S51" s="43"/>
      <c r="T51" s="43"/>
      <c r="U51" s="43"/>
      <c r="V51" s="23"/>
    </row>
    <row r="52" spans="2:22" s="12" customFormat="1">
      <c r="B52" s="81"/>
      <c r="C52" s="43"/>
      <c r="D52" s="44"/>
      <c r="E52" s="43"/>
      <c r="F52" s="43"/>
      <c r="G52" s="43"/>
      <c r="H52" s="43"/>
      <c r="I52" s="43"/>
      <c r="J52" s="43"/>
      <c r="K52" s="43"/>
      <c r="L52" s="43"/>
      <c r="M52" s="43"/>
      <c r="N52" s="43"/>
      <c r="O52" s="43"/>
      <c r="P52" s="43"/>
      <c r="Q52" s="43"/>
      <c r="R52" s="43"/>
      <c r="S52" s="43"/>
      <c r="T52" s="43"/>
      <c r="U52" s="43"/>
      <c r="V52" s="23"/>
    </row>
    <row r="53" spans="2:22" s="12" customFormat="1">
      <c r="B53" s="81"/>
      <c r="C53" s="43"/>
      <c r="D53" s="44"/>
      <c r="E53" s="43"/>
      <c r="F53" s="43"/>
      <c r="G53" s="43"/>
      <c r="H53" s="43"/>
      <c r="I53" s="43"/>
      <c r="J53" s="43"/>
      <c r="K53" s="43"/>
      <c r="L53" s="43"/>
      <c r="M53" s="43"/>
      <c r="N53" s="43"/>
      <c r="O53" s="43"/>
      <c r="P53" s="43"/>
      <c r="Q53" s="43"/>
      <c r="R53" s="43"/>
      <c r="S53" s="43"/>
      <c r="T53" s="43"/>
      <c r="U53" s="43"/>
      <c r="V53" s="23"/>
    </row>
    <row r="54" spans="2:22" s="12" customFormat="1">
      <c r="B54" s="81"/>
      <c r="C54" s="43"/>
      <c r="D54" s="44"/>
      <c r="E54" s="43"/>
      <c r="F54" s="43"/>
      <c r="G54" s="43"/>
      <c r="H54" s="43"/>
      <c r="I54" s="43"/>
      <c r="J54" s="43"/>
      <c r="K54" s="43"/>
      <c r="L54" s="43"/>
      <c r="M54" s="43"/>
      <c r="N54" s="43"/>
      <c r="O54" s="43"/>
      <c r="P54" s="43"/>
      <c r="Q54" s="43"/>
      <c r="R54" s="43"/>
      <c r="S54" s="43"/>
      <c r="T54" s="43"/>
      <c r="U54" s="43"/>
      <c r="V54" s="23"/>
    </row>
    <row r="55" spans="2:22" s="12" customFormat="1">
      <c r="B55" s="81"/>
      <c r="C55" s="43"/>
      <c r="D55" s="44"/>
      <c r="E55" s="43"/>
      <c r="F55" s="43"/>
      <c r="G55" s="43"/>
      <c r="H55" s="43"/>
      <c r="I55" s="43"/>
      <c r="J55" s="43"/>
      <c r="K55" s="43"/>
      <c r="L55" s="43"/>
      <c r="M55" s="43"/>
      <c r="N55" s="43"/>
      <c r="O55" s="43"/>
      <c r="P55" s="43"/>
      <c r="Q55" s="43"/>
      <c r="R55" s="43"/>
      <c r="S55" s="43"/>
      <c r="T55" s="43"/>
      <c r="U55" s="43"/>
      <c r="V55" s="23"/>
    </row>
    <row r="56" spans="2:22" s="12" customFormat="1">
      <c r="B56" s="81"/>
      <c r="C56" s="43"/>
      <c r="D56" s="44"/>
      <c r="E56" s="43"/>
      <c r="F56" s="43"/>
      <c r="G56" s="43"/>
      <c r="H56" s="43"/>
      <c r="I56" s="43"/>
      <c r="J56" s="43"/>
      <c r="K56" s="43"/>
      <c r="L56" s="43"/>
      <c r="M56" s="43"/>
      <c r="N56" s="43"/>
      <c r="O56" s="43"/>
      <c r="P56" s="43"/>
      <c r="Q56" s="43"/>
      <c r="R56" s="43"/>
      <c r="S56" s="43"/>
      <c r="T56" s="43"/>
      <c r="U56" s="43"/>
      <c r="V56" s="23"/>
    </row>
    <row r="57" spans="2:22" s="12" customFormat="1">
      <c r="B57" s="81"/>
      <c r="C57" s="43"/>
      <c r="D57" s="44"/>
      <c r="E57" s="43"/>
      <c r="F57" s="43"/>
      <c r="G57" s="43"/>
      <c r="H57" s="43"/>
      <c r="I57" s="43"/>
      <c r="J57" s="43"/>
      <c r="K57" s="43"/>
      <c r="L57" s="43"/>
      <c r="M57" s="43"/>
      <c r="N57" s="43"/>
      <c r="O57" s="43"/>
      <c r="P57" s="43"/>
      <c r="Q57" s="43"/>
      <c r="R57" s="43"/>
      <c r="S57" s="43"/>
      <c r="T57" s="43"/>
      <c r="U57" s="43"/>
      <c r="V57" s="23"/>
    </row>
    <row r="58" spans="2:22" s="12" customFormat="1">
      <c r="B58" s="81"/>
      <c r="C58" s="43"/>
      <c r="D58" s="44"/>
      <c r="E58" s="43"/>
      <c r="F58" s="43"/>
      <c r="G58" s="43"/>
      <c r="H58" s="43"/>
      <c r="I58" s="43"/>
      <c r="J58" s="43"/>
      <c r="K58" s="43"/>
      <c r="L58" s="43"/>
      <c r="M58" s="43"/>
      <c r="N58" s="43"/>
      <c r="O58" s="43"/>
      <c r="P58" s="43"/>
      <c r="Q58" s="43"/>
      <c r="R58" s="43"/>
      <c r="S58" s="43"/>
      <c r="T58" s="43"/>
      <c r="U58" s="43"/>
      <c r="V58" s="23"/>
    </row>
    <row r="59" spans="2:22" s="12" customFormat="1">
      <c r="B59" s="81"/>
      <c r="C59" s="43"/>
      <c r="D59" s="44"/>
      <c r="E59" s="43"/>
      <c r="F59" s="43"/>
      <c r="G59" s="43"/>
      <c r="H59" s="43"/>
      <c r="I59" s="43"/>
      <c r="J59" s="43"/>
      <c r="K59" s="43"/>
      <c r="L59" s="43"/>
      <c r="M59" s="43"/>
      <c r="N59" s="43"/>
      <c r="O59" s="43"/>
      <c r="P59" s="43"/>
      <c r="Q59" s="43"/>
      <c r="R59" s="43"/>
      <c r="S59" s="43"/>
      <c r="T59" s="43"/>
      <c r="U59" s="43"/>
      <c r="V59" s="23"/>
    </row>
    <row r="60" spans="2:22" s="12" customFormat="1">
      <c r="B60" s="81"/>
      <c r="C60" s="43"/>
      <c r="D60" s="44"/>
      <c r="E60" s="43"/>
      <c r="F60" s="43"/>
      <c r="G60" s="43"/>
      <c r="H60" s="43"/>
      <c r="I60" s="43"/>
      <c r="J60" s="43"/>
      <c r="K60" s="43"/>
      <c r="L60" s="43"/>
      <c r="M60" s="43"/>
      <c r="N60" s="43"/>
      <c r="O60" s="43"/>
      <c r="P60" s="43"/>
      <c r="Q60" s="43"/>
      <c r="R60" s="43"/>
      <c r="S60" s="43"/>
      <c r="T60" s="43"/>
      <c r="U60" s="43"/>
      <c r="V60" s="23"/>
    </row>
    <row r="61" spans="2:22" s="12" customFormat="1" ht="15" thickBot="1">
      <c r="B61" s="98"/>
      <c r="C61" s="99"/>
      <c r="D61" s="100"/>
      <c r="E61" s="99"/>
      <c r="F61" s="99"/>
      <c r="G61" s="99"/>
      <c r="H61" s="99"/>
      <c r="I61" s="99"/>
      <c r="J61" s="99"/>
      <c r="K61" s="99"/>
      <c r="L61" s="99"/>
      <c r="M61" s="99"/>
      <c r="N61" s="99"/>
      <c r="O61" s="99"/>
      <c r="P61" s="99"/>
      <c r="Q61" s="99"/>
      <c r="R61" s="99"/>
      <c r="S61" s="99"/>
      <c r="T61" s="99"/>
      <c r="U61" s="99"/>
      <c r="V61" s="101"/>
    </row>
    <row r="62" spans="2:22" s="12" customFormat="1">
      <c r="B62" s="43"/>
      <c r="C62" s="43"/>
      <c r="D62" s="44"/>
      <c r="E62" s="43"/>
      <c r="F62" s="43"/>
      <c r="G62" s="43"/>
      <c r="H62" s="43"/>
      <c r="I62" s="43"/>
      <c r="J62" s="43"/>
      <c r="K62" s="43"/>
      <c r="L62" s="43"/>
      <c r="M62" s="43"/>
      <c r="N62" s="43"/>
      <c r="O62" s="43"/>
      <c r="P62" s="43"/>
      <c r="Q62" s="43"/>
      <c r="R62" s="43"/>
      <c r="S62" s="43"/>
      <c r="T62" s="43"/>
      <c r="U62" s="43"/>
      <c r="V62" s="43"/>
    </row>
    <row r="63" spans="2:22" s="12" customFormat="1" ht="15" thickBot="1">
      <c r="D63" s="18"/>
    </row>
    <row r="64" spans="2:22" s="12" customFormat="1">
      <c r="B64" s="164" t="s">
        <v>92</v>
      </c>
      <c r="C64" s="76"/>
      <c r="D64" s="80"/>
      <c r="E64" s="76"/>
      <c r="F64" s="20"/>
    </row>
    <row r="65" spans="2:7" s="12" customFormat="1">
      <c r="B65" s="81"/>
      <c r="C65" s="43"/>
      <c r="D65" s="44"/>
      <c r="E65" s="43"/>
      <c r="F65" s="23"/>
    </row>
    <row r="66" spans="2:7" s="12" customFormat="1">
      <c r="B66" s="21"/>
      <c r="C66" s="22"/>
      <c r="D66" s="93">
        <v>2030</v>
      </c>
      <c r="E66" s="93">
        <v>2050</v>
      </c>
      <c r="F66" s="94">
        <v>2100</v>
      </c>
    </row>
    <row r="67" spans="2:7" s="12" customFormat="1">
      <c r="B67" s="319" t="s">
        <v>9</v>
      </c>
      <c r="C67" s="22" t="s">
        <v>192</v>
      </c>
      <c r="D67" s="165">
        <f>Parameters_Results!$D$16*'Climate impacts'!G11+(1-Parameters_Results!$D$16)*'Climate impacts'!F11</f>
        <v>-4.0000000000000001E-3</v>
      </c>
      <c r="E67" s="165">
        <f>Parameters_Results!$D$16*'Climate impacts'!I11+(1-Parameters_Results!$D$16)*'Climate impacts'!H11</f>
        <v>-8.0000000000000002E-3</v>
      </c>
      <c r="F67" s="166">
        <f>Parameters_Results!$D$16*'Climate impacts'!K11+(1-Parameters_Results!$D$16)*'Climate impacts'!J11</f>
        <v>0</v>
      </c>
    </row>
    <row r="68" spans="2:7" s="12" customFormat="1">
      <c r="B68" s="319"/>
      <c r="C68" s="22" t="s">
        <v>193</v>
      </c>
      <c r="D68" s="165">
        <f>Parameters_Results!$D$16*'Climate impacts'!G12+(1-Parameters_Results!$D$16)*'Climate impacts'!F12</f>
        <v>-1.2E-2</v>
      </c>
      <c r="E68" s="165">
        <f>Parameters_Results!$D$16*'Climate impacts'!I12+(1-Parameters_Results!$D$16)*'Climate impacts'!H12</f>
        <v>-4.1000000000000002E-2</v>
      </c>
      <c r="F68" s="166">
        <f>Parameters_Results!$D$16*'Climate impacts'!K12+(1-Parameters_Results!$D$16)*'Climate impacts'!J12</f>
        <v>0</v>
      </c>
    </row>
    <row r="69" spans="2:7" s="12" customFormat="1">
      <c r="B69" s="319"/>
      <c r="C69" s="43"/>
      <c r="D69" s="165">
        <f>Parameters_Results!$D$16*'Climate impacts'!G13+(1-Parameters_Results!$D$16)*'Climate impacts'!F13</f>
        <v>0</v>
      </c>
      <c r="E69" s="165">
        <f>Parameters_Results!$D$16*'Climate impacts'!I13+(1-Parameters_Results!$D$16)*'Climate impacts'!H13</f>
        <v>0</v>
      </c>
      <c r="F69" s="166">
        <f>Parameters_Results!$D$16*'Climate impacts'!K13+(1-Parameters_Results!$D$16)*'Climate impacts'!J13</f>
        <v>0</v>
      </c>
    </row>
    <row r="70" spans="2:7" s="12" customFormat="1">
      <c r="B70" s="319" t="s">
        <v>10</v>
      </c>
      <c r="C70" s="22" t="s">
        <v>192</v>
      </c>
      <c r="D70" s="165">
        <f>Parameters_Results!$D$16*'Climate impacts'!G14+(1-Parameters_Results!$D$16)*'Climate impacts'!F14</f>
        <v>0</v>
      </c>
      <c r="E70" s="165">
        <f>Parameters_Results!$D$16*'Climate impacts'!I14+(1-Parameters_Results!$D$16)*'Climate impacts'!H14</f>
        <v>0</v>
      </c>
      <c r="F70" s="166">
        <f>Parameters_Results!$D$16*'Climate impacts'!K14+(1-Parameters_Results!$D$16)*'Climate impacts'!J14</f>
        <v>0</v>
      </c>
    </row>
    <row r="71" spans="2:7" s="12" customFormat="1">
      <c r="B71" s="319"/>
      <c r="C71" s="22" t="s">
        <v>193</v>
      </c>
      <c r="D71" s="165">
        <f>Parameters_Results!$D$16*'Climate impacts'!G15+(1-Parameters_Results!$D$16)*'Climate impacts'!F15</f>
        <v>0</v>
      </c>
      <c r="E71" s="165">
        <f>Parameters_Results!$D$16*'Climate impacts'!I15+(1-Parameters_Results!$D$16)*'Climate impacts'!H15</f>
        <v>0</v>
      </c>
      <c r="F71" s="166">
        <f>Parameters_Results!$D$16*'Climate impacts'!K15+(1-Parameters_Results!$D$16)*'Climate impacts'!J15</f>
        <v>0</v>
      </c>
    </row>
    <row r="72" spans="2:7" s="12" customFormat="1">
      <c r="B72" s="319"/>
      <c r="C72" s="43"/>
      <c r="D72" s="165">
        <f>Parameters_Results!$D$16*'Climate impacts'!G16+(1-Parameters_Results!$D$16)*'Climate impacts'!F16</f>
        <v>0</v>
      </c>
      <c r="E72" s="165">
        <f>Parameters_Results!$D$16*'Climate impacts'!I16+(1-Parameters_Results!$D$16)*'Climate impacts'!H16</f>
        <v>0</v>
      </c>
      <c r="F72" s="166">
        <f>Parameters_Results!$D$16*'Climate impacts'!K16+(1-Parameters_Results!$D$16)*'Climate impacts'!J16</f>
        <v>0</v>
      </c>
    </row>
    <row r="73" spans="2:7" s="12" customFormat="1">
      <c r="B73" s="319" t="s">
        <v>13</v>
      </c>
      <c r="C73" s="22" t="s">
        <v>25</v>
      </c>
      <c r="D73" s="165">
        <f>Parameters_Results!$D$16*'Climate impacts'!G17+(1-Parameters_Results!$D$16)*'Climate impacts'!F17</f>
        <v>0</v>
      </c>
      <c r="E73" s="165">
        <f>Parameters_Results!$D$16*'Climate impacts'!I17+(1-Parameters_Results!$D$16)*'Climate impacts'!H17</f>
        <v>0</v>
      </c>
      <c r="F73" s="166">
        <f>Parameters_Results!$D$16*'Climate impacts'!K17+(1-Parameters_Results!$D$16)*'Climate impacts'!J17</f>
        <v>0</v>
      </c>
    </row>
    <row r="74" spans="2:7" s="12" customFormat="1">
      <c r="B74" s="319"/>
      <c r="C74" s="22" t="s">
        <v>190</v>
      </c>
      <c r="D74" s="165">
        <f>Parameters_Results!$D$16*'Climate impacts'!G18+(1-Parameters_Results!$D$16)*'Climate impacts'!F18</f>
        <v>0.02</v>
      </c>
      <c r="E74" s="165">
        <f>Parameters_Results!$D$16*'Climate impacts'!I18+(1-Parameters_Results!$D$16)*'Climate impacts'!H18</f>
        <v>0.04</v>
      </c>
      <c r="F74" s="166">
        <f>Parameters_Results!$D$16*'Climate impacts'!K18+(1-Parameters_Results!$D$16)*'Climate impacts'!J18</f>
        <v>0</v>
      </c>
    </row>
    <row r="75" spans="2:7" s="12" customFormat="1" ht="15" thickBot="1">
      <c r="B75" s="320"/>
      <c r="C75" s="22" t="s">
        <v>191</v>
      </c>
      <c r="D75" s="82">
        <f>Parameters_Results!$D$16*'Climate impacts'!G19+(1-Parameters_Results!$D$16)*'Climate impacts'!F19</f>
        <v>0.06</v>
      </c>
      <c r="E75" s="82">
        <f>Parameters_Results!$D$16*'Climate impacts'!I19+(1-Parameters_Results!$D$16)*'Climate impacts'!H19</f>
        <v>0.1</v>
      </c>
      <c r="F75" s="83">
        <f>Parameters_Results!$D$16*'Climate impacts'!K19+(1-Parameters_Results!$D$16)*'Climate impacts'!J19</f>
        <v>0</v>
      </c>
    </row>
    <row r="76" spans="2:7" s="12" customFormat="1">
      <c r="B76" s="102"/>
      <c r="C76" s="22"/>
      <c r="D76" s="29"/>
      <c r="E76" s="29"/>
      <c r="F76" s="29"/>
    </row>
    <row r="77" spans="2:7" s="12" customFormat="1" ht="15" thickBot="1">
      <c r="D77" s="18"/>
    </row>
    <row r="78" spans="2:7" s="12" customFormat="1">
      <c r="B78" s="119" t="s">
        <v>93</v>
      </c>
      <c r="C78" s="76"/>
      <c r="D78" s="80"/>
      <c r="E78" s="76"/>
      <c r="F78" s="76"/>
      <c r="G78" s="20"/>
    </row>
    <row r="79" spans="2:7" s="12" customFormat="1">
      <c r="B79" s="81"/>
      <c r="C79" s="43"/>
      <c r="D79" s="44"/>
      <c r="E79" s="43"/>
      <c r="F79" s="43"/>
      <c r="G79" s="23"/>
    </row>
    <row r="80" spans="2:7" s="12" customFormat="1">
      <c r="B80" s="24"/>
      <c r="C80" s="22"/>
      <c r="D80" s="93">
        <f>Parameters_Results!D10</f>
        <v>2018</v>
      </c>
      <c r="E80" s="93">
        <v>2030</v>
      </c>
      <c r="F80" s="93">
        <v>2050</v>
      </c>
      <c r="G80" s="94">
        <v>2100</v>
      </c>
    </row>
    <row r="81" spans="2:7" s="12" customFormat="1">
      <c r="B81" s="321" t="s">
        <v>59</v>
      </c>
      <c r="C81" s="322"/>
      <c r="D81" s="322"/>
      <c r="E81" s="322"/>
      <c r="F81" s="322"/>
      <c r="G81" s="323"/>
    </row>
    <row r="82" spans="2:7" s="12" customFormat="1">
      <c r="B82" s="21" t="s">
        <v>65</v>
      </c>
      <c r="C82" s="22"/>
      <c r="D82" s="160">
        <f>Parameters_Results!$D$24*'Climate impacts'!E27+(1-Parameters_Results!$D$24)*'Climate impacts'!D27</f>
        <v>0</v>
      </c>
      <c r="E82" s="160">
        <f>Parameters_Results!$D$24*'Climate impacts'!G63+(1-Parameters_Results!$D$24)*'Climate impacts'!F63</f>
        <v>2</v>
      </c>
      <c r="F82" s="160">
        <f>Parameters_Results!$D$24*'Climate impacts'!I63+(1-Parameters_Results!$D$24)*'Climate impacts'!H63</f>
        <v>2</v>
      </c>
      <c r="G82" s="163">
        <f>Parameters_Results!$D$24*'Climate impacts'!J63+(1-Parameters_Results!$D$24)*'Climate impacts'!K63</f>
        <v>0</v>
      </c>
    </row>
    <row r="83" spans="2:7" s="12" customFormat="1">
      <c r="B83" s="21" t="s">
        <v>66</v>
      </c>
      <c r="C83" s="22"/>
      <c r="D83" s="161">
        <f>Parameters_Results!$D$24*'Climate impacts'!E28+(1-Parameters_Results!$D$24)*'Climate impacts'!D28</f>
        <v>0</v>
      </c>
      <c r="E83" s="161">
        <f>Parameters_Results!$D$24*'Climate impacts'!G64+(1-Parameters_Results!$D$24)*'Climate impacts'!F64</f>
        <v>0</v>
      </c>
      <c r="F83" s="161">
        <f>Parameters_Results!$D$24*'Climate impacts'!I64+(1-Parameters_Results!$D$24)*'Climate impacts'!H64</f>
        <v>0</v>
      </c>
      <c r="G83" s="162">
        <f>Parameters_Results!$D$24*'Climate impacts'!J64+(1-Parameters_Results!$D$24)*'Climate impacts'!K64</f>
        <v>0</v>
      </c>
    </row>
    <row r="84" spans="2:7" s="12" customFormat="1">
      <c r="B84" s="21" t="s">
        <v>67</v>
      </c>
      <c r="C84" s="22"/>
      <c r="D84" s="160">
        <f>Parameters_Results!$D$24*'Climate impacts'!D29+(1-Parameters_Results!$D$24)*'Climate impacts'!D30</f>
        <v>0</v>
      </c>
      <c r="E84" s="160">
        <f>Parameters_Results!$D$24*'Climate impacts'!G66+(1-Parameters_Results!$D$24)*'Climate impacts'!F66</f>
        <v>0</v>
      </c>
      <c r="F84" s="160">
        <f>Parameters_Results!$D$24*'Climate impacts'!I66+(1-Parameters_Results!$D$24)*'Climate impacts'!H66</f>
        <v>0</v>
      </c>
      <c r="G84" s="163">
        <f>Parameters_Results!$D$24*'Climate impacts'!J66+(1-Parameters_Results!$D$24)*'Climate impacts'!K66</f>
        <v>0</v>
      </c>
    </row>
    <row r="85" spans="2:7" s="12" customFormat="1">
      <c r="B85" s="21" t="s">
        <v>68</v>
      </c>
      <c r="C85" s="22"/>
      <c r="D85" s="160">
        <f>Parameters_Results!$D$24*'Climate impacts'!E31+(1-Parameters_Results!$D$24)*'Climate impacts'!D31</f>
        <v>0</v>
      </c>
      <c r="E85" s="160">
        <f>Parameters_Results!$D$24*'Climate impacts'!G67+(1-Parameters_Results!$D$24)*'Climate impacts'!F67</f>
        <v>0</v>
      </c>
      <c r="F85" s="160">
        <f>Parameters_Results!$D$24*'Climate impacts'!I67+(1-Parameters_Results!$D$24)*'Climate impacts'!H67</f>
        <v>0</v>
      </c>
      <c r="G85" s="163">
        <f>Parameters_Results!$D$24*'Climate impacts'!J67+(1-Parameters_Results!$D$24)*'Climate impacts'!K67</f>
        <v>0</v>
      </c>
    </row>
    <row r="86" spans="2:7" s="12" customFormat="1">
      <c r="B86" s="321" t="s">
        <v>60</v>
      </c>
      <c r="C86" s="322"/>
      <c r="D86" s="322"/>
      <c r="E86" s="322"/>
      <c r="F86" s="322"/>
      <c r="G86" s="323"/>
    </row>
    <row r="87" spans="2:7" s="12" customFormat="1">
      <c r="B87" s="21" t="s">
        <v>65</v>
      </c>
      <c r="C87" s="22"/>
      <c r="D87" s="27">
        <f>Parameters_Results!$D$24*'Climate impacts'!E33+(1-Parameters_Results!$D$24)*'Climate impacts'!D33</f>
        <v>0</v>
      </c>
      <c r="E87" s="27">
        <f>Parameters_Results!$D$24*'Climate impacts'!G69+(1-Parameters_Results!$D$24)*'Climate impacts'!F69</f>
        <v>5</v>
      </c>
      <c r="F87" s="27">
        <f>Parameters_Results!$D$24*'Climate impacts'!I69+(1-Parameters_Results!$D$24)*'Climate impacts'!H69</f>
        <v>5</v>
      </c>
      <c r="G87" s="28">
        <f>Parameters_Results!$D$24*'Climate impacts'!K69+(1-Parameters_Results!$D$24)*'Climate impacts'!J69</f>
        <v>0</v>
      </c>
    </row>
    <row r="88" spans="2:7" s="12" customFormat="1">
      <c r="B88" s="21" t="s">
        <v>66</v>
      </c>
      <c r="C88" s="22"/>
      <c r="D88" s="161">
        <f>Parameters_Results!$D$24*'Climate impacts'!E34+(1-Parameters_Results!$D$24)*'Climate impacts'!D34</f>
        <v>0</v>
      </c>
      <c r="E88" s="161">
        <f>Parameters_Results!$D$24*'Climate impacts'!G70+(1-Parameters_Results!$D$24)*'Climate impacts'!F70</f>
        <v>0</v>
      </c>
      <c r="F88" s="161">
        <f>Parameters_Results!$D$24*'Climate impacts'!I70+(1-Parameters_Results!$D$24)*'Climate impacts'!H70</f>
        <v>0</v>
      </c>
      <c r="G88" s="162">
        <f>Parameters_Results!$D$24*'Climate impacts'!K70+(1-Parameters_Results!$D$24)*'Climate impacts'!J70</f>
        <v>0</v>
      </c>
    </row>
    <row r="89" spans="2:7" s="12" customFormat="1">
      <c r="B89" s="21" t="s">
        <v>67</v>
      </c>
      <c r="C89" s="22"/>
      <c r="D89" s="27">
        <f>Parameters_Results!$D$24*'Climate impacts'!E36+(1-Parameters_Results!$D$24)*'Climate impacts'!D36</f>
        <v>0</v>
      </c>
      <c r="E89" s="27">
        <f>Parameters_Results!$D$24*'Climate impacts'!G72+(1-Parameters_Results!$D$24)*'Climate impacts'!F72</f>
        <v>0</v>
      </c>
      <c r="F89" s="27">
        <f>Parameters_Results!$D$24*'Climate impacts'!I72+(1-Parameters_Results!$D$24)*'Climate impacts'!H72</f>
        <v>0</v>
      </c>
      <c r="G89" s="28">
        <f>Parameters_Results!$D$24*'Climate impacts'!K72+(1-Parameters_Results!$D$24)*'Climate impacts'!J72</f>
        <v>0</v>
      </c>
    </row>
    <row r="90" spans="2:7" s="12" customFormat="1">
      <c r="B90" s="21" t="s">
        <v>68</v>
      </c>
      <c r="C90" s="22"/>
      <c r="D90" s="27">
        <f>Parameters_Results!$D$24*'Climate impacts'!E37+(1-Parameters_Results!$D$24)*'Climate impacts'!D37</f>
        <v>0</v>
      </c>
      <c r="E90" s="27">
        <f>Parameters_Results!$D$24*'Climate impacts'!G73+(1-Parameters_Results!$D$24)*'Climate impacts'!F73</f>
        <v>0</v>
      </c>
      <c r="F90" s="27">
        <f>Parameters_Results!$D$24*'Climate impacts'!I73+(1-Parameters_Results!$D$24)*'Climate impacts'!H73</f>
        <v>0</v>
      </c>
      <c r="G90" s="28">
        <f>Parameters_Results!$D$24*'Climate impacts'!K73+(1-Parameters_Results!$D$24)*'Climate impacts'!J73</f>
        <v>0</v>
      </c>
    </row>
    <row r="91" spans="2:7" s="12" customFormat="1">
      <c r="B91" s="321" t="s">
        <v>61</v>
      </c>
      <c r="C91" s="322"/>
      <c r="D91" s="322"/>
      <c r="E91" s="322"/>
      <c r="F91" s="322"/>
      <c r="G91" s="323"/>
    </row>
    <row r="92" spans="2:7" s="12" customFormat="1">
      <c r="B92" s="21" t="s">
        <v>65</v>
      </c>
      <c r="C92" s="22"/>
      <c r="D92" s="27">
        <f>Parameters_Results!$D$24*'Climate impacts'!E39+(1-Parameters_Results!$D$24)*'Climate impacts'!D39</f>
        <v>0</v>
      </c>
      <c r="E92" s="27">
        <f>Parameters_Results!$D$24*'Climate impacts'!G75+(1-Parameters_Results!$D$24)*'Climate impacts'!F75</f>
        <v>50</v>
      </c>
      <c r="F92" s="27">
        <f>Parameters_Results!$D$24*'Climate impacts'!I75+(1-Parameters_Results!$D$24)*'Climate impacts'!H75</f>
        <v>50</v>
      </c>
      <c r="G92" s="28">
        <f>Parameters_Results!$D$24*'Climate impacts'!K75+(1-Parameters_Results!$D$24)*'Climate impacts'!J75</f>
        <v>0</v>
      </c>
    </row>
    <row r="93" spans="2:7" s="12" customFormat="1">
      <c r="B93" s="21" t="s">
        <v>66</v>
      </c>
      <c r="C93" s="22"/>
      <c r="D93" s="161">
        <f>Parameters_Results!$D$24*'Climate impacts'!E40+(1-Parameters_Results!$D$24)*'Climate impacts'!D40</f>
        <v>0</v>
      </c>
      <c r="E93" s="161">
        <f>Parameters_Results!$D$24*'Climate impacts'!G76+(1-Parameters_Results!$D$24)*'Climate impacts'!F76</f>
        <v>0</v>
      </c>
      <c r="F93" s="161">
        <f>Parameters_Results!$D$24*'Climate impacts'!I76+(1-Parameters_Results!$D$24)*'Climate impacts'!H76</f>
        <v>0</v>
      </c>
      <c r="G93" s="162">
        <f>Parameters_Results!$D$24*'Climate impacts'!K76+(1-Parameters_Results!$D$24)*'Climate impacts'!J76</f>
        <v>0</v>
      </c>
    </row>
    <row r="94" spans="2:7" s="12" customFormat="1">
      <c r="B94" s="21" t="s">
        <v>67</v>
      </c>
      <c r="C94" s="22"/>
      <c r="D94" s="27">
        <f>Parameters_Results!$D$24*'Climate impacts'!E42+(1-Parameters_Results!$D$24)*'Climate impacts'!D42</f>
        <v>0</v>
      </c>
      <c r="E94" s="27">
        <f>Parameters_Results!$D$24*'Climate impacts'!G78+(1-Parameters_Results!$D$24)*'Climate impacts'!F78</f>
        <v>0</v>
      </c>
      <c r="F94" s="27">
        <f>Parameters_Results!$D$24*'Climate impacts'!I78+(1-Parameters_Results!$D$24)*'Climate impacts'!H78</f>
        <v>0</v>
      </c>
      <c r="G94" s="28">
        <f>Parameters_Results!$D$24*'Climate impacts'!K78+(1-Parameters_Results!$D$24)*'Climate impacts'!J78</f>
        <v>0</v>
      </c>
    </row>
    <row r="95" spans="2:7" s="12" customFormat="1">
      <c r="B95" s="21" t="s">
        <v>68</v>
      </c>
      <c r="C95" s="22"/>
      <c r="D95" s="27">
        <f>Parameters_Results!$D$24*'Climate impacts'!E43+(1-Parameters_Results!$D$24)*'Climate impacts'!D43</f>
        <v>0</v>
      </c>
      <c r="E95" s="27">
        <f>Parameters_Results!$D$24*'Climate impacts'!G79+(1-Parameters_Results!$D$24)*'Climate impacts'!F79</f>
        <v>0</v>
      </c>
      <c r="F95" s="27">
        <f>Parameters_Results!$D$24*'Climate impacts'!I79+(1-Parameters_Results!$D$24)*'Climate impacts'!H79</f>
        <v>0</v>
      </c>
      <c r="G95" s="28">
        <f>Parameters_Results!$D$24*'Climate impacts'!K79+(1-Parameters_Results!$D$24)*'Climate impacts'!J79</f>
        <v>0</v>
      </c>
    </row>
    <row r="96" spans="2:7" s="12" customFormat="1">
      <c r="B96" s="321" t="s">
        <v>62</v>
      </c>
      <c r="C96" s="322"/>
      <c r="D96" s="322"/>
      <c r="E96" s="322"/>
      <c r="F96" s="322"/>
      <c r="G96" s="323"/>
    </row>
    <row r="97" spans="2:14" s="12" customFormat="1">
      <c r="B97" s="21" t="s">
        <v>65</v>
      </c>
      <c r="C97" s="22"/>
      <c r="D97" s="27">
        <f>Parameters_Results!$D$24*'Climate impacts'!E45+(1-Parameters_Results!$D$24)*'Climate impacts'!D45</f>
        <v>0</v>
      </c>
      <c r="E97" s="27">
        <f>Parameters_Results!$D$24*'Climate impacts'!G81+(1-Parameters_Results!$D$24)*'Climate impacts'!F81</f>
        <v>500</v>
      </c>
      <c r="F97" s="27">
        <f>Parameters_Results!$D$24*'Climate impacts'!I81+(1-Parameters_Results!$D$24)*'Climate impacts'!H81</f>
        <v>500</v>
      </c>
      <c r="G97" s="28">
        <f>Parameters_Results!$D$24*'Climate impacts'!K81+(1-Parameters_Results!$D$24)*'Climate impacts'!J81</f>
        <v>0</v>
      </c>
    </row>
    <row r="98" spans="2:14" s="12" customFormat="1">
      <c r="B98" s="21" t="s">
        <v>66</v>
      </c>
      <c r="C98" s="22"/>
      <c r="D98" s="161">
        <f>Parameters_Results!$D$24*'Climate impacts'!E46+(1-Parameters_Results!$D$24)*'Climate impacts'!D46</f>
        <v>0</v>
      </c>
      <c r="E98" s="161">
        <f>Parameters_Results!$D$24*'Climate impacts'!G82+(1-Parameters_Results!$D$24)*'Climate impacts'!F82</f>
        <v>0</v>
      </c>
      <c r="F98" s="161">
        <f>Parameters_Results!$D$24*'Climate impacts'!I82+(1-Parameters_Results!$D$24)*'Climate impacts'!H82</f>
        <v>0</v>
      </c>
      <c r="G98" s="162">
        <f>Parameters_Results!$D$24*'Climate impacts'!K82+(1-Parameters_Results!$D$24)*'Climate impacts'!J82</f>
        <v>0</v>
      </c>
    </row>
    <row r="99" spans="2:14" s="12" customFormat="1">
      <c r="B99" s="21" t="s">
        <v>67</v>
      </c>
      <c r="C99" s="22"/>
      <c r="D99" s="27">
        <f>Parameters_Results!$D$24*'Climate impacts'!E48+(1-Parameters_Results!$D$24)*'Climate impacts'!D48</f>
        <v>0</v>
      </c>
      <c r="E99" s="27">
        <f>Parameters_Results!$D$24*'Climate impacts'!G84+(1-Parameters_Results!$D$24)*'Climate impacts'!F84</f>
        <v>0</v>
      </c>
      <c r="F99" s="27">
        <f>Parameters_Results!$D$24*'Climate impacts'!I84+(1-Parameters_Results!$D$24)*'Climate impacts'!H84</f>
        <v>0</v>
      </c>
      <c r="G99" s="28">
        <f>Parameters_Results!$D$24*'Climate impacts'!K84+(1-Parameters_Results!$D$24)*'Climate impacts'!J84</f>
        <v>0</v>
      </c>
    </row>
    <row r="100" spans="2:14" s="12" customFormat="1" ht="15" thickBot="1">
      <c r="B100" s="33" t="s">
        <v>68</v>
      </c>
      <c r="C100" s="34"/>
      <c r="D100" s="36">
        <f>Parameters_Results!$D$24*'Climate impacts'!E49+(1-Parameters_Results!$D$24)*'Climate impacts'!D49</f>
        <v>0</v>
      </c>
      <c r="E100" s="36">
        <f>Parameters_Results!$D$24*'Climate impacts'!G85+(1-Parameters_Results!$D$24)*'Climate impacts'!F85</f>
        <v>0</v>
      </c>
      <c r="F100" s="36">
        <f>Parameters_Results!$D$24*'Climate impacts'!I85+(1-Parameters_Results!$D$24)*'Climate impacts'!H85</f>
        <v>0</v>
      </c>
      <c r="G100" s="37">
        <f>Parameters_Results!$D$24*'Climate impacts'!K85+(1-Parameters_Results!$D$24)*'Climate impacts'!J85</f>
        <v>0</v>
      </c>
    </row>
    <row r="101" spans="2:14" s="12" customFormat="1">
      <c r="B101" s="22"/>
      <c r="C101" s="22"/>
      <c r="D101" s="32"/>
      <c r="E101" s="27"/>
      <c r="F101" s="27"/>
      <c r="G101" s="27"/>
    </row>
    <row r="102" spans="2:14" s="12" customFormat="1">
      <c r="B102" s="22"/>
      <c r="C102" s="22"/>
      <c r="D102" s="32"/>
      <c r="E102" s="27"/>
      <c r="F102" s="27"/>
      <c r="G102" s="27"/>
    </row>
    <row r="103" spans="2:14" s="12" customFormat="1">
      <c r="B103" s="22"/>
      <c r="C103" s="22"/>
      <c r="D103" s="32"/>
      <c r="E103" s="27"/>
      <c r="F103" s="27"/>
      <c r="G103" s="27"/>
    </row>
    <row r="104" spans="2:14" s="12" customFormat="1">
      <c r="B104" s="22"/>
      <c r="C104" s="22"/>
      <c r="D104" s="32"/>
      <c r="E104" s="27"/>
      <c r="F104" s="27"/>
      <c r="G104" s="27"/>
    </row>
    <row r="105" spans="2:14" s="12" customFormat="1">
      <c r="B105" s="22"/>
      <c r="C105" s="22"/>
      <c r="D105" s="32"/>
      <c r="E105" s="27"/>
      <c r="F105" s="27"/>
      <c r="G105" s="27"/>
    </row>
    <row r="106" spans="2:14" s="12" customFormat="1">
      <c r="B106" s="22"/>
      <c r="C106" s="22"/>
      <c r="D106" s="32"/>
      <c r="E106" s="27"/>
      <c r="F106" s="27"/>
      <c r="G106" s="27"/>
    </row>
    <row r="107" spans="2:14" s="12" customFormat="1">
      <c r="B107" s="22"/>
      <c r="C107" s="22"/>
      <c r="D107" s="32"/>
      <c r="E107" s="27"/>
      <c r="F107" s="27"/>
      <c r="G107" s="27"/>
    </row>
    <row r="108" spans="2:14" s="12" customFormat="1">
      <c r="D108" s="18"/>
    </row>
    <row r="109" spans="2:14" s="12" customFormat="1" ht="29.25" customHeight="1">
      <c r="B109" s="105" t="s">
        <v>101</v>
      </c>
      <c r="C109" s="103"/>
      <c r="D109" s="104"/>
      <c r="E109" s="103"/>
      <c r="F109" s="103"/>
      <c r="G109" s="103"/>
      <c r="H109" s="103"/>
      <c r="I109" s="103"/>
      <c r="J109" s="103"/>
      <c r="K109" s="103"/>
      <c r="L109" s="103"/>
      <c r="M109" s="103"/>
      <c r="N109" s="103"/>
    </row>
    <row r="111" spans="2:14">
      <c r="B111" s="116" t="s">
        <v>90</v>
      </c>
      <c r="C111" s="106"/>
      <c r="D111" s="106"/>
      <c r="E111" s="106"/>
      <c r="F111" s="106"/>
      <c r="G111" s="106"/>
      <c r="H111" s="106"/>
      <c r="I111" s="106"/>
      <c r="J111" s="106"/>
      <c r="K111" s="106"/>
      <c r="L111" s="106"/>
      <c r="M111" s="106"/>
      <c r="N111" s="107"/>
    </row>
    <row r="112" spans="2:14">
      <c r="B112" s="108" t="s">
        <v>7</v>
      </c>
      <c r="C112" s="22"/>
      <c r="D112" s="22"/>
      <c r="E112" s="22"/>
      <c r="F112" s="22"/>
      <c r="G112" s="22"/>
      <c r="H112" s="22"/>
      <c r="I112" s="22"/>
      <c r="J112" s="22"/>
      <c r="K112" s="22"/>
      <c r="L112" s="22"/>
      <c r="M112" s="22"/>
      <c r="N112" s="109"/>
    </row>
    <row r="113" spans="2:14">
      <c r="B113" s="108"/>
      <c r="C113" s="22"/>
      <c r="D113" s="307" t="s">
        <v>103</v>
      </c>
      <c r="E113" s="307"/>
      <c r="F113" s="307"/>
      <c r="G113" s="307"/>
      <c r="H113" s="307"/>
      <c r="I113" s="307"/>
      <c r="J113" s="307"/>
      <c r="K113" s="307"/>
      <c r="L113" s="307"/>
      <c r="M113" s="307"/>
      <c r="N113" s="308"/>
    </row>
    <row r="114" spans="2:14">
      <c r="B114" s="108"/>
      <c r="C114" s="43">
        <f>Parameters_Results!C34</f>
        <v>4362.510555892798</v>
      </c>
      <c r="D114" s="86">
        <v>0</v>
      </c>
      <c r="E114" s="86">
        <v>0.1</v>
      </c>
      <c r="F114" s="86">
        <v>0.2</v>
      </c>
      <c r="G114" s="86">
        <v>0.3</v>
      </c>
      <c r="H114" s="86">
        <v>0.4</v>
      </c>
      <c r="I114" s="86">
        <v>0.5</v>
      </c>
      <c r="J114" s="86">
        <v>0.6</v>
      </c>
      <c r="K114" s="86">
        <v>0.7</v>
      </c>
      <c r="L114" s="86">
        <v>0.8</v>
      </c>
      <c r="M114" s="86">
        <v>0.9</v>
      </c>
      <c r="N114" s="110">
        <v>1</v>
      </c>
    </row>
    <row r="115" spans="2:14">
      <c r="B115" s="306" t="s">
        <v>102</v>
      </c>
      <c r="C115" s="86">
        <v>0</v>
      </c>
      <c r="D115" s="88">
        <f t="dataTable" ref="D115:N125" dt2D="1" dtr="1" r1="D27" r2="D15" ca="1"/>
        <v>9015.7947858271473</v>
      </c>
      <c r="E115" s="88">
        <v>8966.1498074923347</v>
      </c>
      <c r="F115" s="88">
        <v>8916.5048291575258</v>
      </c>
      <c r="G115" s="88">
        <v>8866.8598508227115</v>
      </c>
      <c r="H115" s="88">
        <v>8817.2148724879007</v>
      </c>
      <c r="I115" s="88">
        <v>8767.5698941530864</v>
      </c>
      <c r="J115" s="88">
        <v>8717.9249158182756</v>
      </c>
      <c r="K115" s="88">
        <v>8668.2799374834631</v>
      </c>
      <c r="L115" s="88">
        <v>8618.6349591486505</v>
      </c>
      <c r="M115" s="88">
        <v>8568.9899808138398</v>
      </c>
      <c r="N115" s="111">
        <v>8519.3450024790254</v>
      </c>
    </row>
    <row r="116" spans="2:14">
      <c r="B116" s="306"/>
      <c r="C116" s="86">
        <v>0.1</v>
      </c>
      <c r="D116" s="88">
        <v>8759.7246585594894</v>
      </c>
      <c r="E116" s="88">
        <v>8710.079680224675</v>
      </c>
      <c r="F116" s="88">
        <v>8660.4347018898588</v>
      </c>
      <c r="G116" s="88">
        <v>8610.7897235550481</v>
      </c>
      <c r="H116" s="88">
        <v>8561.1447452202374</v>
      </c>
      <c r="I116" s="88">
        <v>8511.4997668854267</v>
      </c>
      <c r="J116" s="88">
        <v>8461.8547885506123</v>
      </c>
      <c r="K116" s="88">
        <v>8412.2098102158016</v>
      </c>
      <c r="L116" s="88">
        <v>8362.5648318809854</v>
      </c>
      <c r="M116" s="88">
        <v>8312.9198535461765</v>
      </c>
      <c r="N116" s="111">
        <v>8263.2748752113639</v>
      </c>
    </row>
    <row r="117" spans="2:14">
      <c r="B117" s="306"/>
      <c r="C117" s="86">
        <v>0.2</v>
      </c>
      <c r="D117" s="88">
        <v>8483.9463795210868</v>
      </c>
      <c r="E117" s="88">
        <v>8434.3014011862779</v>
      </c>
      <c r="F117" s="88">
        <v>8384.6564228514653</v>
      </c>
      <c r="G117" s="88">
        <v>8335.011444516651</v>
      </c>
      <c r="H117" s="88">
        <v>8285.3664661818384</v>
      </c>
      <c r="I117" s="88">
        <v>8235.7214878470259</v>
      </c>
      <c r="J117" s="88">
        <v>8186.0765095122142</v>
      </c>
      <c r="K117" s="88">
        <v>8136.4315311774017</v>
      </c>
      <c r="L117" s="88">
        <v>8086.7865528425891</v>
      </c>
      <c r="M117" s="88">
        <v>8037.1415745077766</v>
      </c>
      <c r="N117" s="111">
        <v>7987.4965961729649</v>
      </c>
    </row>
    <row r="118" spans="2:14">
      <c r="B118" s="306"/>
      <c r="C118" s="86">
        <v>0.3</v>
      </c>
      <c r="D118" s="88">
        <v>8184.9831529069143</v>
      </c>
      <c r="E118" s="88">
        <v>8135.3381745721035</v>
      </c>
      <c r="F118" s="88">
        <v>8085.6931962372919</v>
      </c>
      <c r="G118" s="88">
        <v>8036.0482179024775</v>
      </c>
      <c r="H118" s="88">
        <v>7986.4032395676659</v>
      </c>
      <c r="I118" s="88">
        <v>7936.7582612328533</v>
      </c>
      <c r="J118" s="88">
        <v>7887.1132828980408</v>
      </c>
      <c r="K118" s="88">
        <v>7837.4683045632273</v>
      </c>
      <c r="L118" s="88">
        <v>7787.8233262284157</v>
      </c>
      <c r="M118" s="88">
        <v>7738.1783478936031</v>
      </c>
      <c r="N118" s="111">
        <v>7688.5333695587906</v>
      </c>
    </row>
    <row r="119" spans="2:14">
      <c r="B119" s="306"/>
      <c r="C119" s="86">
        <v>0.4</v>
      </c>
      <c r="D119" s="88">
        <v>7858.4889839606822</v>
      </c>
      <c r="E119" s="88">
        <v>7808.8440056258669</v>
      </c>
      <c r="F119" s="88">
        <v>7759.1990272910607</v>
      </c>
      <c r="G119" s="88">
        <v>7709.5540489562445</v>
      </c>
      <c r="H119" s="88">
        <v>7659.9090706214338</v>
      </c>
      <c r="I119" s="88">
        <v>7610.2640922866212</v>
      </c>
      <c r="J119" s="88">
        <v>7560.6191139518078</v>
      </c>
      <c r="K119" s="88">
        <v>7510.9741356169952</v>
      </c>
      <c r="L119" s="88">
        <v>7461.3291572821836</v>
      </c>
      <c r="M119" s="88">
        <v>7411.684178947371</v>
      </c>
      <c r="N119" s="111">
        <v>7362.0392006125585</v>
      </c>
    </row>
    <row r="120" spans="2:14">
      <c r="B120" s="306"/>
      <c r="C120" s="86">
        <v>0.5</v>
      </c>
      <c r="D120" s="88">
        <v>7498.9589459910894</v>
      </c>
      <c r="E120" s="88">
        <v>7449.313967656276</v>
      </c>
      <c r="F120" s="88">
        <v>7399.6689893214671</v>
      </c>
      <c r="G120" s="88">
        <v>7350.0240109866518</v>
      </c>
      <c r="H120" s="88">
        <v>7300.3790326518401</v>
      </c>
      <c r="I120" s="88">
        <v>7250.7340543170285</v>
      </c>
      <c r="J120" s="88">
        <v>7201.0890759822159</v>
      </c>
      <c r="K120" s="88">
        <v>7151.4440976474034</v>
      </c>
      <c r="L120" s="88">
        <v>7101.7991193125918</v>
      </c>
      <c r="M120" s="88">
        <v>7052.1541409777792</v>
      </c>
      <c r="N120" s="111">
        <v>7002.5091626429667</v>
      </c>
    </row>
    <row r="121" spans="2:14">
      <c r="B121" s="306"/>
      <c r="C121" s="86">
        <v>0.6</v>
      </c>
      <c r="D121" s="88">
        <v>7099.3152761093279</v>
      </c>
      <c r="E121" s="88">
        <v>7049.6702977745135</v>
      </c>
      <c r="F121" s="88">
        <v>7000.0253194397064</v>
      </c>
      <c r="G121" s="88">
        <v>6950.3803411048875</v>
      </c>
      <c r="H121" s="88">
        <v>6900.7353627700759</v>
      </c>
      <c r="I121" s="88">
        <v>6851.0903844352652</v>
      </c>
      <c r="J121" s="88">
        <v>6801.4454061004508</v>
      </c>
      <c r="K121" s="88">
        <v>6751.8004277656391</v>
      </c>
      <c r="L121" s="88">
        <v>6702.1554494308284</v>
      </c>
      <c r="M121" s="88">
        <v>6652.5104710960159</v>
      </c>
      <c r="N121" s="111">
        <v>6602.8654927612042</v>
      </c>
    </row>
    <row r="122" spans="2:14">
      <c r="B122" s="306"/>
      <c r="C122" s="86">
        <v>0.7</v>
      </c>
      <c r="D122" s="88">
        <v>6650.3024382300209</v>
      </c>
      <c r="E122" s="88">
        <v>6600.6574598952047</v>
      </c>
      <c r="F122" s="88">
        <v>6551.0124815603958</v>
      </c>
      <c r="G122" s="88">
        <v>6501.3675032255805</v>
      </c>
      <c r="H122" s="88">
        <v>6451.7225248907707</v>
      </c>
      <c r="I122" s="88">
        <v>6402.0775465559591</v>
      </c>
      <c r="J122" s="88">
        <v>6352.4325682211465</v>
      </c>
      <c r="K122" s="88">
        <v>6302.787589886334</v>
      </c>
      <c r="L122" s="88">
        <v>6253.1426115515233</v>
      </c>
      <c r="M122" s="88">
        <v>6203.4976332167089</v>
      </c>
      <c r="N122" s="111">
        <v>6153.8526548818973</v>
      </c>
    </row>
    <row r="123" spans="2:14">
      <c r="B123" s="306"/>
      <c r="C123" s="86">
        <v>0.8</v>
      </c>
      <c r="D123" s="88">
        <v>6139.5797175726766</v>
      </c>
      <c r="E123" s="88">
        <v>6089.9347392378631</v>
      </c>
      <c r="F123" s="88">
        <v>6040.2897609030506</v>
      </c>
      <c r="G123" s="88">
        <v>5990.644782568239</v>
      </c>
      <c r="H123" s="88">
        <v>5940.9998042334255</v>
      </c>
      <c r="I123" s="88">
        <v>5891.3548258986139</v>
      </c>
      <c r="J123" s="88">
        <v>5841.7098475638022</v>
      </c>
      <c r="K123" s="88">
        <v>5792.0648692289897</v>
      </c>
      <c r="L123" s="88">
        <v>5742.4198908941753</v>
      </c>
      <c r="M123" s="88">
        <v>5692.7749125593655</v>
      </c>
      <c r="N123" s="111">
        <v>5643.129934224552</v>
      </c>
    </row>
    <row r="124" spans="2:14">
      <c r="B124" s="306"/>
      <c r="C124" s="86">
        <v>0.9</v>
      </c>
      <c r="D124" s="88">
        <v>5550.3188667093555</v>
      </c>
      <c r="E124" s="88">
        <v>5500.6738883745411</v>
      </c>
      <c r="F124" s="88">
        <v>5451.0289100397249</v>
      </c>
      <c r="G124" s="88">
        <v>5401.3839317049151</v>
      </c>
      <c r="H124" s="88">
        <v>5351.7389533701034</v>
      </c>
      <c r="I124" s="88">
        <v>5302.0939750352918</v>
      </c>
      <c r="J124" s="88">
        <v>5252.4489967004793</v>
      </c>
      <c r="K124" s="88">
        <v>5202.8040183656658</v>
      </c>
      <c r="L124" s="88">
        <v>5153.1590400308551</v>
      </c>
      <c r="M124" s="88">
        <v>5103.5140616960434</v>
      </c>
      <c r="N124" s="111">
        <v>5053.8690833612309</v>
      </c>
    </row>
    <row r="125" spans="2:14">
      <c r="B125" s="306"/>
      <c r="C125" s="86">
        <v>1</v>
      </c>
      <c r="D125" s="88">
        <v>4858.9603392409226</v>
      </c>
      <c r="E125" s="88">
        <v>4809.3153609061101</v>
      </c>
      <c r="F125" s="88">
        <v>4759.6703825712993</v>
      </c>
      <c r="G125" s="88">
        <v>4710.025404236485</v>
      </c>
      <c r="H125" s="88">
        <v>4660.3804259016724</v>
      </c>
      <c r="I125" s="88">
        <v>4610.7354475668599</v>
      </c>
      <c r="J125" s="88">
        <v>4561.0904692320491</v>
      </c>
      <c r="K125" s="88">
        <v>4511.4454908972366</v>
      </c>
      <c r="L125" s="88">
        <v>4461.800512562424</v>
      </c>
      <c r="M125" s="88">
        <v>4412.1555342276133</v>
      </c>
      <c r="N125" s="111">
        <v>4362.510555892798</v>
      </c>
    </row>
    <row r="126" spans="2:14">
      <c r="B126" s="108"/>
      <c r="C126" s="22"/>
      <c r="D126" s="22"/>
      <c r="E126" s="22"/>
      <c r="F126" s="22"/>
      <c r="G126" s="22"/>
      <c r="H126" s="22"/>
      <c r="I126" s="22"/>
      <c r="J126" s="22"/>
      <c r="K126" s="22"/>
      <c r="L126" s="22"/>
      <c r="M126" s="22"/>
      <c r="N126" s="109"/>
    </row>
    <row r="127" spans="2:14">
      <c r="B127" s="108" t="s">
        <v>28</v>
      </c>
      <c r="C127" s="22"/>
      <c r="D127" s="22"/>
      <c r="E127" s="22"/>
      <c r="F127" s="22"/>
      <c r="G127" s="22"/>
      <c r="H127" s="22"/>
      <c r="I127" s="22"/>
      <c r="J127" s="22"/>
      <c r="K127" s="22"/>
      <c r="L127" s="22"/>
      <c r="M127" s="22"/>
      <c r="N127" s="109"/>
    </row>
    <row r="128" spans="2:14">
      <c r="B128" s="108"/>
      <c r="C128" s="22"/>
      <c r="D128" s="307" t="s">
        <v>103</v>
      </c>
      <c r="E128" s="307"/>
      <c r="F128" s="307"/>
      <c r="G128" s="307"/>
      <c r="H128" s="307"/>
      <c r="I128" s="307"/>
      <c r="J128" s="307"/>
      <c r="K128" s="307"/>
      <c r="L128" s="307"/>
      <c r="M128" s="307"/>
      <c r="N128" s="308"/>
    </row>
    <row r="129" spans="2:14">
      <c r="B129" s="108"/>
      <c r="C129" s="43">
        <f>D34</f>
        <v>1.6844520952378614</v>
      </c>
      <c r="D129" s="86">
        <v>0</v>
      </c>
      <c r="E129" s="86">
        <v>0.1</v>
      </c>
      <c r="F129" s="86">
        <v>0.2</v>
      </c>
      <c r="G129" s="86">
        <v>0.3</v>
      </c>
      <c r="H129" s="86">
        <v>0.4</v>
      </c>
      <c r="I129" s="86">
        <v>0.5</v>
      </c>
      <c r="J129" s="86">
        <v>0.6</v>
      </c>
      <c r="K129" s="86">
        <v>0.7</v>
      </c>
      <c r="L129" s="86">
        <v>0.8</v>
      </c>
      <c r="M129" s="86">
        <v>0.9</v>
      </c>
      <c r="N129" s="110">
        <v>1</v>
      </c>
    </row>
    <row r="130" spans="2:14">
      <c r="B130" s="306" t="s">
        <v>102</v>
      </c>
      <c r="C130" s="86">
        <v>0</v>
      </c>
      <c r="D130" s="89">
        <f t="dataTable" ref="D130:N140" dt2D="1" dtr="1" r1="D27" r2="D15" ca="1"/>
        <v>3.2442745871027845</v>
      </c>
      <c r="E130" s="89">
        <v>3.2046713399781863</v>
      </c>
      <c r="F130" s="89">
        <v>3.1660233154666013</v>
      </c>
      <c r="G130" s="89">
        <v>3.1282963657125626</v>
      </c>
      <c r="H130" s="89">
        <v>3.0914579513435663</v>
      </c>
      <c r="I130" s="89">
        <v>3.055477047865899</v>
      </c>
      <c r="J130" s="89">
        <v>3.0203240585219153</v>
      </c>
      <c r="K130" s="89">
        <v>2.9859707330943124</v>
      </c>
      <c r="L130" s="89">
        <v>2.952390092189229</v>
      </c>
      <c r="M130" s="89">
        <v>2.91955635657167</v>
      </c>
      <c r="N130" s="112">
        <v>2.8874448811642579</v>
      </c>
    </row>
    <row r="131" spans="2:14">
      <c r="B131" s="306"/>
      <c r="C131" s="86">
        <v>0.1</v>
      </c>
      <c r="D131" s="89">
        <v>3.120728610470425</v>
      </c>
      <c r="E131" s="89">
        <v>3.0836658909878283</v>
      </c>
      <c r="F131" s="89">
        <v>3.0474731752717341</v>
      </c>
      <c r="G131" s="89">
        <v>3.0121201852201915</v>
      </c>
      <c r="H131" s="89">
        <v>2.9775780316145308</v>
      </c>
      <c r="I131" s="89">
        <v>2.9438191353856493</v>
      </c>
      <c r="J131" s="89">
        <v>2.9108171541761738</v>
      </c>
      <c r="K131" s="89">
        <v>2.878546913787591</v>
      </c>
      <c r="L131" s="89">
        <v>2.8469843441373341</v>
      </c>
      <c r="M131" s="89">
        <v>2.8161064193834968</v>
      </c>
      <c r="N131" s="112">
        <v>2.7858911019041002</v>
      </c>
    </row>
    <row r="132" spans="2:14">
      <c r="B132" s="306"/>
      <c r="C132" s="86">
        <v>0.2</v>
      </c>
      <c r="D132" s="89">
        <v>2.9949142720974384</v>
      </c>
      <c r="E132" s="89">
        <v>2.9603565058474683</v>
      </c>
      <c r="F132" s="89">
        <v>2.9265871536796015</v>
      </c>
      <c r="G132" s="89">
        <v>2.8935795391272627</v>
      </c>
      <c r="H132" s="89">
        <v>2.8613081757875083</v>
      </c>
      <c r="I132" s="89">
        <v>2.8297487016905927</v>
      </c>
      <c r="J132" s="89">
        <v>2.7988778179654576</v>
      </c>
      <c r="K132" s="89">
        <v>2.7686732314766482</v>
      </c>
      <c r="L132" s="89">
        <v>2.7391136011358279</v>
      </c>
      <c r="M132" s="89">
        <v>2.710178487616183</v>
      </c>
      <c r="N132" s="112">
        <v>2.6818483062207186</v>
      </c>
    </row>
    <row r="133" spans="2:14">
      <c r="B133" s="306"/>
      <c r="C133" s="86">
        <v>0.3</v>
      </c>
      <c r="D133" s="89">
        <v>2.8663267745759207</v>
      </c>
      <c r="E133" s="89">
        <v>2.8342432302028153</v>
      </c>
      <c r="F133" s="89">
        <v>2.8028699743715442</v>
      </c>
      <c r="G133" s="89">
        <v>2.7721836780034459</v>
      </c>
      <c r="H133" s="89">
        <v>2.7421620225987309</v>
      </c>
      <c r="I133" s="89">
        <v>2.7127836461018768</v>
      </c>
      <c r="J133" s="89">
        <v>2.6840280922100064</v>
      </c>
      <c r="K133" s="89">
        <v>2.65587576287143</v>
      </c>
      <c r="L133" s="89">
        <v>2.6283078737425773</v>
      </c>
      <c r="M133" s="89">
        <v>2.6013064123905507</v>
      </c>
      <c r="N133" s="112">
        <v>2.5748540990458837</v>
      </c>
    </row>
    <row r="134" spans="2:14">
      <c r="B134" s="306"/>
      <c r="C134" s="86">
        <v>0.4</v>
      </c>
      <c r="D134" s="89">
        <v>2.7343917540630529</v>
      </c>
      <c r="E134" s="89">
        <v>2.7047562978277946</v>
      </c>
      <c r="F134" s="89">
        <v>2.675756334805484</v>
      </c>
      <c r="G134" s="89">
        <v>2.6473716408672079</v>
      </c>
      <c r="H134" s="89">
        <v>2.6195828410346067</v>
      </c>
      <c r="I134" s="89">
        <v>2.5923713653762022</v>
      </c>
      <c r="J134" s="89">
        <v>2.5657194076242988</v>
      </c>
      <c r="K134" s="89">
        <v>2.5396098863186363</v>
      </c>
      <c r="L134" s="89">
        <v>2.5140264082986259</v>
      </c>
      <c r="M134" s="89">
        <v>2.4889532343802081</v>
      </c>
      <c r="N134" s="112">
        <v>2.464375247066322</v>
      </c>
    </row>
    <row r="135" spans="2:14">
      <c r="B135" s="306"/>
      <c r="C135" s="86">
        <v>0.5</v>
      </c>
      <c r="D135" s="89">
        <v>2.5984501177100712</v>
      </c>
      <c r="E135" s="89">
        <v>2.5712408907306994</v>
      </c>
      <c r="F135" s="89">
        <v>2.544595592224618</v>
      </c>
      <c r="G135" s="89">
        <v>2.5184968703433461</v>
      </c>
      <c r="H135" s="89">
        <v>2.4929280778901663</v>
      </c>
      <c r="I135" s="89">
        <v>2.4678732369100751</v>
      </c>
      <c r="J135" s="89">
        <v>2.4433170053937996</v>
      </c>
      <c r="K135" s="89">
        <v>2.4192446459500698</v>
      </c>
      <c r="L135" s="89">
        <v>2.395641996311729</v>
      </c>
      <c r="M135" s="89">
        <v>2.3724954415516528</v>
      </c>
      <c r="N135" s="112">
        <v>2.3497918878939452</v>
      </c>
    </row>
    <row r="136" spans="2:14">
      <c r="B136" s="306"/>
      <c r="C136" s="86">
        <v>0.6</v>
      </c>
      <c r="D136" s="89">
        <v>2.4577389650275672</v>
      </c>
      <c r="E136" s="89">
        <v>2.4329379385835375</v>
      </c>
      <c r="F136" s="89">
        <v>2.4086324456775716</v>
      </c>
      <c r="G136" s="89">
        <v>2.3848077817996365</v>
      </c>
      <c r="H136" s="89">
        <v>2.3614498185320993</v>
      </c>
      <c r="I136" s="89">
        <v>2.3385449756107222</v>
      </c>
      <c r="J136" s="89">
        <v>2.3160801945960183</v>
      </c>
      <c r="K136" s="89">
        <v>2.2940429140476915</v>
      </c>
      <c r="L136" s="89">
        <v>2.2724210461029903</v>
      </c>
      <c r="M136" s="89">
        <v>2.2512029543672232</v>
      </c>
      <c r="N136" s="112">
        <v>2.2303774330314643</v>
      </c>
    </row>
    <row r="137" spans="2:14">
      <c r="B137" s="306"/>
      <c r="C137" s="86">
        <v>0.7</v>
      </c>
      <c r="D137" s="89">
        <v>2.311367341909174</v>
      </c>
      <c r="E137" s="89">
        <v>2.288959685490533</v>
      </c>
      <c r="F137" s="89">
        <v>2.2669823216806799</v>
      </c>
      <c r="G137" s="89">
        <v>2.2454229740345957</v>
      </c>
      <c r="H137" s="89">
        <v>2.2242698287112876</v>
      </c>
      <c r="I137" s="89">
        <v>2.2035115128871943</v>
      </c>
      <c r="J137" s="89">
        <v>2.1831370743671794</v>
      </c>
      <c r="K137" s="89">
        <v>2.1631359623163058</v>
      </c>
      <c r="L137" s="89">
        <v>2.1434980090411626</v>
      </c>
      <c r="M137" s="89">
        <v>2.1242134127546484</v>
      </c>
      <c r="N137" s="112">
        <v>2.1052727212628355</v>
      </c>
    </row>
    <row r="138" spans="2:14">
      <c r="B138" s="306"/>
      <c r="C138" s="86">
        <v>0.8</v>
      </c>
      <c r="D138" s="89">
        <v>2.1582850989852558</v>
      </c>
      <c r="E138" s="89">
        <v>2.1382582643704318</v>
      </c>
      <c r="F138" s="89">
        <v>2.1185996727960124</v>
      </c>
      <c r="G138" s="89">
        <v>2.0992992601955658</v>
      </c>
      <c r="H138" s="89">
        <v>2.0803473259258807</v>
      </c>
      <c r="I138" s="89">
        <v>2.0617345165092837</v>
      </c>
      <c r="J138" s="89">
        <v>2.0434518102409505</v>
      </c>
      <c r="K138" s="89">
        <v>2.0254905026080068</v>
      </c>
      <c r="L138" s="89">
        <v>2.0078421924708953</v>
      </c>
      <c r="M138" s="89">
        <v>1.9904987689609219</v>
      </c>
      <c r="N138" s="112">
        <v>1.9734523990510453</v>
      </c>
    </row>
    <row r="139" spans="2:14">
      <c r="B139" s="306"/>
      <c r="C139" s="86">
        <v>0.9</v>
      </c>
      <c r="D139" s="89">
        <v>1.9972424338967456</v>
      </c>
      <c r="E139" s="89">
        <v>1.9795848103293814</v>
      </c>
      <c r="F139" s="89">
        <v>1.9622366727525427</v>
      </c>
      <c r="G139" s="89">
        <v>1.9451899552886842</v>
      </c>
      <c r="H139" s="89">
        <v>1.9284368699320105</v>
      </c>
      <c r="I139" s="89">
        <v>1.9119698946847059</v>
      </c>
      <c r="J139" s="89">
        <v>1.8957817622958468</v>
      </c>
      <c r="K139" s="89">
        <v>1.8798654495675746</v>
      </c>
      <c r="L139" s="89">
        <v>1.8642141671954811</v>
      </c>
      <c r="M139" s="89">
        <v>1.8488213501123121</v>
      </c>
      <c r="N139" s="112">
        <v>1.833680648306153</v>
      </c>
    </row>
    <row r="140" spans="2:14">
      <c r="B140" s="306"/>
      <c r="C140" s="113">
        <v>1</v>
      </c>
      <c r="D140" s="114">
        <v>1.8267366766149209</v>
      </c>
      <c r="E140" s="114">
        <v>1.8114355970327842</v>
      </c>
      <c r="F140" s="114">
        <v>1.7963887174914355</v>
      </c>
      <c r="G140" s="114">
        <v>1.781589755558753</v>
      </c>
      <c r="H140" s="114">
        <v>1.7670326341341227</v>
      </c>
      <c r="I140" s="114">
        <v>1.7527114731277489</v>
      </c>
      <c r="J140" s="114">
        <v>1.7386205815413303</v>
      </c>
      <c r="K140" s="114">
        <v>1.724754449927691</v>
      </c>
      <c r="L140" s="114">
        <v>1.7111077432083843</v>
      </c>
      <c r="M140" s="114">
        <v>1.6976752938295898</v>
      </c>
      <c r="N140" s="115">
        <v>1.6844520952378614</v>
      </c>
    </row>
    <row r="142" spans="2:14" ht="15" thickBot="1"/>
    <row r="143" spans="2:14">
      <c r="B143" s="117" t="s">
        <v>88</v>
      </c>
      <c r="C143" s="19"/>
      <c r="D143" s="67"/>
    </row>
    <row r="144" spans="2:14">
      <c r="B144" s="21"/>
      <c r="C144" s="22"/>
      <c r="D144" s="46"/>
    </row>
    <row r="145" spans="2:4">
      <c r="B145" s="21" t="s">
        <v>31</v>
      </c>
      <c r="C145" s="22">
        <f>Parameters_Results!C34</f>
        <v>4362.510555892798</v>
      </c>
      <c r="D145" s="46">
        <f>ABS(C146-C150)</f>
        <v>261.77162529444286</v>
      </c>
    </row>
    <row r="146" spans="2:4">
      <c r="B146" s="90">
        <v>0</v>
      </c>
      <c r="C146" s="43">
        <f t="dataTable" ref="C146:C150" dt2D="0" dtr="0" r1="D16" ca="1"/>
        <v>4624.2821811872409</v>
      </c>
      <c r="D146" s="46"/>
    </row>
    <row r="147" spans="2:4">
      <c r="B147" s="90">
        <v>0.25</v>
      </c>
      <c r="C147" s="43">
        <v>4558.8392748636261</v>
      </c>
      <c r="D147" s="46"/>
    </row>
    <row r="148" spans="2:4">
      <c r="B148" s="90">
        <v>0.5</v>
      </c>
      <c r="C148" s="43">
        <v>4493.3963685400186</v>
      </c>
      <c r="D148" s="46"/>
    </row>
    <row r="149" spans="2:4">
      <c r="B149" s="90">
        <v>0.75</v>
      </c>
      <c r="C149" s="43">
        <v>4427.9534622164092</v>
      </c>
      <c r="D149" s="46"/>
    </row>
    <row r="150" spans="2:4">
      <c r="B150" s="90">
        <v>1</v>
      </c>
      <c r="C150" s="43">
        <v>4362.510555892798</v>
      </c>
      <c r="D150" s="46"/>
    </row>
    <row r="151" spans="2:4">
      <c r="B151" s="21"/>
      <c r="C151" s="22"/>
      <c r="D151" s="46"/>
    </row>
    <row r="152" spans="2:4">
      <c r="B152" s="21" t="s">
        <v>32</v>
      </c>
      <c r="C152" s="22">
        <f>Parameters_Results!$C$34</f>
        <v>4362.510555892798</v>
      </c>
      <c r="D152" s="46">
        <f>ABS(C153-C157)</f>
        <v>0</v>
      </c>
    </row>
    <row r="153" spans="2:4">
      <c r="B153" s="90">
        <v>0</v>
      </c>
      <c r="C153" s="91">
        <f t="dataTable" ref="C153:D157" dt2D="0" dtr="0" r1="D17" ca="1"/>
        <v>4362.510555892798</v>
      </c>
      <c r="D153" s="46">
        <v>0</v>
      </c>
    </row>
    <row r="154" spans="2:4">
      <c r="B154" s="90">
        <v>0.25</v>
      </c>
      <c r="C154" s="91">
        <v>4362.510555892798</v>
      </c>
      <c r="D154" s="46">
        <v>0</v>
      </c>
    </row>
    <row r="155" spans="2:4">
      <c r="B155" s="90">
        <v>0.5</v>
      </c>
      <c r="C155" s="91">
        <v>4362.510555892798</v>
      </c>
      <c r="D155" s="46">
        <v>0</v>
      </c>
    </row>
    <row r="156" spans="2:4">
      <c r="B156" s="90">
        <v>0.75</v>
      </c>
      <c r="C156" s="91">
        <v>4362.510555892798</v>
      </c>
      <c r="D156" s="46">
        <v>0</v>
      </c>
    </row>
    <row r="157" spans="2:4">
      <c r="B157" s="90">
        <v>1</v>
      </c>
      <c r="C157" s="91">
        <v>4362.510555892798</v>
      </c>
      <c r="D157" s="46">
        <v>0</v>
      </c>
    </row>
    <row r="158" spans="2:4">
      <c r="B158" s="21"/>
      <c r="C158" s="22"/>
      <c r="D158" s="46"/>
    </row>
    <row r="159" spans="2:4">
      <c r="B159" s="21" t="s">
        <v>33</v>
      </c>
      <c r="C159" s="22">
        <f>Parameters_Results!$C$34</f>
        <v>4362.510555892798</v>
      </c>
      <c r="D159" s="46">
        <f>ABS(C160-C164)</f>
        <v>0.98033704377121467</v>
      </c>
    </row>
    <row r="160" spans="2:4">
      <c r="B160" s="90">
        <v>0</v>
      </c>
      <c r="C160" s="22">
        <f t="dataTable" ref="C160:C164" dt2D="0" dtr="0" r1="D18" ca="1"/>
        <v>4363.4908929365693</v>
      </c>
      <c r="D160" s="46"/>
    </row>
    <row r="161" spans="2:4">
      <c r="B161" s="90">
        <v>0.25</v>
      </c>
      <c r="C161" s="22">
        <v>4363.2458086756269</v>
      </c>
      <c r="D161" s="46"/>
    </row>
    <row r="162" spans="2:4">
      <c r="B162" s="90">
        <v>0.5</v>
      </c>
      <c r="C162" s="22">
        <v>4363.0007244146836</v>
      </c>
      <c r="D162" s="46"/>
    </row>
    <row r="163" spans="2:4">
      <c r="B163" s="90">
        <v>0.75</v>
      </c>
      <c r="C163" s="22">
        <v>4362.7556401537404</v>
      </c>
      <c r="D163" s="46"/>
    </row>
    <row r="164" spans="2:4">
      <c r="B164" s="90">
        <v>1</v>
      </c>
      <c r="C164" s="22">
        <v>4362.510555892798</v>
      </c>
      <c r="D164" s="46"/>
    </row>
    <row r="165" spans="2:4">
      <c r="B165" s="21"/>
      <c r="C165" s="22"/>
      <c r="D165" s="46"/>
    </row>
    <row r="166" spans="2:4">
      <c r="B166" s="21" t="s">
        <v>251</v>
      </c>
      <c r="C166" s="22">
        <f>Parameters_Results!$C$34</f>
        <v>4362.510555892798</v>
      </c>
      <c r="D166" s="46">
        <f>ABS(C167-C171)</f>
        <v>0</v>
      </c>
    </row>
    <row r="167" spans="2:4">
      <c r="B167" s="90">
        <v>0</v>
      </c>
      <c r="C167" s="22">
        <f t="dataTable" ref="C167:C171" dt2D="0" dtr="0" r1="D19" ca="1"/>
        <v>4362.510555892798</v>
      </c>
      <c r="D167" s="46"/>
    </row>
    <row r="168" spans="2:4">
      <c r="B168" s="90">
        <v>0.25</v>
      </c>
      <c r="C168" s="22">
        <v>4362.510555892798</v>
      </c>
      <c r="D168" s="46"/>
    </row>
    <row r="169" spans="2:4">
      <c r="B169" s="90">
        <v>0.5</v>
      </c>
      <c r="C169" s="22">
        <v>4362.510555892798</v>
      </c>
      <c r="D169" s="46"/>
    </row>
    <row r="170" spans="2:4">
      <c r="B170" s="90">
        <v>0.75</v>
      </c>
      <c r="C170" s="22">
        <v>4362.510555892798</v>
      </c>
      <c r="D170" s="46"/>
    </row>
    <row r="171" spans="2:4">
      <c r="B171" s="90">
        <v>1</v>
      </c>
      <c r="C171" s="22">
        <v>4362.510555892798</v>
      </c>
      <c r="D171" s="46"/>
    </row>
    <row r="172" spans="2:4">
      <c r="B172" s="21"/>
      <c r="C172" s="22"/>
      <c r="D172" s="46"/>
    </row>
    <row r="173" spans="2:4">
      <c r="B173" s="21" t="s">
        <v>252</v>
      </c>
      <c r="C173" s="22">
        <f>Parameters_Results!$C$34</f>
        <v>4362.510555892798</v>
      </c>
      <c r="D173" s="46" t="e">
        <f>ABS(C174-C178)</f>
        <v>#DIV/0!</v>
      </c>
    </row>
    <row r="174" spans="2:4">
      <c r="B174" s="90">
        <v>0</v>
      </c>
      <c r="C174" s="22" t="e">
        <f t="dataTable" ref="C174:C178" dt2D="0" dtr="0" r1="D20" ca="1"/>
        <v>#DIV/0!</v>
      </c>
      <c r="D174" s="46"/>
    </row>
    <row r="175" spans="2:4">
      <c r="B175" s="90">
        <v>0.25</v>
      </c>
      <c r="C175" s="22">
        <v>4362.510555892798</v>
      </c>
      <c r="D175" s="46"/>
    </row>
    <row r="176" spans="2:4">
      <c r="B176" s="90">
        <v>0.5</v>
      </c>
      <c r="C176" s="22">
        <v>4362.510555892798</v>
      </c>
      <c r="D176" s="46"/>
    </row>
    <row r="177" spans="2:7">
      <c r="B177" s="90">
        <v>0.75</v>
      </c>
      <c r="C177" s="22">
        <v>4362.510555892798</v>
      </c>
      <c r="D177" s="46"/>
    </row>
    <row r="178" spans="2:7">
      <c r="B178" s="90">
        <v>1</v>
      </c>
      <c r="C178" s="22">
        <v>4362.510555892798</v>
      </c>
      <c r="D178" s="46"/>
    </row>
    <row r="179" spans="2:7">
      <c r="B179" s="90"/>
      <c r="C179" s="22"/>
      <c r="D179" s="46"/>
    </row>
    <row r="180" spans="2:7">
      <c r="B180" s="21" t="s">
        <v>253</v>
      </c>
      <c r="C180" s="22">
        <f>Parameters_Results!$C$34</f>
        <v>4362.510555892798</v>
      </c>
      <c r="D180" s="46">
        <f>ABS(C181-C185)</f>
        <v>1219.4937829442279</v>
      </c>
    </row>
    <row r="181" spans="2:7">
      <c r="B181" s="90">
        <v>0</v>
      </c>
      <c r="C181" s="22">
        <f t="dataTable" ref="C181:C185" dt2D="0" dtr="0" r1="D21" ca="1"/>
        <v>5582.0043388370259</v>
      </c>
      <c r="D181" s="46"/>
    </row>
    <row r="182" spans="2:7">
      <c r="B182" s="90">
        <v>0.25</v>
      </c>
      <c r="C182" s="22">
        <v>5277.130893100968</v>
      </c>
      <c r="D182" s="46"/>
    </row>
    <row r="183" spans="2:7">
      <c r="B183" s="90">
        <v>0.5</v>
      </c>
      <c r="C183" s="22">
        <v>4972.257447364912</v>
      </c>
      <c r="D183" s="46"/>
    </row>
    <row r="184" spans="2:7">
      <c r="B184" s="90">
        <v>0.75</v>
      </c>
      <c r="C184" s="22">
        <v>4667.3840016288568</v>
      </c>
      <c r="D184" s="46"/>
    </row>
    <row r="185" spans="2:7">
      <c r="B185" s="90">
        <v>1</v>
      </c>
      <c r="C185" s="22">
        <v>4362.510555892798</v>
      </c>
      <c r="D185" s="46"/>
    </row>
    <row r="186" spans="2:7">
      <c r="B186" s="90"/>
      <c r="C186" s="22"/>
      <c r="D186" s="46"/>
      <c r="G186" t="s">
        <v>122</v>
      </c>
    </row>
    <row r="187" spans="2:7">
      <c r="B187" s="21" t="s">
        <v>244</v>
      </c>
      <c r="C187" s="22">
        <f>Parameters_Results!$C$34</f>
        <v>4362.510555892798</v>
      </c>
      <c r="D187" s="46">
        <f>ABS(C188-C192)</f>
        <v>1065.3263575848205</v>
      </c>
    </row>
    <row r="188" spans="2:7">
      <c r="B188" s="90">
        <v>0</v>
      </c>
      <c r="C188" s="22">
        <f t="dataTable" ref="C188:C192" dt2D="0" dtr="0" r1="D22" ca="1"/>
        <v>5427.8369134776185</v>
      </c>
      <c r="D188" s="46"/>
      <c r="G188" t="s">
        <v>122</v>
      </c>
    </row>
    <row r="189" spans="2:7">
      <c r="B189" s="90">
        <v>0.25</v>
      </c>
      <c r="C189" s="22">
        <v>5275.6474338226462</v>
      </c>
      <c r="D189" s="46"/>
    </row>
    <row r="190" spans="2:7">
      <c r="B190" s="90">
        <v>0.5</v>
      </c>
      <c r="C190" s="22">
        <v>5072.7281276160138</v>
      </c>
      <c r="D190" s="46"/>
    </row>
    <row r="191" spans="2:7">
      <c r="B191" s="90">
        <v>0.75</v>
      </c>
      <c r="C191" s="22">
        <v>4788.6410989267297</v>
      </c>
      <c r="D191" s="46"/>
    </row>
    <row r="192" spans="2:7">
      <c r="B192" s="90">
        <v>1</v>
      </c>
      <c r="C192" s="22">
        <v>4362.510555892798</v>
      </c>
      <c r="D192" s="46"/>
    </row>
    <row r="193" spans="2:8">
      <c r="B193" s="90"/>
      <c r="C193" s="22"/>
      <c r="D193" s="46"/>
    </row>
    <row r="194" spans="2:8">
      <c r="B194" s="21" t="s">
        <v>245</v>
      </c>
      <c r="C194" s="22">
        <f>$C$34</f>
        <v>4362.510555892798</v>
      </c>
      <c r="D194" s="46">
        <f>ABS(C195-C199)</f>
        <v>1230.265384742097</v>
      </c>
    </row>
    <row r="195" spans="2:8">
      <c r="B195" s="90">
        <v>0</v>
      </c>
      <c r="C195" s="22">
        <f t="dataTable" ref="C195:C199" dt2D="0" dtr="0" r1="D23" ca="1"/>
        <v>5592.7759406348951</v>
      </c>
      <c r="D195" s="46"/>
    </row>
    <row r="196" spans="2:8">
      <c r="B196" s="90">
        <v>0.25</v>
      </c>
      <c r="C196" s="22">
        <v>5285.2095944493703</v>
      </c>
      <c r="D196" s="46"/>
      <c r="H196" t="s">
        <v>122</v>
      </c>
    </row>
    <row r="197" spans="2:8">
      <c r="B197" s="90">
        <v>0.5</v>
      </c>
      <c r="C197" s="22">
        <v>4977.643248263842</v>
      </c>
      <c r="D197" s="46"/>
    </row>
    <row r="198" spans="2:8">
      <c r="B198" s="90">
        <v>0.75</v>
      </c>
      <c r="C198" s="22">
        <v>4670.0769020783237</v>
      </c>
      <c r="D198" s="46"/>
    </row>
    <row r="199" spans="2:8">
      <c r="B199" s="90">
        <v>1</v>
      </c>
      <c r="C199" s="22">
        <v>4362.510555892798</v>
      </c>
      <c r="D199" s="46"/>
    </row>
    <row r="200" spans="2:8">
      <c r="B200" s="90"/>
      <c r="C200" s="22"/>
      <c r="D200" s="46"/>
    </row>
    <row r="201" spans="2:8">
      <c r="B201" s="21" t="s">
        <v>246</v>
      </c>
      <c r="C201" s="22">
        <f>$C$34</f>
        <v>4362.510555892798</v>
      </c>
      <c r="D201" s="46">
        <f>ABS(C202-C206)</f>
        <v>1341.5005901226041</v>
      </c>
    </row>
    <row r="202" spans="2:8">
      <c r="B202" s="90">
        <v>0</v>
      </c>
      <c r="C202" s="22">
        <f t="dataTable" ref="C202:C206" dt2D="0" dtr="0" r1="D24" ca="1"/>
        <v>5704.0111460154021</v>
      </c>
      <c r="D202" s="46"/>
    </row>
    <row r="203" spans="2:8">
      <c r="B203" s="90">
        <v>0.25</v>
      </c>
      <c r="C203" s="22">
        <v>5512.368204569314</v>
      </c>
      <c r="D203" s="46"/>
    </row>
    <row r="204" spans="2:8">
      <c r="B204" s="90">
        <v>0.5</v>
      </c>
      <c r="C204" s="22">
        <v>5256.8442826411992</v>
      </c>
      <c r="D204" s="46"/>
      <c r="E204" t="s">
        <v>122</v>
      </c>
    </row>
    <row r="205" spans="2:8">
      <c r="B205" s="90">
        <v>0.75</v>
      </c>
      <c r="C205" s="22">
        <v>4899.1107919418391</v>
      </c>
      <c r="D205" s="46"/>
    </row>
    <row r="206" spans="2:8">
      <c r="B206" s="90">
        <v>1</v>
      </c>
      <c r="C206" s="22">
        <v>4362.510555892798</v>
      </c>
      <c r="D206" s="46"/>
      <c r="F206" t="s">
        <v>249</v>
      </c>
    </row>
    <row r="207" spans="2:8">
      <c r="B207" s="90"/>
      <c r="C207" s="22"/>
      <c r="D207" s="46"/>
    </row>
    <row r="208" spans="2:8">
      <c r="B208" s="21" t="s">
        <v>91</v>
      </c>
      <c r="C208" s="22">
        <f>Parameters_Results!$C$34</f>
        <v>4362.510555892798</v>
      </c>
      <c r="D208" s="46">
        <f>ABS(C209-C213)</f>
        <v>4156.8344465862274</v>
      </c>
      <c r="F208" t="s">
        <v>31</v>
      </c>
      <c r="G208">
        <f>D145</f>
        <v>261.77162529444286</v>
      </c>
    </row>
    <row r="209" spans="2:7">
      <c r="B209" s="90">
        <v>0</v>
      </c>
      <c r="C209" s="22">
        <f t="dataTable" ref="C209:C213" dt2D="0" dtr="0" r1="D15" ca="1"/>
        <v>8519.3450024790254</v>
      </c>
      <c r="D209" s="46"/>
      <c r="F209" t="s">
        <v>32</v>
      </c>
      <c r="G209">
        <f>D152</f>
        <v>0</v>
      </c>
    </row>
    <row r="210" spans="2:7">
      <c r="B210" s="90">
        <v>0.25</v>
      </c>
      <c r="C210" s="22">
        <v>7841.1614438703509</v>
      </c>
      <c r="D210" s="46"/>
      <c r="F210" t="s">
        <v>33</v>
      </c>
      <c r="G210">
        <f>D159</f>
        <v>0.98033704377121467</v>
      </c>
    </row>
    <row r="211" spans="2:7">
      <c r="B211" s="90">
        <v>0.5</v>
      </c>
      <c r="C211" s="22">
        <v>7002.5091626429667</v>
      </c>
      <c r="D211" s="46"/>
      <c r="F211" s="21" t="s">
        <v>251</v>
      </c>
      <c r="G211">
        <f>D180</f>
        <v>1219.4937829442279</v>
      </c>
    </row>
    <row r="212" spans="2:7">
      <c r="B212" s="90">
        <v>0.75</v>
      </c>
      <c r="C212" s="22">
        <v>5907.1305835090179</v>
      </c>
      <c r="D212" s="46"/>
      <c r="F212" s="21" t="s">
        <v>252</v>
      </c>
      <c r="G212">
        <f>D187</f>
        <v>1065.3263575848205</v>
      </c>
    </row>
    <row r="213" spans="2:7">
      <c r="B213" s="90">
        <v>1</v>
      </c>
      <c r="C213" s="22">
        <v>4362.510555892798</v>
      </c>
      <c r="D213" s="46"/>
      <c r="F213" s="21" t="s">
        <v>254</v>
      </c>
      <c r="G213">
        <f>D194</f>
        <v>1230.265384742097</v>
      </c>
    </row>
    <row r="214" spans="2:7">
      <c r="B214" s="21"/>
      <c r="C214" s="22"/>
      <c r="D214" s="46"/>
      <c r="F214" s="21" t="s">
        <v>255</v>
      </c>
      <c r="G214">
        <f>D201</f>
        <v>1341.5005901226041</v>
      </c>
    </row>
    <row r="215" spans="2:7">
      <c r="B215" s="21" t="s">
        <v>71</v>
      </c>
      <c r="C215" s="22">
        <f>Parameters_Results!$C$34</f>
        <v>4362.510555892798</v>
      </c>
      <c r="D215" s="46">
        <f>ABS(C216-C220)</f>
        <v>496.44978334812458</v>
      </c>
      <c r="F215" s="21" t="s">
        <v>91</v>
      </c>
      <c r="G215">
        <f>D208</f>
        <v>4156.8344465862274</v>
      </c>
    </row>
    <row r="216" spans="2:7">
      <c r="B216" s="90">
        <v>0</v>
      </c>
      <c r="C216" s="22">
        <f t="dataTable" ref="C216:C220" dt2D="0" dtr="0" r1="D27"/>
        <v>4858.9603392409226</v>
      </c>
      <c r="D216" s="46"/>
      <c r="F216" s="21" t="s">
        <v>71</v>
      </c>
      <c r="G216">
        <f>D215</f>
        <v>496.44978334812458</v>
      </c>
    </row>
    <row r="217" spans="2:7">
      <c r="B217" s="90">
        <v>0.25</v>
      </c>
      <c r="C217" s="22">
        <v>4734.8478934038922</v>
      </c>
      <c r="D217" s="46"/>
    </row>
    <row r="218" spans="2:7">
      <c r="B218" s="90">
        <v>0.5</v>
      </c>
      <c r="C218" s="22">
        <v>4610.7354475668599</v>
      </c>
      <c r="D218" s="46"/>
    </row>
    <row r="219" spans="2:7">
      <c r="B219" s="90">
        <v>0.75</v>
      </c>
      <c r="C219" s="22">
        <v>4486.6230017298312</v>
      </c>
      <c r="D219" s="46"/>
    </row>
    <row r="220" spans="2:7">
      <c r="B220" s="90">
        <v>1</v>
      </c>
      <c r="C220" s="22">
        <v>4362.510555892798</v>
      </c>
      <c r="D220" s="46"/>
    </row>
    <row r="221" spans="2:7">
      <c r="B221" s="21"/>
      <c r="C221" s="22"/>
      <c r="D221" s="46"/>
    </row>
    <row r="222" spans="2:7">
      <c r="B222" s="21" t="s">
        <v>6</v>
      </c>
      <c r="C222" s="22">
        <f>Parameters_Results!$C$34</f>
        <v>4362.510555892798</v>
      </c>
      <c r="D222" s="46">
        <f>ABS(C223-C228)</f>
        <v>11512.857142554889</v>
      </c>
    </row>
    <row r="223" spans="2:7">
      <c r="B223" s="90">
        <v>0.01</v>
      </c>
      <c r="C223" s="22">
        <f t="dataTable" ref="C223:C228" dt2D="0" dtr="0" r1="D12" ca="1"/>
        <v>12263.22089224205</v>
      </c>
      <c r="D223" s="46"/>
    </row>
    <row r="224" spans="2:7">
      <c r="B224" s="90">
        <v>0.02</v>
      </c>
      <c r="C224" s="22">
        <v>10037.901558583113</v>
      </c>
      <c r="D224" s="46"/>
    </row>
    <row r="225" spans="2:4">
      <c r="B225" s="90">
        <v>0.03</v>
      </c>
      <c r="C225" s="22">
        <v>8201.9899285060364</v>
      </c>
      <c r="D225" s="46"/>
    </row>
    <row r="226" spans="2:4">
      <c r="B226" s="90">
        <v>0.06</v>
      </c>
      <c r="C226" s="22">
        <v>4362.510555892798</v>
      </c>
      <c r="D226" s="46"/>
    </row>
    <row r="227" spans="2:4">
      <c r="B227" s="90">
        <v>0.08</v>
      </c>
      <c r="C227" s="22">
        <v>2736.8469367894913</v>
      </c>
      <c r="D227" s="46"/>
    </row>
    <row r="228" spans="2:4" ht="15" thickBot="1">
      <c r="B228" s="92">
        <v>0.12</v>
      </c>
      <c r="C228" s="34">
        <v>750.36374968716154</v>
      </c>
      <c r="D228" s="71"/>
    </row>
  </sheetData>
  <scenarios current="0" show="0" sqref="D15:D19">
    <scenario name="Sens Ana" count="1" user="Daniela Zingler" comment="Created by Stephane Hallegatte on 11/29/2019_x000a_Modified by Daniela Zingler on 12/12/2019">
      <inputCells r="D15" val="0.5, 0.7" numFmtId="9"/>
    </scenario>
  </scenarios>
  <mergeCells count="18">
    <mergeCell ref="D128:N128"/>
    <mergeCell ref="B130:B140"/>
    <mergeCell ref="B67:B69"/>
    <mergeCell ref="B70:B72"/>
    <mergeCell ref="B73:B75"/>
    <mergeCell ref="B81:G81"/>
    <mergeCell ref="B86:G86"/>
    <mergeCell ref="B91:G91"/>
    <mergeCell ref="B96:G96"/>
    <mergeCell ref="H26:I26"/>
    <mergeCell ref="J26:K26"/>
    <mergeCell ref="F28:F29"/>
    <mergeCell ref="B6:F6"/>
    <mergeCell ref="B115:B125"/>
    <mergeCell ref="D113:N113"/>
    <mergeCell ref="F9:L18"/>
    <mergeCell ref="F25:G27"/>
    <mergeCell ref="H25:K25"/>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39997558519241921"/>
  </sheetPr>
  <dimension ref="B2:AC48"/>
  <sheetViews>
    <sheetView topLeftCell="B1" zoomScale="110" zoomScaleNormal="110" zoomScalePageLayoutView="110" workbookViewId="0">
      <selection activeCell="B2" sqref="B2:E2"/>
    </sheetView>
  </sheetViews>
  <sheetFormatPr defaultColWidth="8.81640625" defaultRowHeight="14.5"/>
  <cols>
    <col min="1" max="1" width="4.36328125" customWidth="1"/>
    <col min="2" max="3" width="31.6328125" customWidth="1"/>
    <col min="4" max="4" width="12.36328125" bestFit="1" customWidth="1"/>
  </cols>
  <sheetData>
    <row r="2" spans="2:29" ht="23.5">
      <c r="B2" s="325" t="s">
        <v>120</v>
      </c>
      <c r="C2" s="325"/>
      <c r="D2" s="325"/>
      <c r="E2" s="325"/>
    </row>
    <row r="3" spans="2:29">
      <c r="B3" s="62" t="s">
        <v>81</v>
      </c>
    </row>
    <row r="4" spans="2:29">
      <c r="B4" s="41"/>
    </row>
    <row r="5" spans="2:29">
      <c r="B5" s="42" t="s">
        <v>64</v>
      </c>
    </row>
    <row r="6" spans="2:29" ht="15" thickBot="1">
      <c r="D6">
        <v>-1</v>
      </c>
      <c r="E6">
        <v>1.05</v>
      </c>
      <c r="I6" t="s">
        <v>122</v>
      </c>
    </row>
    <row r="7" spans="2:29">
      <c r="B7" s="136" t="s">
        <v>72</v>
      </c>
      <c r="C7" s="137"/>
      <c r="D7" s="19"/>
      <c r="E7" s="19"/>
      <c r="F7" s="19"/>
      <c r="G7" s="19"/>
      <c r="H7" s="19"/>
      <c r="I7" s="19"/>
      <c r="J7" s="19"/>
      <c r="K7" s="19"/>
      <c r="L7" s="19"/>
      <c r="M7" s="19"/>
      <c r="N7" s="19"/>
      <c r="O7" s="19"/>
      <c r="P7" s="19"/>
      <c r="Q7" s="19"/>
      <c r="R7" s="19"/>
      <c r="S7" s="19"/>
      <c r="T7" s="19"/>
      <c r="U7" s="19"/>
      <c r="V7" s="19"/>
      <c r="W7" s="19"/>
      <c r="X7" s="19"/>
      <c r="Y7" s="19"/>
      <c r="Z7" s="19"/>
      <c r="AA7" s="19"/>
      <c r="AB7" s="19"/>
      <c r="AC7" s="19"/>
    </row>
    <row r="8" spans="2:29">
      <c r="B8" s="21"/>
      <c r="C8" s="22"/>
      <c r="D8" s="22">
        <v>-1</v>
      </c>
      <c r="E8" s="22"/>
      <c r="F8" s="22" t="s">
        <v>122</v>
      </c>
      <c r="G8" s="22"/>
      <c r="H8" s="22"/>
      <c r="I8" s="22"/>
      <c r="J8" s="22"/>
      <c r="K8" s="22"/>
      <c r="L8" s="22"/>
      <c r="M8" s="22"/>
      <c r="N8" s="22"/>
      <c r="O8" s="22"/>
      <c r="P8" s="22"/>
      <c r="Q8" s="22"/>
      <c r="R8" s="22"/>
      <c r="S8" s="22"/>
      <c r="T8" s="22"/>
      <c r="U8" s="22"/>
      <c r="V8" s="22"/>
      <c r="W8" s="22"/>
      <c r="X8" s="22"/>
      <c r="Y8" s="22"/>
      <c r="Z8" s="22"/>
      <c r="AA8" s="22"/>
      <c r="AB8" s="22"/>
      <c r="AC8" s="22"/>
    </row>
    <row r="9" spans="2:29" s="12" customFormat="1">
      <c r="B9" s="68" t="s">
        <v>112</v>
      </c>
      <c r="C9" s="69"/>
      <c r="D9" s="69"/>
      <c r="E9" s="69"/>
      <c r="F9" s="69"/>
      <c r="G9" s="69"/>
      <c r="H9" s="69"/>
      <c r="I9" s="69"/>
      <c r="J9" s="69"/>
      <c r="K9" s="69"/>
      <c r="L9" s="69"/>
      <c r="M9" s="69"/>
      <c r="N9" s="69"/>
      <c r="O9" s="69"/>
      <c r="P9" s="69"/>
      <c r="Q9" s="69"/>
      <c r="R9" s="69"/>
      <c r="S9" s="69"/>
      <c r="T9" s="69"/>
      <c r="U9" s="69"/>
      <c r="V9" s="69"/>
      <c r="W9" s="69"/>
      <c r="X9" s="69"/>
      <c r="Y9" s="69"/>
      <c r="Z9" s="69"/>
      <c r="AA9" s="69"/>
      <c r="AB9" s="69"/>
      <c r="AC9" s="69"/>
    </row>
    <row r="10" spans="2:29">
      <c r="B10" s="74">
        <v>0.02</v>
      </c>
      <c r="C10" s="22"/>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row>
    <row r="11" spans="2:29">
      <c r="B11" s="21" t="s">
        <v>3</v>
      </c>
      <c r="C11" s="22"/>
      <c r="D11" s="172">
        <f>Parameters_Results!$D$10+COLUMN()-3</f>
        <v>2019</v>
      </c>
      <c r="E11" s="43">
        <f>Parameters_Results!$D$10+COLUMN()-3</f>
        <v>2020</v>
      </c>
      <c r="F11" s="43">
        <f>Parameters_Results!$D$10+COLUMN()-3</f>
        <v>2021</v>
      </c>
      <c r="G11" s="43">
        <f>Parameters_Results!$D$10+COLUMN()-3</f>
        <v>2022</v>
      </c>
      <c r="H11" s="43">
        <f>Parameters_Results!$D$10+COLUMN()-3</f>
        <v>2023</v>
      </c>
      <c r="I11" s="43">
        <f>Parameters_Results!$D$10+COLUMN()-3</f>
        <v>2024</v>
      </c>
      <c r="J11" s="43">
        <f>Parameters_Results!$D$10+COLUMN()-3</f>
        <v>2025</v>
      </c>
      <c r="K11" s="43">
        <f>Parameters_Results!$D$10+COLUMN()-3</f>
        <v>2026</v>
      </c>
      <c r="L11" s="43">
        <f>Parameters_Results!$D$10+COLUMN()-3</f>
        <v>2027</v>
      </c>
      <c r="M11" s="43">
        <f>Parameters_Results!$D$10+COLUMN()-3</f>
        <v>2028</v>
      </c>
      <c r="N11" s="43">
        <f>Parameters_Results!$D$10+COLUMN()-3</f>
        <v>2029</v>
      </c>
      <c r="O11" s="43">
        <f>Parameters_Results!$D$10+COLUMN()-3</f>
        <v>2030</v>
      </c>
      <c r="P11" s="43">
        <f>Parameters_Results!$D$10+COLUMN()-3</f>
        <v>2031</v>
      </c>
      <c r="Q11" s="43">
        <f>Parameters_Results!$D$10+COLUMN()-3</f>
        <v>2032</v>
      </c>
      <c r="R11" s="43">
        <f>Parameters_Results!$D$10+COLUMN()-3</f>
        <v>2033</v>
      </c>
      <c r="S11" s="43">
        <f>Parameters_Results!$D$10+COLUMN()-3</f>
        <v>2034</v>
      </c>
      <c r="T11" s="43">
        <f>Parameters_Results!$D$10+COLUMN()-3</f>
        <v>2035</v>
      </c>
      <c r="U11" s="43">
        <f>Parameters_Results!$D$10+COLUMN()-3</f>
        <v>2036</v>
      </c>
      <c r="V11" s="43">
        <f>Parameters_Results!$D$10+COLUMN()-3</f>
        <v>2037</v>
      </c>
      <c r="W11" s="43">
        <f>Parameters_Results!$D$10+COLUMN()-3</f>
        <v>2038</v>
      </c>
      <c r="X11" s="43">
        <f>Parameters_Results!$D$10+COLUMN()-3</f>
        <v>2039</v>
      </c>
      <c r="Y11" s="43">
        <f>Parameters_Results!$D$10+COLUMN()-3</f>
        <v>2040</v>
      </c>
      <c r="Z11" s="43">
        <f>Parameters_Results!$D$10+COLUMN()-3</f>
        <v>2041</v>
      </c>
      <c r="AA11" s="43">
        <f>Parameters_Results!$D$10+COLUMN()-3</f>
        <v>2042</v>
      </c>
      <c r="AB11" s="43">
        <f>Parameters_Results!$D$10+COLUMN()-3</f>
        <v>2043</v>
      </c>
      <c r="AC11" s="43">
        <f>Parameters_Results!$D$10+COLUMN()-3</f>
        <v>2044</v>
      </c>
    </row>
    <row r="12" spans="2:29">
      <c r="B12" s="324" t="s">
        <v>0</v>
      </c>
      <c r="C12" s="22" t="s">
        <v>25</v>
      </c>
      <c r="D12" s="84">
        <v>0</v>
      </c>
      <c r="E12" s="84">
        <v>933.08133600000008</v>
      </c>
      <c r="F12" s="84">
        <v>974.26470400000005</v>
      </c>
      <c r="G12" s="84">
        <v>1456.1167120000002</v>
      </c>
      <c r="H12" s="84"/>
      <c r="I12" s="84">
        <v>0</v>
      </c>
      <c r="J12" s="84">
        <v>0</v>
      </c>
      <c r="K12" s="84">
        <v>0</v>
      </c>
      <c r="L12" s="84">
        <v>0</v>
      </c>
      <c r="M12" s="84">
        <v>56.879999999999995</v>
      </c>
      <c r="N12" s="84">
        <v>63.000449999999994</v>
      </c>
      <c r="O12" s="84">
        <v>0</v>
      </c>
      <c r="P12" s="84">
        <v>0</v>
      </c>
      <c r="Q12" s="84">
        <v>0</v>
      </c>
      <c r="R12" s="84">
        <v>0</v>
      </c>
      <c r="S12" s="84">
        <v>56.879999999999995</v>
      </c>
      <c r="T12" s="84">
        <v>63.000449999999994</v>
      </c>
      <c r="U12" s="84">
        <v>0</v>
      </c>
      <c r="V12" s="84">
        <v>0</v>
      </c>
      <c r="W12" s="84">
        <v>0</v>
      </c>
      <c r="X12" s="84">
        <v>0</v>
      </c>
      <c r="Y12" s="84">
        <v>56.879999999999995</v>
      </c>
      <c r="Z12" s="84">
        <v>63.000449999999994</v>
      </c>
      <c r="AA12" s="84">
        <v>0</v>
      </c>
      <c r="AB12" s="84">
        <v>-748.65003200000001</v>
      </c>
      <c r="AC12" s="49">
        <v>0</v>
      </c>
    </row>
    <row r="13" spans="2:29">
      <c r="B13" s="324"/>
      <c r="C13" s="22" t="s">
        <v>190</v>
      </c>
      <c r="D13" s="49">
        <v>0.14417977000000001</v>
      </c>
      <c r="E13" s="49">
        <v>0</v>
      </c>
      <c r="F13" s="49">
        <v>0</v>
      </c>
      <c r="G13" s="49">
        <v>59.151551999999995</v>
      </c>
      <c r="H13" s="49">
        <v>50.619564999999994</v>
      </c>
      <c r="I13" s="49">
        <v>0</v>
      </c>
      <c r="J13" s="49">
        <v>0</v>
      </c>
      <c r="K13" s="49">
        <v>0</v>
      </c>
      <c r="L13" s="49">
        <v>0</v>
      </c>
      <c r="M13" s="49">
        <v>0.15310362</v>
      </c>
      <c r="N13" s="49">
        <v>7.6551809999999998E-2</v>
      </c>
      <c r="O13" s="49">
        <v>0</v>
      </c>
      <c r="P13" s="49">
        <v>0</v>
      </c>
      <c r="Q13" s="49">
        <v>0</v>
      </c>
      <c r="R13" s="49">
        <v>0</v>
      </c>
      <c r="S13" s="49">
        <v>3.7772799999999995E-2</v>
      </c>
      <c r="T13" s="49">
        <v>1.7833889999999998E-2</v>
      </c>
      <c r="U13" s="49">
        <v>0</v>
      </c>
      <c r="V13" s="49">
        <v>0</v>
      </c>
      <c r="W13" s="49">
        <v>0</v>
      </c>
      <c r="X13" s="49">
        <v>0</v>
      </c>
      <c r="Y13" s="49">
        <v>5.590701E-2</v>
      </c>
      <c r="Z13" s="49">
        <v>1.7833889999999998E-2</v>
      </c>
      <c r="AA13" s="49">
        <v>0</v>
      </c>
      <c r="AB13" s="49">
        <v>0</v>
      </c>
      <c r="AC13" s="49"/>
    </row>
    <row r="14" spans="2:29">
      <c r="B14" s="324"/>
      <c r="C14" s="22" t="s">
        <v>191</v>
      </c>
      <c r="D14" s="49">
        <v>0.14417976999999998</v>
      </c>
      <c r="E14" s="49">
        <v>0.89825962000000015</v>
      </c>
      <c r="F14" s="49">
        <v>1.79862693</v>
      </c>
      <c r="G14" s="49">
        <v>2.52030771</v>
      </c>
      <c r="H14" s="49">
        <v>2.9916176800000001</v>
      </c>
      <c r="I14" s="49">
        <v>3.1691729299999998</v>
      </c>
      <c r="J14" s="49">
        <v>3.3006500600000002</v>
      </c>
      <c r="K14" s="49">
        <v>3.43831336</v>
      </c>
      <c r="L14" s="49">
        <v>3.5829906699999996</v>
      </c>
      <c r="M14" s="49">
        <v>3.7350721400000002</v>
      </c>
      <c r="N14" s="49">
        <v>3.8948851699999998</v>
      </c>
      <c r="O14" s="49">
        <v>4.0627426699999996</v>
      </c>
      <c r="P14" s="49">
        <v>4.1919373800000006</v>
      </c>
      <c r="Q14" s="49">
        <v>4.2931481500000013</v>
      </c>
      <c r="R14" s="49">
        <v>4.3975445999999998</v>
      </c>
      <c r="S14" s="49">
        <v>4.5078150299999997</v>
      </c>
      <c r="T14" s="49">
        <v>4.6286310000000004</v>
      </c>
      <c r="U14" s="49">
        <v>4.7617586999999997</v>
      </c>
      <c r="V14" s="49">
        <v>4.9055741599999996</v>
      </c>
      <c r="W14" s="49">
        <v>5.05786625</v>
      </c>
      <c r="X14" s="49">
        <v>5.2184691399999998</v>
      </c>
      <c r="Y14" s="49">
        <v>5.3877134399999989</v>
      </c>
      <c r="Z14" s="49">
        <v>5.5660371599999996</v>
      </c>
      <c r="AA14" s="49">
        <v>5.7539219799999985</v>
      </c>
      <c r="AB14" s="49">
        <v>5.9518778200000009</v>
      </c>
      <c r="AC14" s="49"/>
    </row>
    <row r="15" spans="2:29">
      <c r="B15" s="324" t="s">
        <v>1</v>
      </c>
      <c r="C15" s="22" t="s">
        <v>188</v>
      </c>
      <c r="D15" s="49">
        <v>-4812.6769661812723</v>
      </c>
      <c r="E15" s="49">
        <v>-5084.3337385832438</v>
      </c>
      <c r="F15" s="49">
        <v>-5355.3384280050832</v>
      </c>
      <c r="G15" s="49">
        <v>-5703.8607742947988</v>
      </c>
      <c r="H15" s="49">
        <v>-5705.4901251743613</v>
      </c>
      <c r="I15" s="49">
        <v>-5663.7252160190983</v>
      </c>
      <c r="J15" s="49">
        <v>-5981.7856957704353</v>
      </c>
      <c r="K15" s="49">
        <v>-6327.7309395449884</v>
      </c>
      <c r="L15" s="49">
        <v>-7389.7455345817061</v>
      </c>
      <c r="M15" s="49">
        <v>-7821.9257577450117</v>
      </c>
      <c r="N15" s="49">
        <v>-8249.5771394634976</v>
      </c>
      <c r="O15" s="49">
        <v>-8700.0565985113553</v>
      </c>
      <c r="P15" s="49">
        <v>-9179.3778106358623</v>
      </c>
      <c r="Q15" s="49">
        <v>-9697.0593244885567</v>
      </c>
      <c r="R15" s="49">
        <v>-10250.926160580213</v>
      </c>
      <c r="S15" s="49">
        <v>-10856.02662722177</v>
      </c>
      <c r="T15" s="49">
        <v>-11519.962858953229</v>
      </c>
      <c r="U15" s="49">
        <v>-12231.389819629669</v>
      </c>
      <c r="V15" s="49">
        <v>-13004.663699846136</v>
      </c>
      <c r="W15" s="49">
        <v>-13874.045323059003</v>
      </c>
      <c r="X15" s="49">
        <v>-14815.760586733337</v>
      </c>
      <c r="Y15" s="49">
        <v>-15829.457192492173</v>
      </c>
      <c r="Z15" s="49">
        <v>-16931.29741971425</v>
      </c>
      <c r="AA15" s="49">
        <v>-18037.805983799484</v>
      </c>
      <c r="AB15" s="49">
        <v>-19287.443373028149</v>
      </c>
      <c r="AC15" s="49"/>
    </row>
    <row r="16" spans="2:29">
      <c r="B16" s="324"/>
      <c r="C16" s="22" t="s">
        <v>189</v>
      </c>
      <c r="D16" s="49">
        <v>-4812.6769661812723</v>
      </c>
      <c r="E16" s="49">
        <v>-5085.2319982032441</v>
      </c>
      <c r="F16" s="49">
        <v>-5398.2858618226692</v>
      </c>
      <c r="G16" s="49">
        <v>-5785.2502104073137</v>
      </c>
      <c r="H16" s="49">
        <v>-6292.3865886217809</v>
      </c>
      <c r="I16" s="49">
        <v>-6781.2327584022951</v>
      </c>
      <c r="J16" s="49">
        <v>-7214.5215412668949</v>
      </c>
      <c r="K16" s="49">
        <v>-7705.7698839771856</v>
      </c>
      <c r="L16" s="49">
        <v>-8363.8710452971827</v>
      </c>
      <c r="M16" s="49">
        <v>-8954.5207165289758</v>
      </c>
      <c r="N16" s="49">
        <v>-9492.9395224298969</v>
      </c>
      <c r="O16" s="49">
        <v>-10042.440358974098</v>
      </c>
      <c r="P16" s="49">
        <v>-10616.863364720431</v>
      </c>
      <c r="Q16" s="49">
        <v>-11226.975852825552</v>
      </c>
      <c r="R16" s="49">
        <v>-11880.51458846523</v>
      </c>
      <c r="S16" s="49">
        <v>-12584.541103657401</v>
      </c>
      <c r="T16" s="49">
        <v>-13342.524044006455</v>
      </c>
      <c r="U16" s="49">
        <v>-14145.402493854901</v>
      </c>
      <c r="V16" s="49">
        <v>-14996.87476628502</v>
      </c>
      <c r="W16" s="49">
        <v>-15933.823295341019</v>
      </c>
      <c r="X16" s="49">
        <v>-16956.783869891809</v>
      </c>
      <c r="Y16" s="49">
        <v>-18088.345369379938</v>
      </c>
      <c r="Z16" s="49">
        <v>-19373.334769080251</v>
      </c>
      <c r="AA16" s="49">
        <v>-20776.512972569675</v>
      </c>
      <c r="AB16" s="49">
        <v>-22380.734694204395</v>
      </c>
      <c r="AC16" s="49"/>
    </row>
    <row r="17" spans="2:29">
      <c r="B17" s="324"/>
      <c r="C17" s="22"/>
      <c r="D17" s="49"/>
      <c r="E17" s="49"/>
      <c r="F17" s="49"/>
      <c r="G17" s="49"/>
      <c r="H17" s="49"/>
      <c r="I17" s="49"/>
      <c r="J17" s="49"/>
      <c r="K17" s="49"/>
      <c r="L17" s="49"/>
      <c r="M17" s="49"/>
      <c r="N17" s="49"/>
      <c r="O17" s="49"/>
      <c r="P17" s="49"/>
      <c r="Q17" s="49"/>
      <c r="R17" s="49"/>
      <c r="S17" s="49"/>
      <c r="T17" s="49"/>
      <c r="U17" s="49"/>
      <c r="V17" s="49"/>
      <c r="W17" s="49"/>
      <c r="X17" s="49"/>
      <c r="Y17" s="49"/>
      <c r="Z17" s="49"/>
      <c r="AA17" s="49"/>
      <c r="AB17" s="49"/>
      <c r="AC17" s="49"/>
    </row>
    <row r="18" spans="2:29" ht="15" customHeight="1">
      <c r="B18" s="21"/>
      <c r="C18" s="22"/>
      <c r="D18" s="22"/>
      <c r="E18" s="22"/>
      <c r="F18" s="22"/>
      <c r="G18" s="22"/>
      <c r="H18" s="22"/>
      <c r="I18" s="22"/>
      <c r="J18" s="22"/>
      <c r="K18" s="22"/>
      <c r="L18" s="22"/>
      <c r="M18" s="22"/>
      <c r="N18" s="22"/>
      <c r="O18" s="22"/>
      <c r="P18" s="22"/>
      <c r="Q18" s="22"/>
      <c r="R18" s="22"/>
      <c r="S18" s="22"/>
      <c r="T18" s="22"/>
      <c r="U18" s="22"/>
      <c r="V18" s="22"/>
      <c r="W18" s="22"/>
      <c r="X18" s="22"/>
      <c r="Y18" s="22"/>
      <c r="Z18" s="22"/>
      <c r="AA18" s="22"/>
      <c r="AB18" s="22"/>
      <c r="AC18" s="22"/>
    </row>
    <row r="19" spans="2:29">
      <c r="B19" s="142" t="s">
        <v>76</v>
      </c>
      <c r="C19" s="143"/>
      <c r="D19" s="144"/>
      <c r="E19" s="75"/>
      <c r="F19" s="75"/>
      <c r="G19" s="75"/>
      <c r="H19" s="75"/>
      <c r="I19" s="75"/>
      <c r="J19" s="75"/>
      <c r="K19" s="75"/>
      <c r="L19" s="75"/>
      <c r="M19" s="75"/>
      <c r="N19" s="75"/>
      <c r="O19" s="75"/>
      <c r="P19" s="75"/>
      <c r="Q19" s="75"/>
      <c r="R19" s="75"/>
      <c r="S19" s="75"/>
      <c r="T19" s="75"/>
      <c r="U19" s="75"/>
      <c r="V19" s="75"/>
      <c r="W19" s="75"/>
      <c r="X19" s="75"/>
      <c r="Y19" s="75"/>
      <c r="Z19" s="75"/>
      <c r="AA19" s="75"/>
      <c r="AB19" s="75"/>
      <c r="AC19" s="75"/>
    </row>
    <row r="20" spans="2:29">
      <c r="B20" s="21" t="s">
        <v>80</v>
      </c>
      <c r="C20" s="22"/>
      <c r="D20" s="22">
        <f>(D12+D13-D14)/(1+Parameters_Results!$D$12)^('Baseline scenario'!D$11-'Baseline scenario'!$D$11)</f>
        <v>2.7755575615628914E-17</v>
      </c>
      <c r="E20" s="22">
        <f>(E12+E13-E14)/(1+Parameters_Results!$D$12)^('Baseline scenario'!E$11-'Baseline scenario'!$D$11)</f>
        <v>879.41799658490572</v>
      </c>
      <c r="F20" s="22">
        <f>(F12+F13-F14)/(1+Parameters_Results!$D$12)^('Baseline scenario'!F$11-'Baseline scenario'!$D$11)</f>
        <v>865.49134662691347</v>
      </c>
      <c r="G20" s="22">
        <f>(G12+G13-G14)/(1+Parameters_Results!$D$12)^('Baseline scenario'!G$11-'Baseline scenario'!$D$11)</f>
        <v>1270.1323544687896</v>
      </c>
      <c r="H20" s="22">
        <f>(H12+H13-H14)/(1+Parameters_Results!$D$12)^('Baseline scenario'!H$11-'Baseline scenario'!$D$11)</f>
        <v>37.725795265206251</v>
      </c>
      <c r="I20" s="22">
        <f>(I12+I13-I14)/(1+Parameters_Results!$D$12)^('Baseline scenario'!I$11-'Baseline scenario'!$D$11)</f>
        <v>-2.368190373168368</v>
      </c>
      <c r="J20" s="22">
        <f>(J12+J13-J14)/(1+Parameters_Results!$D$12)^('Baseline scenario'!J$11-'Baseline scenario'!$D$11)</f>
        <v>-2.3268280500998499</v>
      </c>
      <c r="K20" s="22">
        <f>(K12+K13-K14)/(1+Parameters_Results!$D$12)^('Baseline scenario'!K$11-'Baseline scenario'!$D$11)</f>
        <v>-2.2866747589307161</v>
      </c>
      <c r="L20" s="22">
        <f>(L12+L13-L14)/(1+Parameters_Results!$D$12)^('Baseline scenario'!L$11-'Baseline scenario'!$D$11)</f>
        <v>-2.2480126727603396</v>
      </c>
      <c r="M20" s="22">
        <f>(M12+M13-M14)/(1+Parameters_Results!$D$12)^('Baseline scenario'!M$11-'Baseline scenario'!$D$11)</f>
        <v>31.547022942186903</v>
      </c>
      <c r="N20" s="22">
        <f>(N12+N13-N14)/(1+Parameters_Results!$D$12)^('Baseline scenario'!N$11-'Baseline scenario'!$D$11)</f>
        <v>33.046984818557277</v>
      </c>
      <c r="O20" s="22">
        <f>(O12+O13-O14)/(1+Parameters_Results!$D$12)^('Baseline scenario'!O$11-'Baseline scenario'!$D$11)</f>
        <v>-2.140202157432245</v>
      </c>
      <c r="P20" s="22">
        <f>(P12+P13-P14)/(1+Parameters_Results!$D$12)^('Baseline scenario'!P$11-'Baseline scenario'!$D$11)</f>
        <v>-2.0832644518932391</v>
      </c>
      <c r="Q20" s="22">
        <f>(Q12+Q13-Q14)/(1+Parameters_Results!$D$12)^('Baseline scenario'!Q$11-'Baseline scenario'!$D$11)</f>
        <v>-2.0127953809879977</v>
      </c>
      <c r="R20" s="22">
        <f>(R12+R13-R14)/(1+Parameters_Results!$D$12)^('Baseline scenario'!R$11-'Baseline scenario'!$D$11)</f>
        <v>-1.9450382174826228</v>
      </c>
      <c r="S20" s="22">
        <f>(S12+S13-S14)/(1+Parameters_Results!$D$12)^('Baseline scenario'!S$11-'Baseline scenario'!$D$11)</f>
        <v>21.868844212046152</v>
      </c>
      <c r="T20" s="22">
        <f>(T12+T13-T14)/(1+Parameters_Results!$D$12)^('Baseline scenario'!T$11-'Baseline scenario'!$D$11)</f>
        <v>22.984869867427332</v>
      </c>
      <c r="U20" s="22">
        <f>(U12+U13-U14)/(1+Parameters_Results!$D$12)^('Baseline scenario'!U$11-'Baseline scenario'!$D$11)</f>
        <v>-1.7683477511244996</v>
      </c>
      <c r="V20" s="22">
        <f>(V12+V13-V14)/(1+Parameters_Results!$D$12)^('Baseline scenario'!V$11-'Baseline scenario'!$D$11)</f>
        <v>-1.7186374488798619</v>
      </c>
      <c r="W20" s="22">
        <f>(W12+W13-W14)/(1+Parameters_Results!$D$12)^('Baseline scenario'!W$11-'Baseline scenario'!$D$11)</f>
        <v>-1.6716906009900487</v>
      </c>
      <c r="X20" s="22">
        <f>(X12+X13-X14)/(1+Parameters_Results!$D$12)^('Baseline scenario'!X$11-'Baseline scenario'!$D$11)</f>
        <v>-1.627143344961159</v>
      </c>
      <c r="Y20" s="22">
        <f>(Y12+Y13-Y14)/(1+Parameters_Results!$D$12)^('Baseline scenario'!Y$11-'Baseline scenario'!$D$11)</f>
        <v>15.163179639212123</v>
      </c>
      <c r="Z20" s="22">
        <f>(Z12+Z13-Z14)/(1+Parameters_Results!$D$12)^('Baseline scenario'!Z$11-'Baseline scenario'!$D$11)</f>
        <v>15.943291296404032</v>
      </c>
      <c r="AA20" s="22">
        <f>(AA12+AA13-AA14)/(1+Parameters_Results!$D$12)^('Baseline scenario'!AA$11-'Baseline scenario'!$D$11)</f>
        <v>-1.5063610157191307</v>
      </c>
      <c r="AB20" s="22">
        <f>(AB12+AB13-AB14)/(1+Parameters_Results!$D$12)^('Baseline scenario'!AB$11-'Baseline scenario'!$D$11)</f>
        <v>-186.3704842575049</v>
      </c>
      <c r="AC20" s="22">
        <f>SUM(AC12:AC14)/(1+Parameters_Results!$D$12)^('Baseline scenario'!AC$11-'Baseline scenario'!$D$11)</f>
        <v>0</v>
      </c>
    </row>
    <row r="21" spans="2:29">
      <c r="B21" s="21" t="s">
        <v>4</v>
      </c>
      <c r="C21" s="22"/>
      <c r="D21" s="22">
        <f>(D15-D16)/(1+Parameters_Results!$D$12)^('Baseline scenario'!D$11-'Baseline scenario'!$D$11)</f>
        <v>0</v>
      </c>
      <c r="E21" s="22">
        <f>(E15-E16)/(1+Parameters_Results!$D$12)^('Baseline scenario'!E$11-'Baseline scenario'!$D$11)</f>
        <v>0.84741473584935578</v>
      </c>
      <c r="F21" s="22">
        <f>(F15-F16)/(1+Parameters_Results!$D$12)^('Baseline scenario'!F$11-'Baseline scenario'!$D$11)</f>
        <v>38.223063205398702</v>
      </c>
      <c r="G21" s="22">
        <f>(G15-G16)/(1+Parameters_Results!$D$12)^('Baseline scenario'!G$11-'Baseline scenario'!$D$11)</f>
        <v>68.336139995193065</v>
      </c>
      <c r="H21" s="22">
        <f>(H15-H16)/(1+Parameters_Results!$D$12)^('Baseline scenario'!H$11-'Baseline scenario'!$D$11)</f>
        <v>464.87696967350553</v>
      </c>
      <c r="I21" s="22">
        <f>(I15-I16)/(1+Parameters_Results!$D$12)^('Baseline scenario'!I$11-'Baseline scenario'!$D$11)</f>
        <v>835.0666442853053</v>
      </c>
      <c r="J21" s="22">
        <f>(J15-J16)/(1+Parameters_Results!$D$12)^('Baseline scenario'!J$11-'Baseline scenario'!$D$11)</f>
        <v>869.03012786054546</v>
      </c>
      <c r="K21" s="22">
        <f>(K15-K16)/(1+Parameters_Results!$D$12)^('Baseline scenario'!K$11-'Baseline scenario'!$D$11)</f>
        <v>916.47460284324779</v>
      </c>
      <c r="L21" s="22">
        <f>(L15-L16)/(1+Parameters_Results!$D$12)^('Baseline scenario'!L$11-'Baseline scenario'!$D$11)</f>
        <v>611.17839666256498</v>
      </c>
      <c r="M21" s="22">
        <f>(M15-M16)/(1+Parameters_Results!$D$12)^('Baseline scenario'!M$11-'Baseline scenario'!$D$11)</f>
        <v>670.38121590608034</v>
      </c>
      <c r="N21" s="22">
        <f>(N15-N16)/(1+Parameters_Results!$D$12)^('Baseline scenario'!N$11-'Baseline scenario'!$D$11)</f>
        <v>694.2870604611719</v>
      </c>
      <c r="O21" s="22">
        <f>(O15-O16)/(1+Parameters_Results!$D$12)^('Baseline scenario'!O$11-'Baseline scenario'!$D$11)</f>
        <v>707.15101930006597</v>
      </c>
      <c r="P21" s="22">
        <f>(P15-P16)/(1+Parameters_Results!$D$12)^('Baseline scenario'!P$11-'Baseline scenario'!$D$11)</f>
        <v>714.38628096454033</v>
      </c>
      <c r="Q21" s="22">
        <f>(Q15-Q16)/(1+Parameters_Results!$D$12)^('Baseline scenario'!Q$11-'Baseline scenario'!$D$11)</f>
        <v>717.28456925808518</v>
      </c>
      <c r="R21" s="22">
        <f>(R15-R16)/(1+Parameters_Results!$D$12)^('Baseline scenario'!R$11-'Baseline scenario'!$D$11)</f>
        <v>720.76853319549809</v>
      </c>
      <c r="S21" s="22">
        <f>(S15-S16)/(1+Parameters_Results!$D$12)^('Baseline scenario'!S$11-'Baseline scenario'!$D$11)</f>
        <v>721.2486979921739</v>
      </c>
      <c r="T21" s="22">
        <f>(T15-T16)/(1+Parameters_Results!$D$12)^('Baseline scenario'!T$11-'Baseline scenario'!$D$11)</f>
        <v>717.44443733535184</v>
      </c>
      <c r="U21" s="22">
        <f>(U15-U16)/(1+Parameters_Results!$D$12)^('Baseline scenario'!U$11-'Baseline scenario'!$D$11)</f>
        <v>710.79620395085942</v>
      </c>
      <c r="V21" s="22">
        <f>(V15-V16)/(1+Parameters_Results!$D$12)^('Baseline scenario'!V$11-'Baseline scenario'!$D$11)</f>
        <v>697.95877774575365</v>
      </c>
      <c r="W21" s="22">
        <f>(W15-W16)/(1+Parameters_Results!$D$12)^('Baseline scenario'!W$11-'Baseline scenario'!$D$11)</f>
        <v>680.78341857896839</v>
      </c>
      <c r="X21" s="22">
        <f>(X15-X16)/(1+Parameters_Results!$D$12)^('Baseline scenario'!X$11-'Baseline scenario'!$D$11)</f>
        <v>667.58118006197503</v>
      </c>
      <c r="Y21" s="22">
        <f>(Y15-Y16)/(1+Parameters_Results!$D$12)^('Baseline scenario'!Y$11-'Baseline scenario'!$D$11)</f>
        <v>664.46416137801361</v>
      </c>
      <c r="Z21" s="22">
        <f>(Z15-Z16)/(1+Parameters_Results!$D$12)^('Baseline scenario'!Z$11-'Baseline scenario'!$D$11)</f>
        <v>677.67781128932256</v>
      </c>
      <c r="AA21" s="22">
        <f>(AA15-AA16)/(1+Parameters_Results!$D$12)^('Baseline scenario'!AA$11-'Baseline scenario'!$D$11)</f>
        <v>716.98598898293505</v>
      </c>
      <c r="AB21" s="22">
        <f>(AB15-AB16)/(1+Parameters_Results!$D$12)^('Baseline scenario'!AB$11-'Baseline scenario'!$D$11)</f>
        <v>763.97660007866909</v>
      </c>
      <c r="AC21" s="22">
        <f>SUM(AC15:AC17)/(1+Parameters_Results!$D$12)^('Baseline scenario'!AC$11-'Baseline scenario'!$D$11)</f>
        <v>0</v>
      </c>
    </row>
    <row r="22" spans="2:29">
      <c r="B22" s="21"/>
      <c r="C22" s="22"/>
      <c r="D22" s="22"/>
      <c r="E22" s="22"/>
      <c r="F22" s="22"/>
      <c r="G22" s="22"/>
      <c r="H22" s="22"/>
      <c r="I22" s="22"/>
      <c r="J22" s="22"/>
      <c r="K22" s="22"/>
      <c r="L22" s="22"/>
      <c r="M22" s="22"/>
      <c r="N22" s="22"/>
      <c r="O22" s="22"/>
      <c r="P22" s="22"/>
      <c r="Q22" s="22"/>
      <c r="R22" s="22"/>
      <c r="S22" s="22"/>
      <c r="T22" s="22"/>
      <c r="U22" s="22"/>
      <c r="V22" s="22"/>
      <c r="W22" s="22"/>
      <c r="X22" s="22"/>
      <c r="Y22" s="22"/>
      <c r="Z22" s="22"/>
      <c r="AA22" s="22"/>
      <c r="AB22" s="22"/>
      <c r="AC22" s="22"/>
    </row>
    <row r="23" spans="2:29">
      <c r="B23" s="140" t="s">
        <v>74</v>
      </c>
      <c r="C23" s="55"/>
      <c r="D23" s="138">
        <f>SUM(D21:XY21)-SUM(D20:XY20)</f>
        <v>12065.96130050136</v>
      </c>
      <c r="E23" s="22"/>
      <c r="F23" s="73" t="s">
        <v>26</v>
      </c>
      <c r="G23" s="22"/>
      <c r="H23" s="43">
        <f>SUM(D20:XY20)</f>
        <v>2981.2480152397138</v>
      </c>
      <c r="I23" s="22"/>
      <c r="J23" s="22"/>
      <c r="K23" s="22"/>
      <c r="L23" s="22"/>
      <c r="M23" s="22"/>
      <c r="N23" s="22"/>
      <c r="O23" s="22"/>
      <c r="P23" s="22"/>
      <c r="Q23" s="22"/>
      <c r="R23" s="22"/>
      <c r="S23" s="22"/>
      <c r="T23" s="22"/>
      <c r="U23" s="22"/>
      <c r="V23" s="22"/>
      <c r="W23" s="22"/>
      <c r="X23" s="22"/>
      <c r="Y23" s="22"/>
      <c r="Z23" s="22"/>
      <c r="AA23" s="22"/>
      <c r="AB23" s="22"/>
      <c r="AC23" s="22"/>
    </row>
    <row r="24" spans="2:29" ht="15" thickBot="1">
      <c r="B24" s="141" t="s">
        <v>77</v>
      </c>
      <c r="C24" s="72"/>
      <c r="D24" s="263">
        <f>SUM(D21:XY21)/SUM(D20:XY20)</f>
        <v>5.0472853109911995</v>
      </c>
      <c r="E24" s="34"/>
      <c r="F24" s="34" t="s">
        <v>27</v>
      </c>
      <c r="G24" s="34"/>
      <c r="H24" s="34">
        <f>SUM(D21:XY21)</f>
        <v>15047.209315741075</v>
      </c>
      <c r="I24" s="34"/>
      <c r="J24" s="34"/>
      <c r="K24" s="34"/>
      <c r="L24" s="34"/>
      <c r="M24" s="34"/>
      <c r="N24" s="34"/>
      <c r="O24" s="34"/>
      <c r="P24" s="34"/>
      <c r="Q24" s="34"/>
      <c r="R24" s="34"/>
      <c r="S24" s="34"/>
      <c r="T24" s="34"/>
      <c r="U24" s="34"/>
      <c r="V24" s="34"/>
      <c r="W24" s="34"/>
      <c r="X24" s="34"/>
      <c r="Y24" s="34"/>
      <c r="Z24" s="34"/>
      <c r="AA24" s="34"/>
      <c r="AB24" s="34"/>
      <c r="AC24" s="34"/>
    </row>
    <row r="25" spans="2:29" ht="15" thickBot="1"/>
    <row r="26" spans="2:29">
      <c r="B26" s="136" t="s">
        <v>73</v>
      </c>
      <c r="C26" s="137"/>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row>
    <row r="27" spans="2:29">
      <c r="B27" s="21"/>
      <c r="C27" s="22"/>
      <c r="D27" s="22"/>
      <c r="E27" s="22"/>
      <c r="F27" s="22"/>
      <c r="G27" s="22"/>
      <c r="H27" s="22"/>
      <c r="I27" s="22"/>
      <c r="J27" s="22" t="s">
        <v>122</v>
      </c>
      <c r="K27" s="22"/>
      <c r="L27" s="22"/>
      <c r="M27" s="22"/>
      <c r="N27" s="22"/>
      <c r="O27" s="22"/>
      <c r="P27" s="22"/>
      <c r="Q27" s="22"/>
      <c r="R27" s="22"/>
      <c r="S27" s="22"/>
      <c r="T27" s="22"/>
      <c r="U27" s="22"/>
      <c r="V27" s="22"/>
      <c r="W27" s="22"/>
      <c r="X27" s="22"/>
      <c r="Y27" s="22"/>
      <c r="Z27" s="22"/>
      <c r="AA27" s="22"/>
      <c r="AB27" s="22"/>
      <c r="AC27" s="22"/>
    </row>
    <row r="28" spans="2:29" s="12" customFormat="1">
      <c r="B28" s="68" t="s">
        <v>113</v>
      </c>
      <c r="C28" s="69"/>
      <c r="D28" s="69"/>
      <c r="E28" s="69"/>
      <c r="F28" s="69"/>
      <c r="G28" s="69"/>
      <c r="H28" s="69"/>
      <c r="I28" s="69"/>
      <c r="J28" s="69"/>
      <c r="K28" s="69"/>
      <c r="L28" s="69"/>
      <c r="M28" s="69"/>
      <c r="N28" s="69"/>
      <c r="O28" s="69"/>
      <c r="P28" s="69"/>
      <c r="Q28" s="69"/>
      <c r="R28" s="69"/>
      <c r="S28" s="69"/>
      <c r="T28" s="69"/>
      <c r="U28" s="69"/>
      <c r="V28" s="69"/>
      <c r="W28" s="69"/>
      <c r="X28" s="69"/>
      <c r="Y28" s="69"/>
      <c r="Z28" s="69"/>
      <c r="AA28" s="69"/>
      <c r="AB28" s="69"/>
      <c r="AC28" s="69"/>
    </row>
    <row r="29" spans="2:29">
      <c r="B29" s="74">
        <v>-0.02</v>
      </c>
      <c r="C29" s="22"/>
      <c r="D29" s="22"/>
      <c r="E29" s="22"/>
      <c r="F29" s="22"/>
      <c r="G29" s="22"/>
      <c r="H29" s="22"/>
      <c r="I29" s="22"/>
      <c r="J29" s="22"/>
      <c r="K29" s="22"/>
      <c r="L29" s="22"/>
      <c r="M29" s="22"/>
      <c r="N29" s="22"/>
      <c r="O29" s="22"/>
      <c r="P29" s="22"/>
      <c r="Q29" s="22"/>
      <c r="R29" s="22"/>
      <c r="S29" s="22"/>
      <c r="T29" s="22"/>
      <c r="U29" s="22"/>
      <c r="V29" s="22"/>
      <c r="W29" s="22"/>
      <c r="X29" s="22"/>
      <c r="Y29" s="22"/>
      <c r="Z29" s="22"/>
      <c r="AA29" s="22"/>
      <c r="AB29" s="22"/>
      <c r="AC29" s="22"/>
    </row>
    <row r="30" spans="2:29">
      <c r="B30" s="21" t="s">
        <v>3</v>
      </c>
      <c r="C30" s="22"/>
      <c r="D30" s="22">
        <f>Parameters_Results!$D$10+COLUMN()-3</f>
        <v>2019</v>
      </c>
      <c r="E30" s="22">
        <f>Parameters_Results!$D$10+COLUMN()-3</f>
        <v>2020</v>
      </c>
      <c r="F30" s="22">
        <f>Parameters_Results!$D$10+COLUMN()-3</f>
        <v>2021</v>
      </c>
      <c r="G30" s="22">
        <f>Parameters_Results!$D$10+COLUMN()-3</f>
        <v>2022</v>
      </c>
      <c r="H30" s="22">
        <f>Parameters_Results!$D$10+COLUMN()-3</f>
        <v>2023</v>
      </c>
      <c r="I30" s="22">
        <f>Parameters_Results!$D$10+COLUMN()-3</f>
        <v>2024</v>
      </c>
      <c r="J30" s="22">
        <f>Parameters_Results!$D$10+COLUMN()-3</f>
        <v>2025</v>
      </c>
      <c r="K30" s="22">
        <f>Parameters_Results!$D$10+COLUMN()-3</f>
        <v>2026</v>
      </c>
      <c r="L30" s="22">
        <f>Parameters_Results!$D$10+COLUMN()-3</f>
        <v>2027</v>
      </c>
      <c r="M30" s="22">
        <f>Parameters_Results!$D$10+COLUMN()-3</f>
        <v>2028</v>
      </c>
      <c r="N30" s="22">
        <f>Parameters_Results!$D$10+COLUMN()-3</f>
        <v>2029</v>
      </c>
      <c r="O30" s="22">
        <f>Parameters_Results!$D$10+COLUMN()-3</f>
        <v>2030</v>
      </c>
      <c r="P30" s="22">
        <f>Parameters_Results!$D$10+COLUMN()-3</f>
        <v>2031</v>
      </c>
      <c r="Q30" s="22">
        <f>Parameters_Results!$D$10+COLUMN()-3</f>
        <v>2032</v>
      </c>
      <c r="R30" s="22">
        <f>Parameters_Results!$D$10+COLUMN()-3</f>
        <v>2033</v>
      </c>
      <c r="S30" s="22">
        <f>Parameters_Results!$D$10+COLUMN()-3</f>
        <v>2034</v>
      </c>
      <c r="T30" s="22">
        <f>Parameters_Results!$D$10+COLUMN()-3</f>
        <v>2035</v>
      </c>
      <c r="U30" s="22">
        <f>Parameters_Results!$D$10+COLUMN()-3</f>
        <v>2036</v>
      </c>
      <c r="V30" s="22">
        <f>Parameters_Results!$D$10+COLUMN()-3</f>
        <v>2037</v>
      </c>
      <c r="W30" s="22">
        <f>Parameters_Results!$D$10+COLUMN()-3</f>
        <v>2038</v>
      </c>
      <c r="X30" s="22">
        <f>Parameters_Results!$D$10+COLUMN()-3</f>
        <v>2039</v>
      </c>
      <c r="Y30" s="22">
        <f>Parameters_Results!$D$10+COLUMN()-3</f>
        <v>2040</v>
      </c>
      <c r="Z30" s="22">
        <f>Parameters_Results!$D$10+COLUMN()-3</f>
        <v>2041</v>
      </c>
      <c r="AA30" s="22">
        <f>Parameters_Results!$D$10+COLUMN()-3</f>
        <v>2042</v>
      </c>
      <c r="AB30" s="22">
        <f>Parameters_Results!$D$10+COLUMN()-3</f>
        <v>2043</v>
      </c>
      <c r="AC30" s="22">
        <f>Parameters_Results!$D$10+COLUMN()-3</f>
        <v>2044</v>
      </c>
    </row>
    <row r="31" spans="2:29">
      <c r="B31" s="324" t="s">
        <v>0</v>
      </c>
      <c r="C31" s="22" t="s">
        <v>25</v>
      </c>
      <c r="D31" s="84">
        <v>0</v>
      </c>
      <c r="E31" s="84">
        <v>933.08133600000008</v>
      </c>
      <c r="F31" s="84">
        <v>974.26470400000005</v>
      </c>
      <c r="G31" s="84">
        <v>1456.1167120000002</v>
      </c>
      <c r="H31" s="84">
        <v>56.879999999999995</v>
      </c>
      <c r="I31" s="84">
        <v>63.000449999999994</v>
      </c>
      <c r="J31" s="84">
        <v>0</v>
      </c>
      <c r="K31" s="84">
        <v>0</v>
      </c>
      <c r="L31" s="84">
        <v>0</v>
      </c>
      <c r="M31" s="84">
        <v>56.879999999999995</v>
      </c>
      <c r="N31" s="84">
        <v>63.000449999999994</v>
      </c>
      <c r="O31" s="84">
        <v>0</v>
      </c>
      <c r="P31" s="84">
        <v>56.879999999999995</v>
      </c>
      <c r="Q31" s="84">
        <v>63.000449999999994</v>
      </c>
      <c r="R31" s="84">
        <v>0</v>
      </c>
      <c r="S31" s="84">
        <v>56.879999999999995</v>
      </c>
      <c r="T31" s="84">
        <v>63.000449999999994</v>
      </c>
      <c r="U31" s="84">
        <v>933.08133600000008</v>
      </c>
      <c r="V31" s="84">
        <v>0</v>
      </c>
      <c r="W31" s="84">
        <v>0</v>
      </c>
      <c r="X31" s="84">
        <v>0</v>
      </c>
      <c r="Y31" s="84">
        <v>56.879999999999995</v>
      </c>
      <c r="Z31" s="84">
        <v>63.000449999999994</v>
      </c>
      <c r="AA31" s="84">
        <v>0</v>
      </c>
      <c r="AB31" s="84">
        <v>-748.65003200000001</v>
      </c>
      <c r="AC31" s="49">
        <v>0</v>
      </c>
    </row>
    <row r="32" spans="2:29">
      <c r="B32" s="324"/>
      <c r="C32" s="22" t="s">
        <v>190</v>
      </c>
      <c r="D32" s="49">
        <v>0.14417977000000001</v>
      </c>
      <c r="E32" s="49">
        <v>0</v>
      </c>
      <c r="F32" s="49">
        <v>0</v>
      </c>
      <c r="G32" s="49">
        <v>59.151551999999995</v>
      </c>
      <c r="H32" s="49">
        <v>50.619564999999994</v>
      </c>
      <c r="I32" s="49">
        <v>0</v>
      </c>
      <c r="J32" s="49">
        <v>0</v>
      </c>
      <c r="K32" s="49">
        <v>0</v>
      </c>
      <c r="L32" s="49">
        <v>0</v>
      </c>
      <c r="M32" s="49">
        <v>0.15310362</v>
      </c>
      <c r="N32" s="49">
        <v>7.6551809999999998E-2</v>
      </c>
      <c r="O32" s="49">
        <v>0</v>
      </c>
      <c r="P32" s="49">
        <v>0</v>
      </c>
      <c r="Q32" s="49">
        <v>0</v>
      </c>
      <c r="R32" s="49">
        <v>0</v>
      </c>
      <c r="S32" s="49">
        <v>3.7772799999999995E-2</v>
      </c>
      <c r="T32" s="49">
        <v>1.7833889999999998E-2</v>
      </c>
      <c r="U32" s="49">
        <v>0</v>
      </c>
      <c r="V32" s="49">
        <v>0</v>
      </c>
      <c r="W32" s="49">
        <v>0</v>
      </c>
      <c r="X32" s="49">
        <v>0</v>
      </c>
      <c r="Y32" s="49">
        <v>5.590701E-2</v>
      </c>
      <c r="Z32" s="49">
        <v>1.7833889999999998E-2</v>
      </c>
      <c r="AA32" s="49">
        <v>0</v>
      </c>
      <c r="AB32" s="49">
        <v>0</v>
      </c>
      <c r="AC32" s="49">
        <v>0</v>
      </c>
    </row>
    <row r="33" spans="2:29">
      <c r="B33" s="324"/>
      <c r="C33" s="22" t="s">
        <v>191</v>
      </c>
      <c r="D33" s="49">
        <v>0.14417976999999998</v>
      </c>
      <c r="E33" s="49">
        <v>0.89825962000000015</v>
      </c>
      <c r="F33" s="49">
        <v>1.79862693</v>
      </c>
      <c r="G33" s="49">
        <v>2.52030771</v>
      </c>
      <c r="H33" s="49">
        <v>2.9916176800000001</v>
      </c>
      <c r="I33" s="49">
        <v>3.1691729299999998</v>
      </c>
      <c r="J33" s="49">
        <v>3.3006500600000002</v>
      </c>
      <c r="K33" s="49">
        <v>3.43831336</v>
      </c>
      <c r="L33" s="49">
        <v>3.5829906699999996</v>
      </c>
      <c r="M33" s="49">
        <v>3.7350721400000002</v>
      </c>
      <c r="N33" s="49">
        <v>3.8948851699999998</v>
      </c>
      <c r="O33" s="49">
        <v>4.0627426699999996</v>
      </c>
      <c r="P33" s="49">
        <v>4.1919373800000006</v>
      </c>
      <c r="Q33" s="49">
        <v>4.2931481500000013</v>
      </c>
      <c r="R33" s="49">
        <v>4.3975445999999998</v>
      </c>
      <c r="S33" s="49">
        <v>4.5078150299999997</v>
      </c>
      <c r="T33" s="49">
        <v>4.6286310000000004</v>
      </c>
      <c r="U33" s="49">
        <v>4.7617586999999997</v>
      </c>
      <c r="V33" s="49">
        <v>4.9055741599999996</v>
      </c>
      <c r="W33" s="49">
        <v>5.05786625</v>
      </c>
      <c r="X33" s="49">
        <v>5.2184691399999998</v>
      </c>
      <c r="Y33" s="49">
        <v>5.3877134399999989</v>
      </c>
      <c r="Z33" s="49">
        <v>5.5660371599999996</v>
      </c>
      <c r="AA33" s="49">
        <v>5.7539219799999985</v>
      </c>
      <c r="AB33" s="49">
        <v>5.9518778200000009</v>
      </c>
      <c r="AC33" s="49"/>
    </row>
    <row r="34" spans="2:29">
      <c r="B34" s="324" t="s">
        <v>1</v>
      </c>
      <c r="C34" s="22" t="s">
        <v>192</v>
      </c>
      <c r="D34" s="49">
        <v>-4812.6769661812723</v>
      </c>
      <c r="E34" s="49">
        <v>-5084.3337385832438</v>
      </c>
      <c r="F34" s="49">
        <v>-5355.3384280050832</v>
      </c>
      <c r="G34" s="49">
        <v>-5703.8607742947988</v>
      </c>
      <c r="H34" s="49">
        <v>-5705.4901251743613</v>
      </c>
      <c r="I34" s="49">
        <v>-5663.7252160190983</v>
      </c>
      <c r="J34" s="49">
        <v>-5981.7856957704353</v>
      </c>
      <c r="K34" s="49">
        <v>-6327.7309395449884</v>
      </c>
      <c r="L34" s="49">
        <v>-7389.7455345817061</v>
      </c>
      <c r="M34" s="49">
        <v>-7821.9257577450117</v>
      </c>
      <c r="N34" s="49">
        <v>-8249.5771394634976</v>
      </c>
      <c r="O34" s="49">
        <v>-8700.0565985113553</v>
      </c>
      <c r="P34" s="49">
        <v>-9179.3778106358623</v>
      </c>
      <c r="Q34" s="49">
        <v>-9697.0593244885567</v>
      </c>
      <c r="R34" s="49">
        <v>-10250.926160580213</v>
      </c>
      <c r="S34" s="49">
        <v>-10856.02662722177</v>
      </c>
      <c r="T34" s="49">
        <v>-11519.962858953229</v>
      </c>
      <c r="U34" s="49">
        <v>-12231.389819629669</v>
      </c>
      <c r="V34" s="49">
        <v>-13004.663699846136</v>
      </c>
      <c r="W34" s="49">
        <v>-13874.045323059003</v>
      </c>
      <c r="X34" s="49">
        <v>-14815.760586733337</v>
      </c>
      <c r="Y34" s="49">
        <v>-15829.457192492173</v>
      </c>
      <c r="Z34" s="49">
        <v>-16931.29741971425</v>
      </c>
      <c r="AA34" s="49">
        <v>-18037.805983799484</v>
      </c>
      <c r="AB34" s="49">
        <v>-19287.443373028149</v>
      </c>
      <c r="AC34" s="49"/>
    </row>
    <row r="35" spans="2:29">
      <c r="B35" s="324"/>
      <c r="C35" s="22" t="s">
        <v>193</v>
      </c>
      <c r="D35" s="49">
        <v>-4812.6769661812723</v>
      </c>
      <c r="E35" s="49">
        <v>-5085.2319982032441</v>
      </c>
      <c r="F35" s="49">
        <v>-5398.2858618226692</v>
      </c>
      <c r="G35" s="49">
        <v>-5785.2502104073137</v>
      </c>
      <c r="H35" s="49">
        <v>-6292.3865886217809</v>
      </c>
      <c r="I35" s="49">
        <v>-6781.2327584022951</v>
      </c>
      <c r="J35" s="49">
        <v>-7214.5215412668949</v>
      </c>
      <c r="K35" s="49">
        <v>-7705.7698839771856</v>
      </c>
      <c r="L35" s="49">
        <v>-8363.8710452971827</v>
      </c>
      <c r="M35" s="49">
        <v>-8954.5207165289758</v>
      </c>
      <c r="N35" s="49">
        <v>-9492.9395224298969</v>
      </c>
      <c r="O35" s="49">
        <v>-10042.440358974098</v>
      </c>
      <c r="P35" s="49">
        <v>-10616.863364720431</v>
      </c>
      <c r="Q35" s="49">
        <v>-11226.975852825552</v>
      </c>
      <c r="R35" s="49">
        <v>-11880.51458846523</v>
      </c>
      <c r="S35" s="49">
        <v>-12584.541103657401</v>
      </c>
      <c r="T35" s="49">
        <v>-13342.524044006455</v>
      </c>
      <c r="U35" s="49">
        <v>-14145.402493854901</v>
      </c>
      <c r="V35" s="49">
        <v>-14996.87476628502</v>
      </c>
      <c r="W35" s="49">
        <v>-15933.823295341019</v>
      </c>
      <c r="X35" s="49">
        <v>-16956.783869891809</v>
      </c>
      <c r="Y35" s="49">
        <v>-18088.345369379938</v>
      </c>
      <c r="Z35" s="49">
        <v>-19373.334769080251</v>
      </c>
      <c r="AA35" s="49">
        <v>-20776.512972569675</v>
      </c>
      <c r="AB35" s="49">
        <v>-22380.734694204395</v>
      </c>
      <c r="AC35" s="49"/>
    </row>
    <row r="36" spans="2:29">
      <c r="B36" s="324"/>
      <c r="C36" s="22"/>
      <c r="D36" s="49"/>
      <c r="E36" s="49"/>
      <c r="F36" s="49"/>
      <c r="G36" s="49"/>
      <c r="H36" s="49"/>
      <c r="I36" s="49"/>
      <c r="J36" s="49"/>
      <c r="K36" s="49"/>
      <c r="L36" s="49"/>
      <c r="M36" s="49"/>
      <c r="N36" s="49"/>
      <c r="O36" s="49"/>
      <c r="P36" s="49"/>
      <c r="Q36" s="49"/>
      <c r="R36" s="49"/>
      <c r="S36" s="49"/>
      <c r="T36" s="49"/>
      <c r="U36" s="49"/>
      <c r="V36" s="49"/>
      <c r="W36" s="49"/>
      <c r="X36" s="49"/>
      <c r="Y36" s="49"/>
      <c r="Z36" s="49"/>
      <c r="AA36" s="49"/>
      <c r="AB36" s="49"/>
      <c r="AC36" s="49"/>
    </row>
    <row r="37" spans="2:29">
      <c r="B37" s="21"/>
      <c r="C37" s="22"/>
      <c r="D37" s="22"/>
      <c r="E37" s="22"/>
      <c r="F37" s="22"/>
      <c r="G37" s="22"/>
      <c r="H37" s="22"/>
      <c r="I37" s="22"/>
      <c r="J37" s="22"/>
      <c r="K37" s="22"/>
      <c r="L37" s="22"/>
      <c r="M37" s="22"/>
      <c r="N37" s="22"/>
      <c r="O37" s="22"/>
      <c r="P37" s="22"/>
      <c r="Q37" s="22"/>
      <c r="R37" s="22"/>
      <c r="S37" s="22"/>
      <c r="T37" s="22"/>
      <c r="U37" s="22"/>
      <c r="V37" s="22"/>
      <c r="W37" s="22"/>
      <c r="X37" s="22"/>
      <c r="Y37" s="22"/>
      <c r="Z37" s="22"/>
      <c r="AA37" s="22"/>
      <c r="AB37" s="22"/>
      <c r="AC37" s="22"/>
    </row>
    <row r="38" spans="2:29">
      <c r="B38" s="142" t="s">
        <v>75</v>
      </c>
      <c r="C38" s="143"/>
      <c r="D38" s="143"/>
      <c r="E38" s="43"/>
      <c r="F38" s="43"/>
      <c r="G38" s="43"/>
      <c r="H38" s="43"/>
      <c r="I38" s="43"/>
      <c r="J38" s="43"/>
      <c r="K38" s="43"/>
      <c r="L38" s="43"/>
      <c r="M38" s="43"/>
      <c r="N38" s="43"/>
      <c r="O38" s="43"/>
      <c r="P38" s="43"/>
      <c r="Q38" s="43"/>
      <c r="R38" s="43"/>
      <c r="S38" s="43"/>
      <c r="T38" s="43"/>
      <c r="U38" s="43"/>
      <c r="V38" s="43"/>
      <c r="W38" s="43"/>
      <c r="X38" s="43"/>
      <c r="Y38" s="43"/>
      <c r="Z38" s="43"/>
      <c r="AA38" s="43"/>
      <c r="AB38" s="43"/>
      <c r="AC38" s="43"/>
    </row>
    <row r="39" spans="2:29">
      <c r="B39" s="21" t="s">
        <v>80</v>
      </c>
      <c r="C39" s="22"/>
      <c r="D39" s="22">
        <f>(D31+D32-D33)/(1+Parameters_Results!$D$12)^('Baseline scenario'!D$30-'Baseline scenario'!$D$30)</f>
        <v>2.7755575615628914E-17</v>
      </c>
      <c r="E39" s="22">
        <f>SUM(E31:E33)/(1+Parameters_Results!$D$12)^('Baseline scenario'!E$30-'Baseline scenario'!$D$30)</f>
        <v>881.11282605660381</v>
      </c>
      <c r="F39" s="22">
        <f>SUM(F31:F33)/(1+Parameters_Results!$D$12)^('Baseline scenario'!F$30-'Baseline scenario'!$D$30)</f>
        <v>868.69288975614086</v>
      </c>
      <c r="G39" s="22">
        <f>SUM(G31:G33)/(1+Parameters_Results!$D$12)^('Baseline scenario'!G$30-'Baseline scenario'!$D$30)</f>
        <v>1274.3645523737716</v>
      </c>
      <c r="H39" s="22">
        <f>SUM(H31:H33)/(1+Parameters_Results!$D$12)^('Baseline scenario'!H$30-'Baseline scenario'!$D$30)</f>
        <v>87.519365644502514</v>
      </c>
      <c r="I39" s="22">
        <f>SUM(I31:I33)/(1+Parameters_Results!$D$12)^('Baseline scenario'!I$30-'Baseline scenario'!$D$30)</f>
        <v>49.44579152990773</v>
      </c>
      <c r="J39" s="22">
        <f>SUM(J31:J33)/(1+Parameters_Results!$D$12)^('Baseline scenario'!J$30-'Baseline scenario'!$D$30)</f>
        <v>2.3268280500998499</v>
      </c>
      <c r="K39" s="22">
        <f>SUM(K31:K33)/(1+Parameters_Results!$D$12)^('Baseline scenario'!K$30-'Baseline scenario'!$D$30)</f>
        <v>2.2866747589307161</v>
      </c>
      <c r="L39" s="22">
        <f>SUM(L31:L33)/(1+Parameters_Results!$D$12)^('Baseline scenario'!L$30-'Baseline scenario'!$D$30)</f>
        <v>2.2480126727603396</v>
      </c>
      <c r="M39" s="22">
        <f>SUM(M31:M33)/(1+Parameters_Results!$D$12)^('Baseline scenario'!M$30-'Baseline scenario'!$D$30)</f>
        <v>35.968589863866505</v>
      </c>
      <c r="N39" s="22">
        <f>SUM(N31:N33)/(1+Parameters_Results!$D$12)^('Baseline scenario'!N$30-'Baseline scenario'!$D$30)</f>
        <v>37.396751889781584</v>
      </c>
      <c r="O39" s="22">
        <f>SUM(O31:O33)/(1+Parameters_Results!$D$12)^('Baseline scenario'!O$30-'Baseline scenario'!$D$30)</f>
        <v>2.140202157432245</v>
      </c>
      <c r="P39" s="22">
        <f>SUM(P31:P33)/(1+Parameters_Results!$D$12)^('Baseline scenario'!P$30-'Baseline scenario'!$D$30)</f>
        <v>30.350881852153023</v>
      </c>
      <c r="Q39" s="22">
        <f>SUM(Q31:Q33)/(1+Parameters_Results!$D$12)^('Baseline scenario'!Q$30-'Baseline scenario'!$D$30)</f>
        <v>31.549864759822558</v>
      </c>
      <c r="R39" s="22">
        <f>SUM(R31:R33)/(1+Parameters_Results!$D$12)^('Baseline scenario'!R$30-'Baseline scenario'!$D$30)</f>
        <v>1.9450382174826228</v>
      </c>
      <c r="S39" s="22">
        <f>SUM(S31:S33)/(1+Parameters_Results!$D$12)^('Baseline scenario'!S$30-'Baseline scenario'!$D$30)</f>
        <v>25.630751636601218</v>
      </c>
      <c r="T39" s="22">
        <f>SUM(T31:T33)/(1+Parameters_Results!$D$12)^('Baseline scenario'!T$30-'Baseline scenario'!$D$30)</f>
        <v>26.628956651082813</v>
      </c>
      <c r="U39" s="22">
        <f>SUM(U31:U33)/(1+Parameters_Results!$D$12)^('Baseline scenario'!U$30-'Baseline scenario'!$D$30)</f>
        <v>348.281555598436</v>
      </c>
      <c r="V39" s="22">
        <f>SUM(V31:V33)/(1+Parameters_Results!$D$12)^('Baseline scenario'!V$30-'Baseline scenario'!$D$30)</f>
        <v>1.7186374488798619</v>
      </c>
      <c r="W39" s="22">
        <f>SUM(W31:W33)/(1+Parameters_Results!$D$12)^('Baseline scenario'!W$30-'Baseline scenario'!$D$30)</f>
        <v>1.6716906009900487</v>
      </c>
      <c r="X39" s="22">
        <f>SUM(X31:X33)/(1+Parameters_Results!$D$12)^('Baseline scenario'!X$30-'Baseline scenario'!$D$30)</f>
        <v>1.627143344961159</v>
      </c>
      <c r="Y39" s="22">
        <f>SUM(Y31:Y33)/(1+Parameters_Results!$D$12)^('Baseline scenario'!Y$30-'Baseline scenario'!$D$30)</f>
        <v>18.332829672607755</v>
      </c>
      <c r="Z39" s="22">
        <f>SUM(Z31:Z33)/(1+Parameters_Results!$D$12)^('Baseline scenario'!Z$30-'Baseline scenario'!$D$30)</f>
        <v>19.032498659365221</v>
      </c>
      <c r="AA39" s="22">
        <f>SUM(AA31:AA33)/(1+Parameters_Results!$D$12)^('Baseline scenario'!AA$30-'Baseline scenario'!$D$30)</f>
        <v>1.5063610157191307</v>
      </c>
      <c r="AB39" s="22">
        <f>SUM(AB31:AB33)/(1+Parameters_Results!$D$12)^('Baseline scenario'!AB$30-'Baseline scenario'!$D$30)</f>
        <v>-183.43051196981349</v>
      </c>
      <c r="AC39" s="22">
        <f>SUM(AC31:AC33)/(1+Parameters_Results!$D$12)^('Baseline scenario'!AC$30-'Baseline scenario'!$D$30)</f>
        <v>0</v>
      </c>
    </row>
    <row r="40" spans="2:29">
      <c r="B40" s="21" t="s">
        <v>4</v>
      </c>
      <c r="C40" s="22"/>
      <c r="D40" s="22">
        <f>(D34-D35)/(1+Parameters_Results!$D$12)^('Baseline scenario'!D$30-'Baseline scenario'!$D$30)</f>
        <v>0</v>
      </c>
      <c r="E40" s="22">
        <f>(E34-E35)/(1+Parameters_Results!$D$12)^('Baseline scenario'!E$30-'Baseline scenario'!$D$30)</f>
        <v>0.84741473584935578</v>
      </c>
      <c r="F40" s="22">
        <f>(F34-F35)/(1+Parameters_Results!$D$12)^('Baseline scenario'!F$30-'Baseline scenario'!$D$30)</f>
        <v>38.223063205398702</v>
      </c>
      <c r="G40" s="22">
        <f>(G34-G35)/(1+Parameters_Results!$D$12)^('Baseline scenario'!G$30-'Baseline scenario'!$D$30)</f>
        <v>68.336139995193065</v>
      </c>
      <c r="H40" s="22">
        <f>(H34-H35)/(1+Parameters_Results!$D$12)^('Baseline scenario'!H$30-'Baseline scenario'!$D$30)</f>
        <v>464.87696967350553</v>
      </c>
      <c r="I40" s="22">
        <f>(I34-I35)/(1+Parameters_Results!$D$12)^('Baseline scenario'!I$30-'Baseline scenario'!$D$30)</f>
        <v>835.0666442853053</v>
      </c>
      <c r="J40" s="22">
        <f>(J34-J35)/(1+Parameters_Results!$D$12)^('Baseline scenario'!J$30-'Baseline scenario'!$D$30)</f>
        <v>869.03012786054546</v>
      </c>
      <c r="K40" s="22">
        <f>(K34-K35)/(1+Parameters_Results!$D$12)^('Baseline scenario'!K$30-'Baseline scenario'!$D$30)</f>
        <v>916.47460284324779</v>
      </c>
      <c r="L40" s="22">
        <f>(L34-L35)/(1+Parameters_Results!$D$12)^('Baseline scenario'!L$30-'Baseline scenario'!$D$30)</f>
        <v>611.17839666256498</v>
      </c>
      <c r="M40" s="22">
        <f>(M34-M35)/(1+Parameters_Results!$D$12)^('Baseline scenario'!M$30-'Baseline scenario'!$D$30)</f>
        <v>670.38121590608034</v>
      </c>
      <c r="N40" s="22">
        <f>(N34-N35)/(1+Parameters_Results!$D$12)^('Baseline scenario'!N$30-'Baseline scenario'!$D$30)</f>
        <v>694.2870604611719</v>
      </c>
      <c r="O40" s="22">
        <f>(O34-O35)/(1+Parameters_Results!$D$12)^('Baseline scenario'!O$30-'Baseline scenario'!$D$30)</f>
        <v>707.15101930006597</v>
      </c>
      <c r="P40" s="22">
        <f>(P34-P35)/(1+Parameters_Results!$D$12)^('Baseline scenario'!P$30-'Baseline scenario'!$D$30)</f>
        <v>714.38628096454033</v>
      </c>
      <c r="Q40" s="22">
        <f>(Q34-Q35)/(1+Parameters_Results!$D$12)^('Baseline scenario'!Q$30-'Baseline scenario'!$D$30)</f>
        <v>717.28456925808518</v>
      </c>
      <c r="R40" s="22">
        <f>(R34-R35)/(1+Parameters_Results!$D$12)^('Baseline scenario'!R$30-'Baseline scenario'!$D$30)</f>
        <v>720.76853319549809</v>
      </c>
      <c r="S40" s="22">
        <f>(S34-S35)/(1+Parameters_Results!$D$12)^('Baseline scenario'!S$30-'Baseline scenario'!$D$30)</f>
        <v>721.2486979921739</v>
      </c>
      <c r="T40" s="22">
        <f>(T34-T35)/(1+Parameters_Results!$D$12)^('Baseline scenario'!T$30-'Baseline scenario'!$D$30)</f>
        <v>717.44443733535184</v>
      </c>
      <c r="U40" s="22">
        <f>(U34-U35)/(1+Parameters_Results!$D$12)^('Baseline scenario'!U$30-'Baseline scenario'!$D$30)</f>
        <v>710.79620395085942</v>
      </c>
      <c r="V40" s="22">
        <f>(V34-V35)/(1+Parameters_Results!$D$12)^('Baseline scenario'!V$30-'Baseline scenario'!$D$30)</f>
        <v>697.95877774575365</v>
      </c>
      <c r="W40" s="22">
        <f>(W34-W35)/(1+Parameters_Results!$D$12)^('Baseline scenario'!W$30-'Baseline scenario'!$D$30)</f>
        <v>680.78341857896839</v>
      </c>
      <c r="X40" s="22">
        <f>(X34-X35)/(1+Parameters_Results!$D$12)^('Baseline scenario'!X$30-'Baseline scenario'!$D$30)</f>
        <v>667.58118006197503</v>
      </c>
      <c r="Y40" s="22">
        <f>(Y34-Y35)/(1+Parameters_Results!$D$12)^('Baseline scenario'!Y$30-'Baseline scenario'!$D$30)</f>
        <v>664.46416137801361</v>
      </c>
      <c r="Z40" s="22">
        <f>(Z34-Z35)/(1+Parameters_Results!$D$12)^('Baseline scenario'!Z$30-'Baseline scenario'!$D$30)</f>
        <v>677.67781128932256</v>
      </c>
      <c r="AA40" s="22">
        <f>(AA34-AA35)/(1+Parameters_Results!$D$12)^('Baseline scenario'!AA$30-'Baseline scenario'!$D$30)</f>
        <v>716.98598898293505</v>
      </c>
      <c r="AB40" s="22">
        <f>(AB34-AB35)/(1+Parameters_Results!$D$12)^('Baseline scenario'!AB$30-'Baseline scenario'!$D$30)</f>
        <v>763.97660007866909</v>
      </c>
      <c r="AC40" s="22">
        <f>SUM(AC34:AC36)/(1+Parameters_Results!$D$12)^('Baseline scenario'!AC$30-'Baseline scenario'!$D$30)</f>
        <v>0</v>
      </c>
    </row>
    <row r="41" spans="2:29">
      <c r="B41" s="21"/>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row>
    <row r="42" spans="2:29">
      <c r="B42" s="140" t="s">
        <v>78</v>
      </c>
      <c r="C42" s="17"/>
      <c r="D42" s="138">
        <f>SUM(D40:XY40)-SUM(D39:XY39)</f>
        <v>11478.861133498989</v>
      </c>
      <c r="E42" s="22"/>
      <c r="F42" s="73" t="s">
        <v>26</v>
      </c>
      <c r="G42" s="22"/>
      <c r="H42" s="22">
        <f>SUM(D39:XY39)</f>
        <v>3568.3481822420854</v>
      </c>
      <c r="I42" s="22"/>
      <c r="J42" s="22"/>
      <c r="K42" s="22"/>
      <c r="L42" s="22"/>
      <c r="M42" s="22"/>
      <c r="N42" s="22"/>
      <c r="O42" s="22"/>
      <c r="P42" s="22"/>
      <c r="Q42" s="22"/>
      <c r="R42" s="22"/>
      <c r="S42" s="22"/>
      <c r="T42" s="22"/>
      <c r="U42" s="22"/>
      <c r="V42" s="22"/>
      <c r="W42" s="22"/>
      <c r="X42" s="22"/>
      <c r="Y42" s="22"/>
      <c r="Z42" s="22"/>
      <c r="AA42" s="22"/>
      <c r="AB42" s="22"/>
      <c r="AC42" s="22"/>
    </row>
    <row r="43" spans="2:29" ht="15" thickBot="1">
      <c r="B43" s="141" t="s">
        <v>79</v>
      </c>
      <c r="C43" s="70"/>
      <c r="D43" s="263">
        <f>SUM(D40:XY40)/SUM(D39:XY39)</f>
        <v>4.2168556842697242</v>
      </c>
      <c r="E43" s="34"/>
      <c r="F43" s="34" t="s">
        <v>27</v>
      </c>
      <c r="G43" s="34"/>
      <c r="H43" s="34">
        <f>SUM(D40:XY40)</f>
        <v>15047.209315741075</v>
      </c>
      <c r="I43" s="34"/>
      <c r="J43" s="34"/>
      <c r="K43" s="34"/>
      <c r="L43" s="34"/>
      <c r="M43" s="34"/>
      <c r="N43" s="34"/>
      <c r="O43" s="34"/>
      <c r="P43" s="34"/>
      <c r="Q43" s="34"/>
      <c r="R43" s="34"/>
      <c r="S43" s="34"/>
      <c r="T43" s="34"/>
      <c r="U43" s="34"/>
      <c r="V43" s="34"/>
      <c r="W43" s="34"/>
      <c r="X43" s="34"/>
      <c r="Y43" s="34"/>
      <c r="Z43" s="34"/>
      <c r="AA43" s="34"/>
      <c r="AB43" s="34"/>
      <c r="AC43" s="34"/>
    </row>
    <row r="48" spans="2:29">
      <c r="N48" t="s">
        <v>122</v>
      </c>
    </row>
  </sheetData>
  <mergeCells count="5">
    <mergeCell ref="B15:B17"/>
    <mergeCell ref="B12:B14"/>
    <mergeCell ref="B31:B33"/>
    <mergeCell ref="B34:B36"/>
    <mergeCell ref="B2:E2"/>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39997558519241921"/>
  </sheetPr>
  <dimension ref="B2:AE94"/>
  <sheetViews>
    <sheetView zoomScale="96" zoomScaleNormal="90" zoomScalePageLayoutView="90" workbookViewId="0">
      <selection activeCell="B22" sqref="B22"/>
    </sheetView>
  </sheetViews>
  <sheetFormatPr defaultColWidth="8.81640625" defaultRowHeight="14.5"/>
  <cols>
    <col min="1" max="1" width="3.36328125" customWidth="1"/>
    <col min="2" max="2" width="71.453125" customWidth="1"/>
    <col min="3" max="3" width="25.36328125" customWidth="1"/>
    <col min="4" max="4" width="15.6328125" bestFit="1" customWidth="1"/>
    <col min="5" max="5" width="12.81640625" bestFit="1" customWidth="1"/>
    <col min="6" max="6" width="14.36328125" customWidth="1"/>
    <col min="7" max="7" width="59.453125" customWidth="1"/>
    <col min="8" max="8" width="15.6328125" customWidth="1"/>
    <col min="9" max="9" width="18.453125" customWidth="1"/>
    <col min="10" max="10" width="15.6328125" customWidth="1"/>
    <col min="11" max="11" width="12.81640625" customWidth="1"/>
    <col min="12" max="12" width="64" customWidth="1"/>
    <col min="13" max="13" width="12.36328125" customWidth="1"/>
    <col min="14" max="14" width="12.36328125" bestFit="1" customWidth="1"/>
    <col min="15" max="15" width="24.36328125" customWidth="1"/>
    <col min="16" max="16" width="10.36328125" bestFit="1" customWidth="1"/>
    <col min="17" max="17" width="14.453125" customWidth="1"/>
    <col min="18" max="18" width="12.6328125" customWidth="1"/>
    <col min="19" max="19" width="12.453125" bestFit="1" customWidth="1"/>
    <col min="20" max="20" width="10.36328125" bestFit="1" customWidth="1"/>
    <col min="21" max="21" width="61.81640625" customWidth="1"/>
    <col min="22" max="22" width="46.1796875" customWidth="1"/>
    <col min="23" max="23" width="12.453125" bestFit="1" customWidth="1"/>
    <col min="24" max="24" width="10.36328125" bestFit="1" customWidth="1"/>
    <col min="29" max="29" width="12.453125" bestFit="1" customWidth="1"/>
    <col min="30" max="30" width="10.36328125" bestFit="1" customWidth="1"/>
  </cols>
  <sheetData>
    <row r="2" spans="2:11" ht="23.5">
      <c r="B2" s="121" t="s">
        <v>69</v>
      </c>
    </row>
    <row r="3" spans="2:11" ht="15" customHeight="1">
      <c r="B3" s="62" t="s">
        <v>70</v>
      </c>
    </row>
    <row r="4" spans="2:11" ht="15" customHeight="1">
      <c r="B4" s="10"/>
    </row>
    <row r="5" spans="2:11">
      <c r="B5" s="42" t="s">
        <v>64</v>
      </c>
      <c r="F5">
        <v>-1</v>
      </c>
      <c r="G5" t="s">
        <v>122</v>
      </c>
    </row>
    <row r="6" spans="2:11" ht="15" thickBot="1"/>
    <row r="7" spans="2:11" s="12" customFormat="1">
      <c r="B7" s="63" t="s">
        <v>119</v>
      </c>
      <c r="C7" s="64"/>
      <c r="D7" s="65"/>
      <c r="E7" s="64"/>
      <c r="F7" s="64"/>
      <c r="G7" s="64"/>
      <c r="H7" s="64"/>
      <c r="I7" s="64"/>
      <c r="J7" s="64"/>
      <c r="K7" s="66"/>
    </row>
    <row r="8" spans="2:11" s="12" customFormat="1">
      <c r="B8" s="330" t="s">
        <v>63</v>
      </c>
      <c r="C8" s="331"/>
      <c r="D8" s="331"/>
      <c r="E8" s="331"/>
      <c r="F8" s="331"/>
      <c r="G8" s="331"/>
      <c r="H8" s="331"/>
      <c r="I8" s="331"/>
      <c r="J8" s="331"/>
      <c r="K8" s="332"/>
    </row>
    <row r="9" spans="2:11" s="13" customFormat="1">
      <c r="B9" s="24"/>
      <c r="C9" s="17"/>
      <c r="D9" s="347">
        <f>Parameters_Results!D10</f>
        <v>2018</v>
      </c>
      <c r="E9" s="347"/>
      <c r="F9" s="347">
        <v>2030</v>
      </c>
      <c r="G9" s="347"/>
      <c r="H9" s="347">
        <v>2050</v>
      </c>
      <c r="I9" s="347"/>
      <c r="J9" s="347">
        <v>2100</v>
      </c>
      <c r="K9" s="348"/>
    </row>
    <row r="10" spans="2:11">
      <c r="B10" s="24" t="s">
        <v>58</v>
      </c>
      <c r="C10" s="17"/>
      <c r="D10" s="45"/>
      <c r="E10" s="45"/>
      <c r="F10" s="22" t="s">
        <v>56</v>
      </c>
      <c r="G10" s="22" t="s">
        <v>57</v>
      </c>
      <c r="H10" s="22" t="s">
        <v>56</v>
      </c>
      <c r="I10" s="22" t="s">
        <v>57</v>
      </c>
      <c r="J10" s="22" t="s">
        <v>56</v>
      </c>
      <c r="K10" s="46" t="s">
        <v>57</v>
      </c>
    </row>
    <row r="11" spans="2:11">
      <c r="B11" s="324" t="s">
        <v>169</v>
      </c>
      <c r="C11" s="22" t="s">
        <v>165</v>
      </c>
      <c r="D11" s="45"/>
      <c r="E11" s="45"/>
      <c r="F11" s="269">
        <v>0</v>
      </c>
      <c r="G11" s="270">
        <v>-4.0000000000000001E-3</v>
      </c>
      <c r="H11" s="270">
        <v>-4.0000000000000001E-3</v>
      </c>
      <c r="I11" s="270">
        <v>-8.0000000000000002E-3</v>
      </c>
      <c r="J11" s="47"/>
      <c r="K11" s="48"/>
    </row>
    <row r="12" spans="2:11">
      <c r="B12" s="324"/>
      <c r="C12" s="22" t="s">
        <v>166</v>
      </c>
      <c r="D12" s="45"/>
      <c r="E12" s="45"/>
      <c r="F12" s="270">
        <v>-8.9999999999999993E-3</v>
      </c>
      <c r="G12" s="270">
        <v>-1.2E-2</v>
      </c>
      <c r="H12" s="270">
        <v>-2.1999999999999999E-2</v>
      </c>
      <c r="I12" s="270">
        <v>-4.1000000000000002E-2</v>
      </c>
      <c r="J12" s="47"/>
      <c r="K12" s="48"/>
    </row>
    <row r="13" spans="2:11">
      <c r="B13" s="324"/>
      <c r="C13" s="22"/>
      <c r="D13" s="45"/>
      <c r="E13" s="45"/>
      <c r="F13" s="47"/>
      <c r="G13" s="47"/>
      <c r="H13" s="47"/>
      <c r="I13" s="47"/>
      <c r="J13" s="47"/>
      <c r="K13" s="48"/>
    </row>
    <row r="14" spans="2:11">
      <c r="B14" s="324" t="s">
        <v>168</v>
      </c>
      <c r="C14" s="22" t="s">
        <v>165</v>
      </c>
      <c r="D14" s="45"/>
      <c r="E14" s="45"/>
      <c r="F14" s="47">
        <v>0</v>
      </c>
      <c r="G14" s="47">
        <v>0</v>
      </c>
      <c r="H14" s="47">
        <v>0</v>
      </c>
      <c r="I14" s="47">
        <v>0</v>
      </c>
      <c r="J14" s="47"/>
      <c r="K14" s="48"/>
    </row>
    <row r="15" spans="2:11">
      <c r="B15" s="324"/>
      <c r="C15" s="43" t="s">
        <v>166</v>
      </c>
      <c r="D15" s="45"/>
      <c r="E15" s="45"/>
      <c r="F15" s="47">
        <v>0</v>
      </c>
      <c r="G15" s="47">
        <v>0</v>
      </c>
      <c r="H15" s="47">
        <v>0</v>
      </c>
      <c r="I15" s="47">
        <v>0</v>
      </c>
      <c r="J15" s="47"/>
      <c r="K15" s="48"/>
    </row>
    <row r="16" spans="2:11">
      <c r="B16" s="324"/>
      <c r="C16" s="22"/>
      <c r="D16" s="45"/>
      <c r="E16" s="45"/>
      <c r="F16" s="47"/>
      <c r="G16" s="47"/>
      <c r="H16" s="47"/>
      <c r="I16" s="47"/>
      <c r="J16" s="47"/>
      <c r="K16" s="48"/>
    </row>
    <row r="17" spans="2:18">
      <c r="B17" s="324" t="s">
        <v>167</v>
      </c>
      <c r="C17" s="22" t="s">
        <v>25</v>
      </c>
      <c r="D17" s="45"/>
      <c r="E17" s="45"/>
      <c r="F17" s="266">
        <v>0</v>
      </c>
      <c r="G17" s="266">
        <v>0</v>
      </c>
      <c r="H17" s="266">
        <v>0</v>
      </c>
      <c r="I17" s="266">
        <v>0</v>
      </c>
      <c r="J17" s="47"/>
      <c r="K17" s="48"/>
    </row>
    <row r="18" spans="2:18">
      <c r="B18" s="324"/>
      <c r="C18" s="22" t="s">
        <v>190</v>
      </c>
      <c r="D18" s="45"/>
      <c r="E18" s="45"/>
      <c r="F18" s="267">
        <v>0.01</v>
      </c>
      <c r="G18" s="267">
        <v>0.02</v>
      </c>
      <c r="H18" s="267">
        <v>0.02</v>
      </c>
      <c r="I18" s="267">
        <v>0.04</v>
      </c>
      <c r="J18" s="49"/>
      <c r="K18" s="50"/>
    </row>
    <row r="19" spans="2:18" ht="15" thickBot="1">
      <c r="B19" s="346"/>
      <c r="C19" s="22" t="s">
        <v>191</v>
      </c>
      <c r="D19" s="51"/>
      <c r="E19" s="51"/>
      <c r="F19" s="268">
        <v>0.04</v>
      </c>
      <c r="G19" s="268">
        <v>0.06</v>
      </c>
      <c r="H19" s="268">
        <v>0.08</v>
      </c>
      <c r="I19" s="268">
        <v>0.1</v>
      </c>
      <c r="J19" s="52"/>
      <c r="K19" s="53"/>
    </row>
    <row r="21" spans="2:18" ht="27" customHeight="1" thickBot="1">
      <c r="B21" s="229" t="s">
        <v>250</v>
      </c>
      <c r="G21" s="229" t="s">
        <v>247</v>
      </c>
      <c r="L21" s="229" t="s">
        <v>248</v>
      </c>
    </row>
    <row r="22" spans="2:18" s="12" customFormat="1">
      <c r="B22" s="63" t="s">
        <v>126</v>
      </c>
      <c r="C22" s="64"/>
      <c r="D22" s="167"/>
      <c r="E22" s="168"/>
      <c r="F22"/>
      <c r="G22" s="327" t="s">
        <v>127</v>
      </c>
      <c r="H22" s="328"/>
      <c r="I22" s="328"/>
      <c r="J22" s="329"/>
      <c r="K22" s="198"/>
      <c r="L22" s="173" t="s">
        <v>128</v>
      </c>
      <c r="M22" s="174"/>
      <c r="N22" s="174"/>
      <c r="O22" s="175"/>
    </row>
    <row r="23" spans="2:18" s="12" customFormat="1" ht="78.75" customHeight="1">
      <c r="B23" s="335" t="s">
        <v>121</v>
      </c>
      <c r="C23" s="336"/>
      <c r="D23" s="336"/>
      <c r="E23" s="337"/>
      <c r="F23"/>
      <c r="G23" s="338" t="s">
        <v>124</v>
      </c>
      <c r="H23" s="339"/>
      <c r="I23" s="339"/>
      <c r="J23" s="340"/>
      <c r="K23" s="199"/>
      <c r="L23" s="350" t="s">
        <v>125</v>
      </c>
      <c r="M23" s="351"/>
      <c r="N23" s="351"/>
      <c r="O23" s="352"/>
    </row>
    <row r="24" spans="2:18" s="40" customFormat="1">
      <c r="B24" s="54"/>
      <c r="C24" s="55"/>
      <c r="D24" s="333">
        <f>Parameters_Results!D10</f>
        <v>2018</v>
      </c>
      <c r="E24" s="334"/>
      <c r="G24" s="97"/>
      <c r="H24" s="55"/>
      <c r="I24" s="333">
        <f>Parameters_Results!D10</f>
        <v>2018</v>
      </c>
      <c r="J24" s="334"/>
      <c r="K24" s="198"/>
      <c r="L24" s="97"/>
      <c r="M24" s="55"/>
      <c r="N24" s="333">
        <f>Parameters_Results!D10</f>
        <v>2018</v>
      </c>
      <c r="O24" s="334"/>
    </row>
    <row r="25" spans="2:18">
      <c r="B25" s="24" t="s">
        <v>123</v>
      </c>
      <c r="C25" s="17"/>
      <c r="D25" s="22" t="s">
        <v>56</v>
      </c>
      <c r="E25" s="46" t="s">
        <v>57</v>
      </c>
      <c r="G25" s="24" t="s">
        <v>123</v>
      </c>
      <c r="H25" s="22"/>
      <c r="I25" s="22" t="s">
        <v>56</v>
      </c>
      <c r="J25" s="46" t="s">
        <v>57</v>
      </c>
      <c r="K25" s="43"/>
      <c r="L25" s="24" t="s">
        <v>58</v>
      </c>
      <c r="M25" s="22"/>
      <c r="N25" s="22" t="s">
        <v>56</v>
      </c>
      <c r="O25" s="46" t="s">
        <v>57</v>
      </c>
    </row>
    <row r="26" spans="2:18">
      <c r="B26" s="56" t="s">
        <v>115</v>
      </c>
      <c r="C26" s="45"/>
      <c r="D26" s="45"/>
      <c r="E26" s="57"/>
      <c r="G26" s="56" t="s">
        <v>115</v>
      </c>
      <c r="H26" s="22"/>
      <c r="I26" s="45"/>
      <c r="J26" s="57"/>
      <c r="K26" s="43"/>
      <c r="L26" s="56" t="s">
        <v>115</v>
      </c>
      <c r="M26" s="22"/>
      <c r="N26" s="45"/>
      <c r="O26" s="57"/>
    </row>
    <row r="27" spans="2:18">
      <c r="B27" s="21" t="s">
        <v>65</v>
      </c>
      <c r="C27" s="22"/>
      <c r="D27" s="341">
        <v>2</v>
      </c>
      <c r="E27" s="342"/>
      <c r="F27" t="s">
        <v>122</v>
      </c>
      <c r="G27" s="21" t="s">
        <v>65</v>
      </c>
      <c r="H27" s="22"/>
      <c r="I27" s="341">
        <v>2</v>
      </c>
      <c r="J27" s="342"/>
      <c r="K27" s="200"/>
      <c r="L27" s="21" t="s">
        <v>65</v>
      </c>
      <c r="M27" s="22"/>
      <c r="N27" s="341">
        <v>2</v>
      </c>
      <c r="O27" s="342"/>
    </row>
    <row r="28" spans="2:18">
      <c r="B28" s="21" t="s">
        <v>170</v>
      </c>
      <c r="C28" s="22"/>
      <c r="D28" s="47">
        <v>0</v>
      </c>
      <c r="E28" s="48">
        <v>0</v>
      </c>
      <c r="G28" s="21" t="s">
        <v>170</v>
      </c>
      <c r="H28" s="22"/>
      <c r="I28" s="47">
        <v>0</v>
      </c>
      <c r="J28" s="48">
        <v>0</v>
      </c>
      <c r="K28" s="86"/>
      <c r="L28" s="21" t="s">
        <v>66</v>
      </c>
      <c r="M28" s="22"/>
      <c r="N28" s="47">
        <v>0</v>
      </c>
      <c r="O28" s="48">
        <v>0</v>
      </c>
    </row>
    <row r="29" spans="2:18">
      <c r="B29" s="21" t="s">
        <v>171</v>
      </c>
      <c r="C29" s="22"/>
      <c r="D29" s="48">
        <v>0</v>
      </c>
      <c r="E29" s="48">
        <v>0</v>
      </c>
      <c r="G29" s="21" t="s">
        <v>171</v>
      </c>
      <c r="H29" s="22"/>
      <c r="I29" s="48">
        <v>0</v>
      </c>
      <c r="J29" s="48">
        <v>0</v>
      </c>
      <c r="K29" s="86"/>
      <c r="L29" s="21"/>
      <c r="M29" s="22"/>
      <c r="N29" s="48">
        <v>0</v>
      </c>
      <c r="O29" s="48">
        <v>0</v>
      </c>
    </row>
    <row r="30" spans="2:18">
      <c r="B30" s="21" t="s">
        <v>67</v>
      </c>
      <c r="C30" s="22"/>
      <c r="D30" s="49">
        <v>0</v>
      </c>
      <c r="E30" s="84">
        <v>0</v>
      </c>
      <c r="G30" s="21" t="s">
        <v>67</v>
      </c>
      <c r="H30" s="22"/>
      <c r="I30" s="49">
        <v>0</v>
      </c>
      <c r="J30" s="84">
        <v>0</v>
      </c>
      <c r="K30" s="43"/>
      <c r="L30" s="21" t="s">
        <v>67</v>
      </c>
      <c r="M30" s="22"/>
      <c r="N30" s="49">
        <v>0</v>
      </c>
      <c r="O30" s="84">
        <v>0</v>
      </c>
    </row>
    <row r="31" spans="2:18">
      <c r="B31" s="21" t="s">
        <v>68</v>
      </c>
      <c r="C31" s="22"/>
      <c r="D31" s="49">
        <v>0</v>
      </c>
      <c r="E31" s="50">
        <v>0</v>
      </c>
      <c r="G31" s="21" t="s">
        <v>68</v>
      </c>
      <c r="H31" s="22"/>
      <c r="I31" s="49">
        <v>0</v>
      </c>
      <c r="J31" s="50">
        <v>0</v>
      </c>
      <c r="K31" s="43"/>
      <c r="L31" s="21" t="s">
        <v>68</v>
      </c>
      <c r="M31" s="22"/>
      <c r="N31" s="49">
        <v>0</v>
      </c>
      <c r="O31" s="50">
        <v>0</v>
      </c>
      <c r="R31" t="s">
        <v>122</v>
      </c>
    </row>
    <row r="32" spans="2:18">
      <c r="B32" s="56" t="s">
        <v>116</v>
      </c>
      <c r="C32" s="45"/>
      <c r="D32" s="45"/>
      <c r="E32" s="57"/>
      <c r="G32" s="56" t="s">
        <v>116</v>
      </c>
      <c r="H32" s="22"/>
      <c r="I32" s="45"/>
      <c r="J32" s="57"/>
      <c r="K32" s="43" t="s">
        <v>122</v>
      </c>
      <c r="L32" s="56" t="s">
        <v>116</v>
      </c>
      <c r="M32" s="22"/>
      <c r="N32" s="45"/>
      <c r="O32" s="57"/>
    </row>
    <row r="33" spans="2:17">
      <c r="B33" s="21" t="s">
        <v>65</v>
      </c>
      <c r="C33" s="22"/>
      <c r="D33" s="343">
        <v>10</v>
      </c>
      <c r="E33" s="344"/>
      <c r="G33" s="21" t="s">
        <v>65</v>
      </c>
      <c r="H33" s="22"/>
      <c r="I33" s="343">
        <v>10</v>
      </c>
      <c r="J33" s="344"/>
      <c r="K33" s="200"/>
      <c r="L33" s="21" t="s">
        <v>65</v>
      </c>
      <c r="M33" s="22"/>
      <c r="N33" s="341">
        <v>10</v>
      </c>
      <c r="O33" s="342"/>
    </row>
    <row r="34" spans="2:17">
      <c r="B34" s="21" t="s">
        <v>170</v>
      </c>
      <c r="C34" s="22"/>
      <c r="D34" s="47">
        <v>0</v>
      </c>
      <c r="E34" s="48">
        <v>0</v>
      </c>
      <c r="G34" s="21" t="s">
        <v>170</v>
      </c>
      <c r="H34" s="22"/>
      <c r="I34" s="47">
        <v>-0.24657534246575699</v>
      </c>
      <c r="J34" s="47">
        <v>-0.49315068493150299</v>
      </c>
      <c r="K34" s="86"/>
      <c r="L34" s="21" t="s">
        <v>66</v>
      </c>
      <c r="M34" s="22"/>
      <c r="N34" s="47">
        <v>-0.49315068493150299</v>
      </c>
      <c r="O34" s="48">
        <v>-0.73972602739726101</v>
      </c>
    </row>
    <row r="35" spans="2:17">
      <c r="B35" s="21" t="s">
        <v>171</v>
      </c>
      <c r="C35" s="22"/>
      <c r="D35" s="48">
        <v>0</v>
      </c>
      <c r="E35" s="48">
        <v>0</v>
      </c>
      <c r="G35" s="21" t="s">
        <v>171</v>
      </c>
      <c r="H35" s="22"/>
      <c r="I35" s="47">
        <v>-0.49315068493150399</v>
      </c>
      <c r="J35" s="47">
        <v>-0.73972602739725601</v>
      </c>
      <c r="K35" s="86"/>
      <c r="L35" s="21"/>
      <c r="M35" s="22"/>
      <c r="N35" s="47">
        <v>-0.61643835616437004</v>
      </c>
      <c r="O35" s="48">
        <v>-0.86301369863014199</v>
      </c>
    </row>
    <row r="36" spans="2:17">
      <c r="B36" s="21" t="s">
        <v>67</v>
      </c>
      <c r="C36" s="22"/>
      <c r="D36" s="49">
        <v>0</v>
      </c>
      <c r="E36" s="84">
        <v>0</v>
      </c>
      <c r="G36" s="21" t="s">
        <v>67</v>
      </c>
      <c r="H36" s="22"/>
      <c r="I36" s="238">
        <f>I54*$C$54</f>
        <v>297.4454070000001</v>
      </c>
      <c r="J36" s="238">
        <f>J54*$C$54</f>
        <v>594.8908140000002</v>
      </c>
      <c r="K36" s="43"/>
      <c r="L36" s="21" t="s">
        <v>67</v>
      </c>
      <c r="M36" s="22"/>
      <c r="N36" s="240">
        <f>N54*$H54</f>
        <v>297.4454070000001</v>
      </c>
      <c r="O36" s="240">
        <f>O54*$H54</f>
        <v>594.8908140000002</v>
      </c>
    </row>
    <row r="37" spans="2:17">
      <c r="B37" s="21" t="s">
        <v>68</v>
      </c>
      <c r="C37" s="22"/>
      <c r="D37" s="49">
        <v>0</v>
      </c>
      <c r="E37" s="50">
        <v>0</v>
      </c>
      <c r="F37" t="s">
        <v>122</v>
      </c>
      <c r="G37" s="21" t="s">
        <v>68</v>
      </c>
      <c r="H37" s="22"/>
      <c r="I37" s="237">
        <v>0</v>
      </c>
      <c r="J37" s="237">
        <v>0</v>
      </c>
      <c r="K37" s="43"/>
      <c r="L37" s="21" t="s">
        <v>68</v>
      </c>
      <c r="M37" s="22"/>
      <c r="N37" s="243">
        <v>0</v>
      </c>
      <c r="O37" s="239">
        <v>0</v>
      </c>
    </row>
    <row r="38" spans="2:17">
      <c r="B38" s="56" t="s">
        <v>117</v>
      </c>
      <c r="C38" s="45"/>
      <c r="D38" s="45"/>
      <c r="E38" s="57"/>
      <c r="G38" s="56" t="s">
        <v>117</v>
      </c>
      <c r="H38" s="22"/>
      <c r="I38" s="45"/>
      <c r="J38" s="57"/>
      <c r="K38" s="43"/>
      <c r="L38" s="56" t="s">
        <v>117</v>
      </c>
      <c r="M38" s="22"/>
      <c r="N38" s="45"/>
      <c r="O38" s="57"/>
    </row>
    <row r="39" spans="2:17">
      <c r="B39" s="21" t="s">
        <v>65</v>
      </c>
      <c r="C39" s="22"/>
      <c r="D39" s="341">
        <v>100</v>
      </c>
      <c r="E39" s="342"/>
      <c r="G39" s="21" t="s">
        <v>65</v>
      </c>
      <c r="H39" s="22"/>
      <c r="I39" s="341">
        <v>100</v>
      </c>
      <c r="J39" s="342"/>
      <c r="K39" s="200"/>
      <c r="L39" s="21" t="s">
        <v>65</v>
      </c>
      <c r="M39" s="22"/>
      <c r="N39" s="341">
        <v>100</v>
      </c>
      <c r="O39" s="342"/>
    </row>
    <row r="40" spans="2:17">
      <c r="B40" s="21" t="s">
        <v>170</v>
      </c>
      <c r="C40" s="22"/>
      <c r="D40" s="47">
        <v>0</v>
      </c>
      <c r="E40" s="48">
        <v>0</v>
      </c>
      <c r="G40" s="21" t="s">
        <v>170</v>
      </c>
      <c r="H40" s="22"/>
      <c r="I40" s="47">
        <v>-0.14794520547944501</v>
      </c>
      <c r="J40" s="47">
        <v>-0.19726027397260101</v>
      </c>
      <c r="K40" s="86"/>
      <c r="L40" s="21" t="s">
        <v>66</v>
      </c>
      <c r="M40" s="22"/>
      <c r="N40" s="47">
        <v>-0.19726027397260101</v>
      </c>
      <c r="O40" s="48">
        <v>-0.295890410958913</v>
      </c>
    </row>
    <row r="41" spans="2:17">
      <c r="B41" s="21" t="s">
        <v>171</v>
      </c>
      <c r="C41" s="22"/>
      <c r="D41" s="48">
        <v>0</v>
      </c>
      <c r="E41" s="48">
        <v>0</v>
      </c>
      <c r="G41" s="21" t="s">
        <v>171</v>
      </c>
      <c r="H41" s="22"/>
      <c r="I41" s="47">
        <v>-0.19726027397260601</v>
      </c>
      <c r="J41" s="47">
        <v>-0.29589041095889801</v>
      </c>
      <c r="K41" s="86"/>
      <c r="L41" s="21" t="s">
        <v>171</v>
      </c>
      <c r="M41" s="22"/>
      <c r="N41" s="47">
        <v>-0.22191780821915899</v>
      </c>
      <c r="O41" s="48">
        <v>-0.32054794520547197</v>
      </c>
    </row>
    <row r="42" spans="2:17">
      <c r="B42" s="21" t="s">
        <v>67</v>
      </c>
      <c r="C42" s="22"/>
      <c r="D42" s="49">
        <v>0</v>
      </c>
      <c r="E42" s="84">
        <v>0</v>
      </c>
      <c r="G42" s="21" t="s">
        <v>67</v>
      </c>
      <c r="H42" s="22"/>
      <c r="I42" s="238">
        <f>I55*$C55</f>
        <v>743.61351750000017</v>
      </c>
      <c r="J42" s="238">
        <f>J55*$C55</f>
        <v>1041.0589245000001</v>
      </c>
      <c r="K42" s="43"/>
      <c r="L42" s="21" t="s">
        <v>67</v>
      </c>
      <c r="M42" s="22"/>
      <c r="N42" s="238">
        <f>N55*$H55</f>
        <v>743.61351750000017</v>
      </c>
      <c r="O42" s="238">
        <f>O55*$H55</f>
        <v>1041.0589245000001</v>
      </c>
    </row>
    <row r="43" spans="2:17">
      <c r="B43" s="21" t="s">
        <v>68</v>
      </c>
      <c r="C43" s="22"/>
      <c r="D43" s="49">
        <v>0</v>
      </c>
      <c r="E43" s="50">
        <v>0</v>
      </c>
      <c r="F43" t="s">
        <v>122</v>
      </c>
      <c r="G43" s="21" t="s">
        <v>68</v>
      </c>
      <c r="H43" s="22"/>
      <c r="I43" s="237">
        <v>0</v>
      </c>
      <c r="J43" s="239">
        <v>0</v>
      </c>
      <c r="K43" s="43"/>
      <c r="L43" s="21" t="s">
        <v>68</v>
      </c>
      <c r="M43" s="22"/>
      <c r="N43" s="237">
        <v>0</v>
      </c>
      <c r="O43" s="239">
        <v>0</v>
      </c>
    </row>
    <row r="44" spans="2:17">
      <c r="B44" s="56" t="s">
        <v>118</v>
      </c>
      <c r="C44" s="45"/>
      <c r="D44" s="45"/>
      <c r="E44" s="57"/>
      <c r="G44" s="56" t="s">
        <v>118</v>
      </c>
      <c r="H44" s="22"/>
      <c r="I44" s="45"/>
      <c r="J44" s="57"/>
      <c r="K44" s="43"/>
      <c r="L44" s="56" t="s">
        <v>118</v>
      </c>
      <c r="M44" s="22"/>
      <c r="N44" s="45"/>
      <c r="O44" s="57"/>
    </row>
    <row r="45" spans="2:17">
      <c r="B45" s="21" t="s">
        <v>65</v>
      </c>
      <c r="C45" s="22"/>
      <c r="D45" s="341">
        <v>1000</v>
      </c>
      <c r="E45" s="342"/>
      <c r="G45" s="21" t="s">
        <v>65</v>
      </c>
      <c r="H45" s="22"/>
      <c r="I45" s="341">
        <v>1000</v>
      </c>
      <c r="J45" s="342"/>
      <c r="K45" s="200"/>
      <c r="L45" s="21" t="s">
        <v>65</v>
      </c>
      <c r="M45" s="22"/>
      <c r="N45" s="341">
        <v>1000</v>
      </c>
      <c r="O45" s="342"/>
    </row>
    <row r="46" spans="2:17">
      <c r="B46" s="21" t="s">
        <v>170</v>
      </c>
      <c r="C46" s="22"/>
      <c r="D46" s="47">
        <v>0</v>
      </c>
      <c r="E46" s="48">
        <v>0</v>
      </c>
      <c r="G46" s="21" t="s">
        <v>170</v>
      </c>
      <c r="H46" s="22"/>
      <c r="I46" s="47">
        <v>-3.6986301369864201E-2</v>
      </c>
      <c r="J46" s="47">
        <v>-5.1780821917812199E-2</v>
      </c>
      <c r="K46" s="86" t="s">
        <v>122</v>
      </c>
      <c r="L46" s="21" t="s">
        <v>66</v>
      </c>
      <c r="M46" s="22"/>
      <c r="N46" s="47">
        <v>-5.9178082191780397E-2</v>
      </c>
      <c r="O46" s="48">
        <v>-7.3972602739728402E-2</v>
      </c>
      <c r="Q46" t="s">
        <v>122</v>
      </c>
    </row>
    <row r="47" spans="2:17">
      <c r="B47" s="21" t="s">
        <v>171</v>
      </c>
      <c r="C47" s="22"/>
      <c r="D47" s="48">
        <v>0</v>
      </c>
      <c r="E47" s="48">
        <v>0</v>
      </c>
      <c r="G47" s="21" t="s">
        <v>171</v>
      </c>
      <c r="H47" s="22"/>
      <c r="I47" s="47">
        <v>-5.9178082191791798E-2</v>
      </c>
      <c r="J47" s="47">
        <v>-7.3972602739719506E-2</v>
      </c>
      <c r="K47" s="86"/>
      <c r="L47" s="21" t="s">
        <v>171</v>
      </c>
      <c r="M47" s="22"/>
      <c r="N47" s="47">
        <v>-6.2876712328773704E-2</v>
      </c>
      <c r="O47" s="48">
        <v>-7.7671232876701496E-2</v>
      </c>
    </row>
    <row r="48" spans="2:17">
      <c r="B48" s="21" t="s">
        <v>67</v>
      </c>
      <c r="C48" s="22"/>
      <c r="D48" s="49">
        <v>0</v>
      </c>
      <c r="E48" s="84">
        <v>0</v>
      </c>
      <c r="F48" t="s">
        <v>122</v>
      </c>
      <c r="G48" s="21" t="s">
        <v>67</v>
      </c>
      <c r="H48" s="22"/>
      <c r="I48" s="240">
        <f>I56*$C56</f>
        <v>1338.5043315000003</v>
      </c>
      <c r="J48" s="240">
        <f>J56*$C56</f>
        <v>1635.9497385000004</v>
      </c>
      <c r="K48" s="43"/>
      <c r="L48" s="21" t="s">
        <v>67</v>
      </c>
      <c r="M48" s="22"/>
      <c r="N48" s="238">
        <f>N56*$H56</f>
        <v>1338.5043315000003</v>
      </c>
      <c r="O48" s="238">
        <f>O56*$H56</f>
        <v>1635.9497385000004</v>
      </c>
    </row>
    <row r="49" spans="2:31" ht="15" thickBot="1">
      <c r="B49" s="33" t="s">
        <v>68</v>
      </c>
      <c r="C49" s="34"/>
      <c r="D49" s="49">
        <v>0</v>
      </c>
      <c r="E49" s="50">
        <v>0</v>
      </c>
      <c r="G49" s="33" t="s">
        <v>68</v>
      </c>
      <c r="H49" s="34"/>
      <c r="I49" s="241">
        <v>0</v>
      </c>
      <c r="J49" s="242">
        <v>0</v>
      </c>
      <c r="K49" s="43"/>
      <c r="L49" s="33" t="s">
        <v>68</v>
      </c>
      <c r="M49" s="34"/>
      <c r="N49" s="241">
        <v>0</v>
      </c>
      <c r="O49" s="242">
        <v>0</v>
      </c>
      <c r="V49" t="s">
        <v>122</v>
      </c>
    </row>
    <row r="50" spans="2:31">
      <c r="B50" s="22"/>
      <c r="C50" s="22"/>
      <c r="D50" s="75"/>
      <c r="E50" s="75"/>
      <c r="F50" s="12"/>
      <c r="G50" s="43"/>
      <c r="H50" s="43"/>
      <c r="I50" s="75"/>
      <c r="J50" s="75"/>
      <c r="K50" s="43"/>
      <c r="L50" s="43"/>
      <c r="M50" s="43"/>
      <c r="N50" s="86"/>
      <c r="O50" s="86"/>
    </row>
    <row r="51" spans="2:31">
      <c r="B51" s="259" t="s">
        <v>220</v>
      </c>
      <c r="C51" s="260"/>
      <c r="D51" s="345" t="s">
        <v>221</v>
      </c>
      <c r="E51" s="345"/>
      <c r="F51" t="s">
        <v>122</v>
      </c>
      <c r="G51" s="262" t="s">
        <v>220</v>
      </c>
      <c r="H51" s="262"/>
      <c r="I51" s="262" t="s">
        <v>221</v>
      </c>
      <c r="J51" s="262"/>
      <c r="L51" s="262" t="s">
        <v>220</v>
      </c>
      <c r="M51" s="262"/>
      <c r="N51" s="262" t="s">
        <v>221</v>
      </c>
      <c r="O51" s="262"/>
    </row>
    <row r="52" spans="2:31">
      <c r="B52" s="55" t="s">
        <v>172</v>
      </c>
      <c r="C52" s="13" t="s">
        <v>219</v>
      </c>
      <c r="D52" s="13" t="s">
        <v>217</v>
      </c>
      <c r="E52" s="13" t="s">
        <v>218</v>
      </c>
      <c r="G52" s="13" t="s">
        <v>172</v>
      </c>
      <c r="H52" s="13" t="s">
        <v>219</v>
      </c>
      <c r="I52" s="13" t="s">
        <v>217</v>
      </c>
      <c r="J52" s="13" t="s">
        <v>218</v>
      </c>
      <c r="L52" s="40" t="s">
        <v>172</v>
      </c>
      <c r="M52" s="13" t="s">
        <v>219</v>
      </c>
      <c r="N52" s="13" t="s">
        <v>217</v>
      </c>
      <c r="O52" s="13" t="s">
        <v>218</v>
      </c>
    </row>
    <row r="53" spans="2:31">
      <c r="B53" s="6">
        <v>2</v>
      </c>
      <c r="C53">
        <f>SUM('Baseline scenario'!$D$12:$AB$12)</f>
        <v>2974.4540700000007</v>
      </c>
      <c r="D53">
        <v>0</v>
      </c>
      <c r="E53">
        <v>0</v>
      </c>
      <c r="G53" s="6">
        <v>2</v>
      </c>
      <c r="H53">
        <f>SUM('Baseline scenario'!$D$12:$AB$12)</f>
        <v>2974.4540700000007</v>
      </c>
      <c r="I53" s="1">
        <v>0</v>
      </c>
      <c r="J53" s="1">
        <v>0</v>
      </c>
      <c r="L53" s="6">
        <v>2</v>
      </c>
      <c r="M53">
        <f>SUM('Baseline scenario'!$D$12:$AB$12)</f>
        <v>2974.4540700000007</v>
      </c>
      <c r="N53" s="1">
        <v>0</v>
      </c>
      <c r="O53" s="1">
        <v>0</v>
      </c>
    </row>
    <row r="54" spans="2:31">
      <c r="B54" s="6">
        <v>10</v>
      </c>
      <c r="C54">
        <f>SUM('Baseline scenario'!$D$12:$AB$12)</f>
        <v>2974.4540700000007</v>
      </c>
      <c r="D54" s="1">
        <v>0.1</v>
      </c>
      <c r="E54" s="1">
        <v>0.2</v>
      </c>
      <c r="G54" s="6">
        <v>10</v>
      </c>
      <c r="H54">
        <f>SUM('Baseline scenario'!$D$12:$AB$12)</f>
        <v>2974.4540700000007</v>
      </c>
      <c r="I54" s="1">
        <v>0.1</v>
      </c>
      <c r="J54" s="1">
        <v>0.2</v>
      </c>
      <c r="L54" s="6">
        <v>10</v>
      </c>
      <c r="M54">
        <f>SUM('Baseline scenario'!$D$12:$AB$12)</f>
        <v>2974.4540700000007</v>
      </c>
      <c r="N54" s="1">
        <v>0.1</v>
      </c>
      <c r="O54" s="1">
        <v>0.2</v>
      </c>
    </row>
    <row r="55" spans="2:31">
      <c r="B55" s="6">
        <v>100</v>
      </c>
      <c r="C55">
        <f>SUM('Baseline scenario'!$D$12:$AB$12)</f>
        <v>2974.4540700000007</v>
      </c>
      <c r="D55" s="261">
        <v>0.25</v>
      </c>
      <c r="E55" s="261">
        <v>0.35</v>
      </c>
      <c r="G55" s="6">
        <v>100</v>
      </c>
      <c r="H55">
        <f>SUM('Baseline scenario'!$D$12:$AB$12)</f>
        <v>2974.4540700000007</v>
      </c>
      <c r="I55" s="1">
        <v>0.25</v>
      </c>
      <c r="J55" s="1">
        <v>0.35</v>
      </c>
      <c r="L55" s="6">
        <v>100</v>
      </c>
      <c r="M55">
        <f>SUM('Baseline scenario'!$D$12:$AB$12)</f>
        <v>2974.4540700000007</v>
      </c>
      <c r="N55" s="1">
        <v>0.25</v>
      </c>
      <c r="O55" s="1">
        <v>0.35</v>
      </c>
    </row>
    <row r="56" spans="2:31">
      <c r="B56" s="6">
        <v>1000</v>
      </c>
      <c r="C56">
        <f>SUM('Baseline scenario'!$D$12:$AB$12)</f>
        <v>2974.4540700000007</v>
      </c>
      <c r="D56" s="261">
        <v>0.45</v>
      </c>
      <c r="E56" s="261">
        <v>0.55000000000000004</v>
      </c>
      <c r="F56" t="s">
        <v>122</v>
      </c>
      <c r="G56" s="6">
        <v>1000</v>
      </c>
      <c r="H56">
        <f>SUM('Baseline scenario'!$D$12:$AB$12)</f>
        <v>2974.4540700000007</v>
      </c>
      <c r="I56" s="1">
        <v>0.45</v>
      </c>
      <c r="J56" s="1">
        <v>0.55000000000000004</v>
      </c>
      <c r="L56" s="6">
        <v>1000</v>
      </c>
      <c r="M56">
        <f>SUM('Baseline scenario'!$D$12:$AB$12)</f>
        <v>2974.4540700000007</v>
      </c>
      <c r="N56" s="1">
        <v>0.45</v>
      </c>
      <c r="O56" s="1">
        <v>0.55000000000000004</v>
      </c>
    </row>
    <row r="57" spans="2:31" ht="15" thickBot="1"/>
    <row r="58" spans="2:31" ht="15" thickBot="1">
      <c r="B58" s="327" t="s">
        <v>129</v>
      </c>
      <c r="C58" s="328"/>
      <c r="D58" s="328"/>
      <c r="E58" s="328"/>
      <c r="F58" s="328"/>
      <c r="G58" s="328"/>
      <c r="H58" s="328"/>
      <c r="I58" s="328"/>
      <c r="J58" s="328"/>
      <c r="K58" s="329"/>
      <c r="L58" s="328" t="s">
        <v>144</v>
      </c>
      <c r="M58" s="328"/>
      <c r="N58" s="328"/>
      <c r="O58" s="328"/>
      <c r="P58" s="328"/>
      <c r="Q58" s="328"/>
      <c r="R58" s="328"/>
      <c r="S58" s="328"/>
      <c r="T58" s="329"/>
      <c r="U58" s="353" t="s">
        <v>130</v>
      </c>
      <c r="V58" s="354"/>
      <c r="W58" s="354"/>
      <c r="X58" s="354"/>
      <c r="Y58" s="354"/>
      <c r="Z58" s="354"/>
      <c r="AA58" s="354"/>
      <c r="AB58" s="354"/>
      <c r="AC58" s="354"/>
      <c r="AD58" s="355"/>
    </row>
    <row r="59" spans="2:31" ht="68.25" customHeight="1" thickBot="1">
      <c r="B59" s="330" t="s">
        <v>131</v>
      </c>
      <c r="C59" s="331"/>
      <c r="D59" s="331"/>
      <c r="E59" s="331"/>
      <c r="F59" s="331"/>
      <c r="G59" s="331"/>
      <c r="H59" s="331"/>
      <c r="I59" s="331"/>
      <c r="J59" s="331"/>
      <c r="K59" s="332"/>
      <c r="L59" s="357" t="s">
        <v>145</v>
      </c>
      <c r="M59" s="357"/>
      <c r="N59" s="357"/>
      <c r="O59" s="357"/>
      <c r="P59" s="357"/>
      <c r="Q59" s="357"/>
      <c r="R59" s="357"/>
      <c r="S59" s="357"/>
      <c r="T59" s="358"/>
      <c r="U59" s="356" t="s">
        <v>132</v>
      </c>
      <c r="V59" s="357"/>
      <c r="W59" s="357"/>
      <c r="X59" s="357"/>
      <c r="Y59" s="357"/>
      <c r="Z59" s="357"/>
      <c r="AA59" s="357"/>
      <c r="AB59" s="357"/>
      <c r="AC59" s="357"/>
      <c r="AD59" s="358"/>
    </row>
    <row r="60" spans="2:31">
      <c r="B60" s="54"/>
      <c r="C60" s="55"/>
      <c r="D60" s="333">
        <v>2020</v>
      </c>
      <c r="E60" s="333"/>
      <c r="F60" s="333">
        <v>2030</v>
      </c>
      <c r="G60" s="333"/>
      <c r="H60" s="333">
        <v>2050</v>
      </c>
      <c r="I60" s="333"/>
      <c r="J60" s="333">
        <v>2100</v>
      </c>
      <c r="K60" s="334"/>
      <c r="L60" s="55"/>
      <c r="M60" s="333">
        <v>2020</v>
      </c>
      <c r="N60" s="333"/>
      <c r="O60" s="333">
        <v>2030</v>
      </c>
      <c r="P60" s="333"/>
      <c r="Q60" s="333">
        <v>2050</v>
      </c>
      <c r="R60" s="333"/>
      <c r="S60" s="333">
        <v>2100</v>
      </c>
      <c r="T60" s="334"/>
      <c r="U60" s="54"/>
      <c r="V60" s="55"/>
      <c r="W60" s="333">
        <v>2020</v>
      </c>
      <c r="X60" s="333"/>
      <c r="Y60" s="333">
        <v>2030</v>
      </c>
      <c r="Z60" s="333"/>
      <c r="AA60" s="333">
        <v>2050</v>
      </c>
      <c r="AB60" s="333"/>
      <c r="AC60" s="333">
        <v>2100</v>
      </c>
      <c r="AD60" s="334"/>
    </row>
    <row r="61" spans="2:31">
      <c r="B61" s="24" t="s">
        <v>58</v>
      </c>
      <c r="C61" s="17"/>
      <c r="D61" s="22" t="s">
        <v>56</v>
      </c>
      <c r="E61" s="22" t="s">
        <v>57</v>
      </c>
      <c r="F61" s="22" t="s">
        <v>56</v>
      </c>
      <c r="G61" s="22" t="s">
        <v>57</v>
      </c>
      <c r="H61" s="22" t="s">
        <v>56</v>
      </c>
      <c r="I61" s="22" t="s">
        <v>57</v>
      </c>
      <c r="J61" s="22" t="s">
        <v>56</v>
      </c>
      <c r="K61" s="46" t="s">
        <v>57</v>
      </c>
      <c r="L61" s="17" t="s">
        <v>141</v>
      </c>
      <c r="M61" s="22" t="s">
        <v>56</v>
      </c>
      <c r="N61" s="22" t="s">
        <v>57</v>
      </c>
      <c r="O61" s="22" t="s">
        <v>56</v>
      </c>
      <c r="P61" s="22" t="s">
        <v>57</v>
      </c>
      <c r="Q61" s="22" t="s">
        <v>56</v>
      </c>
      <c r="R61" s="22" t="s">
        <v>57</v>
      </c>
      <c r="S61" s="22" t="s">
        <v>56</v>
      </c>
      <c r="T61" s="46" t="s">
        <v>57</v>
      </c>
      <c r="U61" s="24" t="s">
        <v>58</v>
      </c>
      <c r="V61" s="17"/>
      <c r="W61" s="22" t="s">
        <v>56</v>
      </c>
      <c r="X61" s="22" t="s">
        <v>57</v>
      </c>
      <c r="Y61" s="22" t="s">
        <v>56</v>
      </c>
      <c r="Z61" s="22" t="s">
        <v>57</v>
      </c>
      <c r="AA61" s="22" t="s">
        <v>56</v>
      </c>
      <c r="AB61" s="22" t="s">
        <v>57</v>
      </c>
      <c r="AC61" s="22" t="s">
        <v>56</v>
      </c>
      <c r="AD61" s="46" t="s">
        <v>57</v>
      </c>
    </row>
    <row r="62" spans="2:31">
      <c r="B62" s="56" t="s">
        <v>115</v>
      </c>
      <c r="C62" s="45"/>
      <c r="D62" s="45"/>
      <c r="E62" s="45"/>
      <c r="F62" s="45"/>
      <c r="G62" s="45"/>
      <c r="H62" s="45"/>
      <c r="I62" s="45"/>
      <c r="J62" s="45"/>
      <c r="K62" s="57"/>
      <c r="L62" s="45" t="s">
        <v>142</v>
      </c>
      <c r="M62" s="45"/>
      <c r="N62" s="45"/>
      <c r="O62" s="45"/>
      <c r="P62" s="45"/>
      <c r="Q62" s="45"/>
      <c r="R62" s="45"/>
      <c r="S62" s="45"/>
      <c r="T62" s="57"/>
      <c r="U62" s="56" t="s">
        <v>115</v>
      </c>
      <c r="V62" s="45"/>
      <c r="W62" s="45"/>
      <c r="X62" s="45"/>
      <c r="Y62" s="45"/>
      <c r="Z62" s="45"/>
      <c r="AA62" s="45"/>
      <c r="AB62" s="45"/>
      <c r="AC62" s="45"/>
      <c r="AD62" s="57"/>
    </row>
    <row r="63" spans="2:31">
      <c r="B63" s="21" t="s">
        <v>143</v>
      </c>
      <c r="C63" s="22"/>
      <c r="D63" s="326">
        <f>D27</f>
        <v>2</v>
      </c>
      <c r="E63" s="326"/>
      <c r="F63" s="243">
        <v>2</v>
      </c>
      <c r="G63" s="243">
        <v>2</v>
      </c>
      <c r="H63" s="243">
        <v>2</v>
      </c>
      <c r="I63" s="243">
        <v>2</v>
      </c>
      <c r="J63" s="49">
        <v>0</v>
      </c>
      <c r="K63" s="50">
        <v>0</v>
      </c>
      <c r="L63" s="22" t="s">
        <v>143</v>
      </c>
      <c r="M63" s="349">
        <f>I27</f>
        <v>2</v>
      </c>
      <c r="N63" s="349"/>
      <c r="O63" s="237">
        <v>2</v>
      </c>
      <c r="P63" s="237">
        <v>2</v>
      </c>
      <c r="Q63" s="237">
        <v>2</v>
      </c>
      <c r="R63" s="237">
        <v>2</v>
      </c>
      <c r="S63" s="49">
        <v>0</v>
      </c>
      <c r="T63" s="49">
        <v>0</v>
      </c>
      <c r="U63" s="21" t="s">
        <v>65</v>
      </c>
      <c r="V63" s="22"/>
      <c r="W63" s="326">
        <f>N27</f>
        <v>2</v>
      </c>
      <c r="X63" s="326"/>
      <c r="Y63" s="237">
        <v>2</v>
      </c>
      <c r="Z63" s="237">
        <v>2</v>
      </c>
      <c r="AA63" s="237">
        <v>2</v>
      </c>
      <c r="AB63" s="237">
        <v>2</v>
      </c>
      <c r="AC63" s="49">
        <v>0</v>
      </c>
      <c r="AD63" s="49">
        <v>0</v>
      </c>
      <c r="AE63" s="43"/>
    </row>
    <row r="64" spans="2:31">
      <c r="B64" s="21" t="s">
        <v>66</v>
      </c>
      <c r="C64" s="22"/>
      <c r="D64" s="169">
        <f>D28</f>
        <v>0</v>
      </c>
      <c r="E64" s="169">
        <f>E28</f>
        <v>0</v>
      </c>
      <c r="F64" s="58">
        <f>$D28</f>
        <v>0</v>
      </c>
      <c r="G64" s="58">
        <f>$E28</f>
        <v>0</v>
      </c>
      <c r="H64" s="58">
        <f>$D28</f>
        <v>0</v>
      </c>
      <c r="I64" s="58">
        <f>$E28</f>
        <v>0</v>
      </c>
      <c r="J64" s="58">
        <f>$D28</f>
        <v>0</v>
      </c>
      <c r="K64" s="59">
        <f>$E28</f>
        <v>0</v>
      </c>
      <c r="L64" s="22" t="s">
        <v>66</v>
      </c>
      <c r="M64" s="169">
        <f>I28</f>
        <v>0</v>
      </c>
      <c r="N64" s="169">
        <f>J28</f>
        <v>0</v>
      </c>
      <c r="O64" s="58">
        <f>$I28</f>
        <v>0</v>
      </c>
      <c r="P64" s="58">
        <f>$J28</f>
        <v>0</v>
      </c>
      <c r="Q64" s="244">
        <f>$I28</f>
        <v>0</v>
      </c>
      <c r="R64" s="244">
        <f>$J28</f>
        <v>0</v>
      </c>
      <c r="S64" s="58">
        <f>$I28</f>
        <v>0</v>
      </c>
      <c r="T64" s="59">
        <f>$J28</f>
        <v>0</v>
      </c>
      <c r="U64" s="21" t="s">
        <v>66</v>
      </c>
      <c r="V64" s="22"/>
      <c r="W64" s="169">
        <f>N28</f>
        <v>0</v>
      </c>
      <c r="X64" s="169">
        <f>O28</f>
        <v>0</v>
      </c>
      <c r="Y64" s="58">
        <f>$N28</f>
        <v>0</v>
      </c>
      <c r="Z64" s="58">
        <f>$O28</f>
        <v>0</v>
      </c>
      <c r="AA64" s="58">
        <f>$N28</f>
        <v>0</v>
      </c>
      <c r="AB64" s="58">
        <f>$O28</f>
        <v>0</v>
      </c>
      <c r="AC64" s="58">
        <f>$N28</f>
        <v>0</v>
      </c>
      <c r="AD64" s="59">
        <f>$O28</f>
        <v>0</v>
      </c>
    </row>
    <row r="65" spans="2:30">
      <c r="B65" s="21" t="s">
        <v>171</v>
      </c>
      <c r="C65" s="22"/>
      <c r="D65" s="169"/>
      <c r="E65" s="169"/>
      <c r="F65" s="58">
        <f>$D29</f>
        <v>0</v>
      </c>
      <c r="G65" s="58">
        <f>$E29</f>
        <v>0</v>
      </c>
      <c r="H65" s="58">
        <f>$D29</f>
        <v>0</v>
      </c>
      <c r="I65" s="58">
        <f>$E29</f>
        <v>0</v>
      </c>
      <c r="J65" s="58">
        <f>$D29</f>
        <v>0</v>
      </c>
      <c r="K65" s="59">
        <f>$E29</f>
        <v>0</v>
      </c>
      <c r="L65" s="21" t="s">
        <v>171</v>
      </c>
      <c r="M65" s="169"/>
      <c r="N65" s="169"/>
      <c r="O65" s="58">
        <f>$I29</f>
        <v>0</v>
      </c>
      <c r="P65" s="58">
        <f>$J29</f>
        <v>0</v>
      </c>
      <c r="Q65" s="244">
        <f>$I29</f>
        <v>0</v>
      </c>
      <c r="R65" s="244">
        <f>$J29</f>
        <v>0</v>
      </c>
      <c r="S65" s="58">
        <f>$I29</f>
        <v>0</v>
      </c>
      <c r="T65" s="59">
        <f>$J29</f>
        <v>0</v>
      </c>
      <c r="U65" s="21" t="s">
        <v>171</v>
      </c>
      <c r="V65" s="22"/>
      <c r="W65" s="169"/>
      <c r="X65" s="169"/>
      <c r="Y65" s="58">
        <f>$N29</f>
        <v>0</v>
      </c>
      <c r="Z65" s="58">
        <f>$O29</f>
        <v>0</v>
      </c>
      <c r="AA65" s="58">
        <f>$N29</f>
        <v>0</v>
      </c>
      <c r="AB65" s="58">
        <f>$O29</f>
        <v>0</v>
      </c>
      <c r="AC65" s="58">
        <f>$N29</f>
        <v>0</v>
      </c>
      <c r="AD65" s="59">
        <f>$O29</f>
        <v>0</v>
      </c>
    </row>
    <row r="66" spans="2:30">
      <c r="B66" s="21" t="s">
        <v>67</v>
      </c>
      <c r="C66" s="22"/>
      <c r="D66" s="171">
        <f>D30</f>
        <v>0</v>
      </c>
      <c r="E66" s="171">
        <f>D29</f>
        <v>0</v>
      </c>
      <c r="F66" s="32">
        <f>$D30</f>
        <v>0</v>
      </c>
      <c r="G66" s="32">
        <f>$D29</f>
        <v>0</v>
      </c>
      <c r="H66" s="32">
        <f>$D30</f>
        <v>0</v>
      </c>
      <c r="I66" s="32">
        <f>$D29</f>
        <v>0</v>
      </c>
      <c r="J66" s="32">
        <f>$D30</f>
        <v>0</v>
      </c>
      <c r="K66" s="60">
        <f>$D29</f>
        <v>0</v>
      </c>
      <c r="L66" s="22" t="s">
        <v>67</v>
      </c>
      <c r="M66" s="171">
        <f>I30</f>
        <v>0</v>
      </c>
      <c r="N66" s="171">
        <f>J30</f>
        <v>0</v>
      </c>
      <c r="O66" s="32">
        <f>$I30</f>
        <v>0</v>
      </c>
      <c r="P66" s="32">
        <f>$J30</f>
        <v>0</v>
      </c>
      <c r="Q66" s="245">
        <f>$I30</f>
        <v>0</v>
      </c>
      <c r="R66" s="245">
        <f>$J30</f>
        <v>0</v>
      </c>
      <c r="S66" s="32">
        <f>$I30</f>
        <v>0</v>
      </c>
      <c r="T66" s="60">
        <f>$J30</f>
        <v>0</v>
      </c>
      <c r="U66" s="21" t="s">
        <v>67</v>
      </c>
      <c r="V66" s="22"/>
      <c r="W66" s="171">
        <f>N30</f>
        <v>0</v>
      </c>
      <c r="X66" s="171">
        <f>O30</f>
        <v>0</v>
      </c>
      <c r="Y66" s="32">
        <f>$N30</f>
        <v>0</v>
      </c>
      <c r="Z66" s="32">
        <f>$O30</f>
        <v>0</v>
      </c>
      <c r="AA66" s="32">
        <f>$N30</f>
        <v>0</v>
      </c>
      <c r="AB66" s="32">
        <f>$O30</f>
        <v>0</v>
      </c>
      <c r="AC66" s="32">
        <f>$N30</f>
        <v>0</v>
      </c>
      <c r="AD66" s="60">
        <f>$O30</f>
        <v>0</v>
      </c>
    </row>
    <row r="67" spans="2:30">
      <c r="B67" s="21" t="s">
        <v>68</v>
      </c>
      <c r="C67" s="22"/>
      <c r="D67" s="171">
        <f>D31</f>
        <v>0</v>
      </c>
      <c r="E67" s="171">
        <f>E31</f>
        <v>0</v>
      </c>
      <c r="F67" s="32">
        <f>$D31</f>
        <v>0</v>
      </c>
      <c r="G67" s="32">
        <f>$E31</f>
        <v>0</v>
      </c>
      <c r="H67" s="32">
        <f>$D31</f>
        <v>0</v>
      </c>
      <c r="I67" s="32">
        <f>$E31</f>
        <v>0</v>
      </c>
      <c r="J67" s="32">
        <f>$D31</f>
        <v>0</v>
      </c>
      <c r="K67" s="60">
        <f>$E31</f>
        <v>0</v>
      </c>
      <c r="L67" s="22" t="s">
        <v>68</v>
      </c>
      <c r="M67" s="171">
        <f>I31</f>
        <v>0</v>
      </c>
      <c r="N67" s="171">
        <f>J31</f>
        <v>0</v>
      </c>
      <c r="O67" s="32">
        <f>$I31</f>
        <v>0</v>
      </c>
      <c r="P67" s="32">
        <f>$J31</f>
        <v>0</v>
      </c>
      <c r="Q67" s="245">
        <f>$I31</f>
        <v>0</v>
      </c>
      <c r="R67" s="245">
        <f>$J31</f>
        <v>0</v>
      </c>
      <c r="S67" s="32">
        <f>$I31</f>
        <v>0</v>
      </c>
      <c r="T67" s="60">
        <f>$J31</f>
        <v>0</v>
      </c>
      <c r="U67" s="21" t="s">
        <v>68</v>
      </c>
      <c r="V67" s="22"/>
      <c r="W67" s="171">
        <f>N31</f>
        <v>0</v>
      </c>
      <c r="X67" s="171">
        <f>O31</f>
        <v>0</v>
      </c>
      <c r="Y67" s="32">
        <f>$N31</f>
        <v>0</v>
      </c>
      <c r="Z67" s="32">
        <f>$O31</f>
        <v>0</v>
      </c>
      <c r="AA67" s="32">
        <f>$N31</f>
        <v>0</v>
      </c>
      <c r="AB67" s="32">
        <f>$O31</f>
        <v>0</v>
      </c>
      <c r="AC67" s="32">
        <f>$N31</f>
        <v>0</v>
      </c>
      <c r="AD67" s="60">
        <f>$O31</f>
        <v>0</v>
      </c>
    </row>
    <row r="68" spans="2:30" ht="15" customHeight="1">
      <c r="B68" s="56" t="s">
        <v>116</v>
      </c>
      <c r="C68" s="45"/>
      <c r="D68" s="170"/>
      <c r="E68" s="170"/>
      <c r="F68" s="45"/>
      <c r="G68" s="45"/>
      <c r="H68" s="45"/>
      <c r="I68" s="45"/>
      <c r="J68" s="45"/>
      <c r="K68" s="57"/>
      <c r="L68" s="133" t="s">
        <v>116</v>
      </c>
      <c r="M68" s="169"/>
      <c r="N68" s="170"/>
      <c r="O68" s="45"/>
      <c r="P68" s="45"/>
      <c r="Q68" s="45"/>
      <c r="R68" s="45"/>
      <c r="S68" s="45"/>
      <c r="T68" s="57"/>
      <c r="U68" s="56" t="s">
        <v>116</v>
      </c>
      <c r="V68" s="45"/>
      <c r="W68" s="170"/>
      <c r="X68" s="170"/>
      <c r="Y68" s="45"/>
      <c r="Z68" s="45"/>
      <c r="AA68" s="45"/>
      <c r="AB68" s="45"/>
      <c r="AC68" s="45"/>
      <c r="AD68" s="57"/>
    </row>
    <row r="69" spans="2:30">
      <c r="B69" s="21" t="s">
        <v>65</v>
      </c>
      <c r="C69" s="22"/>
      <c r="D69" s="326">
        <f>D33</f>
        <v>10</v>
      </c>
      <c r="E69" s="326"/>
      <c r="F69" s="243">
        <v>10</v>
      </c>
      <c r="G69" s="243">
        <v>5</v>
      </c>
      <c r="H69" s="243">
        <v>10</v>
      </c>
      <c r="I69" s="243">
        <v>5</v>
      </c>
      <c r="J69" s="49">
        <v>0</v>
      </c>
      <c r="K69" s="50">
        <v>0</v>
      </c>
      <c r="L69" s="22" t="s">
        <v>65</v>
      </c>
      <c r="M69" s="349">
        <f>I32</f>
        <v>0</v>
      </c>
      <c r="N69" s="349"/>
      <c r="O69" s="237">
        <v>10</v>
      </c>
      <c r="P69" s="237">
        <v>5</v>
      </c>
      <c r="Q69" s="237">
        <v>10</v>
      </c>
      <c r="R69" s="237">
        <v>5</v>
      </c>
      <c r="S69" s="49">
        <v>0</v>
      </c>
      <c r="T69" s="50">
        <v>0</v>
      </c>
      <c r="U69" s="21" t="s">
        <v>65</v>
      </c>
      <c r="V69" s="22"/>
      <c r="W69" s="326">
        <f>N33</f>
        <v>10</v>
      </c>
      <c r="X69" s="326"/>
      <c r="Y69" s="237">
        <v>10</v>
      </c>
      <c r="Z69" s="237">
        <v>5</v>
      </c>
      <c r="AA69" s="237">
        <v>10</v>
      </c>
      <c r="AB69" s="237">
        <v>5</v>
      </c>
      <c r="AC69" s="49">
        <v>0</v>
      </c>
      <c r="AD69" s="50">
        <v>0</v>
      </c>
    </row>
    <row r="70" spans="2:30">
      <c r="B70" s="21" t="s">
        <v>66</v>
      </c>
      <c r="C70" s="22"/>
      <c r="D70" s="169">
        <f>D34</f>
        <v>0</v>
      </c>
      <c r="E70" s="169">
        <f>E34</f>
        <v>0</v>
      </c>
      <c r="F70" s="58">
        <f>$D34</f>
        <v>0</v>
      </c>
      <c r="G70" s="58">
        <f>$E34</f>
        <v>0</v>
      </c>
      <c r="H70" s="58">
        <f>$D34</f>
        <v>0</v>
      </c>
      <c r="I70" s="58">
        <f>$E34</f>
        <v>0</v>
      </c>
      <c r="J70" s="58">
        <f>$D34</f>
        <v>0</v>
      </c>
      <c r="K70" s="59">
        <f>$E34</f>
        <v>0</v>
      </c>
      <c r="L70" s="22" t="s">
        <v>66</v>
      </c>
      <c r="M70" s="169">
        <f>I34</f>
        <v>-0.24657534246575699</v>
      </c>
      <c r="N70" s="169">
        <f>J34</f>
        <v>-0.49315068493150299</v>
      </c>
      <c r="O70" s="58">
        <f>$I34</f>
        <v>-0.24657534246575699</v>
      </c>
      <c r="P70" s="58">
        <f>$J34</f>
        <v>-0.49315068493150299</v>
      </c>
      <c r="Q70" s="58">
        <f>$I34</f>
        <v>-0.24657534246575699</v>
      </c>
      <c r="R70" s="58">
        <f>$J34</f>
        <v>-0.49315068493150299</v>
      </c>
      <c r="S70" s="58">
        <f>$I34</f>
        <v>-0.24657534246575699</v>
      </c>
      <c r="T70" s="59">
        <f>$J34</f>
        <v>-0.49315068493150299</v>
      </c>
      <c r="U70" s="21" t="s">
        <v>66</v>
      </c>
      <c r="V70" s="22"/>
      <c r="W70" s="202">
        <f>N34</f>
        <v>-0.49315068493150299</v>
      </c>
      <c r="X70" s="202">
        <f>O34</f>
        <v>-0.73972602739726101</v>
      </c>
      <c r="Y70" s="58">
        <f>$N34</f>
        <v>-0.49315068493150299</v>
      </c>
      <c r="Z70" s="58">
        <f>$O34</f>
        <v>-0.73972602739726101</v>
      </c>
      <c r="AA70" s="58">
        <f>$N34</f>
        <v>-0.49315068493150299</v>
      </c>
      <c r="AB70" s="58">
        <f>$O34</f>
        <v>-0.73972602739726101</v>
      </c>
      <c r="AC70" s="58">
        <f>$N34</f>
        <v>-0.49315068493150299</v>
      </c>
      <c r="AD70" s="59">
        <f>$O34</f>
        <v>-0.73972602739726101</v>
      </c>
    </row>
    <row r="71" spans="2:30">
      <c r="B71" s="21" t="s">
        <v>171</v>
      </c>
      <c r="C71" s="22"/>
      <c r="D71" s="169"/>
      <c r="E71" s="169"/>
      <c r="F71" s="58">
        <f>$D35</f>
        <v>0</v>
      </c>
      <c r="G71" s="58">
        <f>$E35</f>
        <v>0</v>
      </c>
      <c r="H71" s="58">
        <f>$D35</f>
        <v>0</v>
      </c>
      <c r="I71" s="58">
        <f>$E35</f>
        <v>0</v>
      </c>
      <c r="J71" s="58">
        <f>$D35</f>
        <v>0</v>
      </c>
      <c r="K71" s="59">
        <f>$E35</f>
        <v>0</v>
      </c>
      <c r="L71" s="21" t="s">
        <v>171</v>
      </c>
      <c r="M71" s="169"/>
      <c r="N71" s="169"/>
      <c r="O71" s="58">
        <f>$I35</f>
        <v>-0.49315068493150399</v>
      </c>
      <c r="P71" s="58">
        <f>$J35</f>
        <v>-0.73972602739725601</v>
      </c>
      <c r="Q71" s="58">
        <f>$I35</f>
        <v>-0.49315068493150399</v>
      </c>
      <c r="R71" s="58">
        <f>$J35</f>
        <v>-0.73972602739725601</v>
      </c>
      <c r="S71" s="58">
        <f>$I35</f>
        <v>-0.49315068493150399</v>
      </c>
      <c r="T71" s="59">
        <f>$J35</f>
        <v>-0.73972602739725601</v>
      </c>
      <c r="U71" s="21" t="s">
        <v>171</v>
      </c>
      <c r="V71" s="22"/>
      <c r="W71" s="202"/>
      <c r="X71" s="202"/>
      <c r="Y71" s="58">
        <f>$N35</f>
        <v>-0.61643835616437004</v>
      </c>
      <c r="Z71" s="58">
        <f>$O35</f>
        <v>-0.86301369863014199</v>
      </c>
      <c r="AA71" s="58">
        <f>$N35</f>
        <v>-0.61643835616437004</v>
      </c>
      <c r="AB71" s="58">
        <f>$O35</f>
        <v>-0.86301369863014199</v>
      </c>
      <c r="AC71" s="58">
        <f>$N35</f>
        <v>-0.61643835616437004</v>
      </c>
      <c r="AD71" s="59">
        <f>$O35</f>
        <v>-0.86301369863014199</v>
      </c>
    </row>
    <row r="72" spans="2:30">
      <c r="B72" s="21" t="s">
        <v>67</v>
      </c>
      <c r="C72" s="22"/>
      <c r="D72" s="171">
        <f>D36</f>
        <v>0</v>
      </c>
      <c r="E72" s="171">
        <f>E36</f>
        <v>0</v>
      </c>
      <c r="F72" s="32">
        <f>$D36</f>
        <v>0</v>
      </c>
      <c r="G72" s="32">
        <f>$E36</f>
        <v>0</v>
      </c>
      <c r="H72" s="32">
        <f>$D36</f>
        <v>0</v>
      </c>
      <c r="I72" s="32">
        <f>$E36</f>
        <v>0</v>
      </c>
      <c r="J72" s="32">
        <f>$D36</f>
        <v>0</v>
      </c>
      <c r="K72" s="60">
        <f>$E36</f>
        <v>0</v>
      </c>
      <c r="L72" s="22" t="s">
        <v>67</v>
      </c>
      <c r="M72" s="171">
        <f>I36</f>
        <v>297.4454070000001</v>
      </c>
      <c r="N72" s="171">
        <f>J36</f>
        <v>594.8908140000002</v>
      </c>
      <c r="O72" s="32">
        <f>$I36</f>
        <v>297.4454070000001</v>
      </c>
      <c r="P72" s="32">
        <f>$J36</f>
        <v>594.8908140000002</v>
      </c>
      <c r="Q72" s="32">
        <f>$I36</f>
        <v>297.4454070000001</v>
      </c>
      <c r="R72" s="32">
        <f>$J36</f>
        <v>594.8908140000002</v>
      </c>
      <c r="S72" s="32">
        <f>$I36</f>
        <v>297.4454070000001</v>
      </c>
      <c r="T72" s="60">
        <f>$J36</f>
        <v>594.8908140000002</v>
      </c>
      <c r="U72" s="21" t="s">
        <v>67</v>
      </c>
      <c r="V72" s="22"/>
      <c r="W72" s="171">
        <f>N36</f>
        <v>297.4454070000001</v>
      </c>
      <c r="X72" s="171">
        <f>O36</f>
        <v>594.8908140000002</v>
      </c>
      <c r="Y72" s="32">
        <f>$N36</f>
        <v>297.4454070000001</v>
      </c>
      <c r="Z72" s="32">
        <f>$O36</f>
        <v>594.8908140000002</v>
      </c>
      <c r="AA72" s="32">
        <f>$N36</f>
        <v>297.4454070000001</v>
      </c>
      <c r="AB72" s="32">
        <f>$O36</f>
        <v>594.8908140000002</v>
      </c>
      <c r="AC72" s="32">
        <f>$N36</f>
        <v>297.4454070000001</v>
      </c>
      <c r="AD72" s="60">
        <f>$O36</f>
        <v>594.8908140000002</v>
      </c>
    </row>
    <row r="73" spans="2:30">
      <c r="B73" s="21" t="s">
        <v>68</v>
      </c>
      <c r="C73" s="22"/>
      <c r="D73" s="171">
        <f>D37</f>
        <v>0</v>
      </c>
      <c r="E73" s="171">
        <f>E37</f>
        <v>0</v>
      </c>
      <c r="F73" s="32">
        <f>$D37</f>
        <v>0</v>
      </c>
      <c r="G73" s="32">
        <f>$E37</f>
        <v>0</v>
      </c>
      <c r="H73" s="32">
        <f>$D37</f>
        <v>0</v>
      </c>
      <c r="I73" s="32">
        <f>$E37</f>
        <v>0</v>
      </c>
      <c r="J73" s="32">
        <f>$D37</f>
        <v>0</v>
      </c>
      <c r="K73" s="60">
        <f>$E37</f>
        <v>0</v>
      </c>
      <c r="L73" s="22" t="s">
        <v>68</v>
      </c>
      <c r="M73" s="171">
        <f>I37</f>
        <v>0</v>
      </c>
      <c r="N73" s="171">
        <f>J37</f>
        <v>0</v>
      </c>
      <c r="O73" s="32">
        <f>$I37</f>
        <v>0</v>
      </c>
      <c r="P73" s="32">
        <f>$J37</f>
        <v>0</v>
      </c>
      <c r="Q73" s="32">
        <f>$I37</f>
        <v>0</v>
      </c>
      <c r="R73" s="32">
        <f>$J37</f>
        <v>0</v>
      </c>
      <c r="S73" s="32">
        <f>$I37</f>
        <v>0</v>
      </c>
      <c r="T73" s="60">
        <f>$J37</f>
        <v>0</v>
      </c>
      <c r="U73" s="21" t="s">
        <v>68</v>
      </c>
      <c r="V73" s="22"/>
      <c r="W73" s="171">
        <f>N37</f>
        <v>0</v>
      </c>
      <c r="X73" s="171">
        <f>O37</f>
        <v>0</v>
      </c>
      <c r="Y73" s="32">
        <f>$N37</f>
        <v>0</v>
      </c>
      <c r="Z73" s="32">
        <f>$O37</f>
        <v>0</v>
      </c>
      <c r="AA73" s="32">
        <f>$N37</f>
        <v>0</v>
      </c>
      <c r="AB73" s="32">
        <f>$O37</f>
        <v>0</v>
      </c>
      <c r="AC73" s="32">
        <f>$N37</f>
        <v>0</v>
      </c>
      <c r="AD73" s="60">
        <f>$O37</f>
        <v>0</v>
      </c>
    </row>
    <row r="74" spans="2:30">
      <c r="B74" s="56" t="s">
        <v>117</v>
      </c>
      <c r="C74" s="45"/>
      <c r="D74" s="170"/>
      <c r="E74" s="170"/>
      <c r="F74" s="45"/>
      <c r="G74" s="45"/>
      <c r="H74" s="45"/>
      <c r="I74" s="45"/>
      <c r="J74" s="45"/>
      <c r="K74" s="57"/>
      <c r="L74" s="133" t="s">
        <v>117</v>
      </c>
      <c r="M74" s="170"/>
      <c r="N74" s="170"/>
      <c r="O74" s="45"/>
      <c r="P74" s="45"/>
      <c r="Q74" s="45"/>
      <c r="R74" s="45"/>
      <c r="S74" s="45"/>
      <c r="T74" s="57"/>
      <c r="U74" s="56" t="s">
        <v>117</v>
      </c>
      <c r="V74" s="45"/>
      <c r="W74" s="170"/>
      <c r="X74" s="170"/>
      <c r="Y74" s="45"/>
      <c r="Z74" s="45"/>
      <c r="AA74" s="45"/>
      <c r="AB74" s="45"/>
      <c r="AC74" s="45"/>
      <c r="AD74" s="57"/>
    </row>
    <row r="75" spans="2:30">
      <c r="B75" s="21" t="s">
        <v>65</v>
      </c>
      <c r="C75" s="22"/>
      <c r="D75" s="326">
        <f>D39</f>
        <v>100</v>
      </c>
      <c r="E75" s="326"/>
      <c r="F75" s="243">
        <v>100</v>
      </c>
      <c r="G75" s="243">
        <v>50</v>
      </c>
      <c r="H75" s="243">
        <v>100</v>
      </c>
      <c r="I75" s="243">
        <v>50</v>
      </c>
      <c r="J75" s="49">
        <v>0</v>
      </c>
      <c r="K75" s="50">
        <v>0</v>
      </c>
      <c r="L75" s="22" t="s">
        <v>65</v>
      </c>
      <c r="M75" s="349">
        <f>I37</f>
        <v>0</v>
      </c>
      <c r="N75" s="349"/>
      <c r="O75" s="237">
        <v>100</v>
      </c>
      <c r="P75" s="237">
        <v>50</v>
      </c>
      <c r="Q75" s="237">
        <v>100</v>
      </c>
      <c r="R75" s="237">
        <v>50</v>
      </c>
      <c r="S75" s="49">
        <v>0</v>
      </c>
      <c r="T75" s="49">
        <v>0</v>
      </c>
      <c r="U75" s="21" t="s">
        <v>65</v>
      </c>
      <c r="V75" s="22"/>
      <c r="W75" s="326">
        <f>N39</f>
        <v>100</v>
      </c>
      <c r="X75" s="326"/>
      <c r="Y75" s="237">
        <v>100</v>
      </c>
      <c r="Z75" s="237">
        <v>50</v>
      </c>
      <c r="AA75" s="237">
        <v>100</v>
      </c>
      <c r="AB75" s="237">
        <v>50</v>
      </c>
      <c r="AC75" s="49">
        <v>0</v>
      </c>
      <c r="AD75" s="49">
        <v>0</v>
      </c>
    </row>
    <row r="76" spans="2:30">
      <c r="B76" s="21" t="s">
        <v>66</v>
      </c>
      <c r="C76" s="22"/>
      <c r="D76" s="169">
        <f>D40</f>
        <v>0</v>
      </c>
      <c r="E76" s="169">
        <f>E40</f>
        <v>0</v>
      </c>
      <c r="F76" s="58">
        <f>$D40</f>
        <v>0</v>
      </c>
      <c r="G76" s="58">
        <f>$E40</f>
        <v>0</v>
      </c>
      <c r="H76" s="58">
        <f>$D40</f>
        <v>0</v>
      </c>
      <c r="I76" s="58">
        <f>$E40</f>
        <v>0</v>
      </c>
      <c r="J76" s="58">
        <f>$D40</f>
        <v>0</v>
      </c>
      <c r="K76" s="59">
        <f>$E40</f>
        <v>0</v>
      </c>
      <c r="L76" s="22" t="s">
        <v>66</v>
      </c>
      <c r="M76" s="169">
        <f>I40</f>
        <v>-0.14794520547944501</v>
      </c>
      <c r="N76" s="202">
        <f>J40</f>
        <v>-0.19726027397260101</v>
      </c>
      <c r="O76" s="58">
        <f>I40</f>
        <v>-0.14794520547944501</v>
      </c>
      <c r="P76" s="211">
        <f>$J40</f>
        <v>-0.19726027397260101</v>
      </c>
      <c r="Q76" s="58">
        <f>$I40</f>
        <v>-0.14794520547944501</v>
      </c>
      <c r="R76" s="58">
        <f>$J40</f>
        <v>-0.19726027397260101</v>
      </c>
      <c r="S76" s="58">
        <f>$I40</f>
        <v>-0.14794520547944501</v>
      </c>
      <c r="T76" s="59">
        <f>$J40</f>
        <v>-0.19726027397260101</v>
      </c>
      <c r="U76" s="21" t="s">
        <v>66</v>
      </c>
      <c r="V76" s="22"/>
      <c r="W76" s="169">
        <f>N40</f>
        <v>-0.19726027397260101</v>
      </c>
      <c r="X76" s="169">
        <f>O40</f>
        <v>-0.295890410958913</v>
      </c>
      <c r="Y76" s="58">
        <f>$N40</f>
        <v>-0.19726027397260101</v>
      </c>
      <c r="Z76" s="58">
        <f>$O40</f>
        <v>-0.295890410958913</v>
      </c>
      <c r="AA76" s="58">
        <f>$N40</f>
        <v>-0.19726027397260101</v>
      </c>
      <c r="AB76" s="58">
        <f>$O40</f>
        <v>-0.295890410958913</v>
      </c>
      <c r="AC76" s="58">
        <f>$N40</f>
        <v>-0.19726027397260101</v>
      </c>
      <c r="AD76" s="59">
        <f>$O40</f>
        <v>-0.295890410958913</v>
      </c>
    </row>
    <row r="77" spans="2:30">
      <c r="B77" s="21" t="s">
        <v>171</v>
      </c>
      <c r="C77" s="22"/>
      <c r="D77" s="169"/>
      <c r="E77" s="169"/>
      <c r="F77" s="58">
        <f>$D41</f>
        <v>0</v>
      </c>
      <c r="G77" s="58">
        <f>$E41</f>
        <v>0</v>
      </c>
      <c r="H77" s="58">
        <f>$D41</f>
        <v>0</v>
      </c>
      <c r="I77" s="58">
        <f>$E41</f>
        <v>0</v>
      </c>
      <c r="J77" s="58">
        <f>$D41</f>
        <v>0</v>
      </c>
      <c r="K77" s="59">
        <f>$E41</f>
        <v>0</v>
      </c>
      <c r="L77" s="21" t="s">
        <v>171</v>
      </c>
      <c r="M77" s="169"/>
      <c r="N77" s="202"/>
      <c r="O77" s="58">
        <f>I41</f>
        <v>-0.19726027397260601</v>
      </c>
      <c r="P77" s="211">
        <f>$J41</f>
        <v>-0.29589041095889801</v>
      </c>
      <c r="Q77" s="58">
        <f>$I41</f>
        <v>-0.19726027397260601</v>
      </c>
      <c r="R77" s="58">
        <f>$J41</f>
        <v>-0.29589041095889801</v>
      </c>
      <c r="S77" s="58">
        <f>$I41</f>
        <v>-0.19726027397260601</v>
      </c>
      <c r="T77" s="59">
        <f>$J41</f>
        <v>-0.29589041095889801</v>
      </c>
      <c r="U77" s="21" t="s">
        <v>171</v>
      </c>
      <c r="V77" s="22"/>
      <c r="W77" s="169"/>
      <c r="X77" s="169"/>
      <c r="Y77" s="58">
        <f>$N41</f>
        <v>-0.22191780821915899</v>
      </c>
      <c r="Z77" s="58">
        <f>$O41</f>
        <v>-0.32054794520547197</v>
      </c>
      <c r="AA77" s="58">
        <f>$N41</f>
        <v>-0.22191780821915899</v>
      </c>
      <c r="AB77" s="58">
        <f>$O41</f>
        <v>-0.32054794520547197</v>
      </c>
      <c r="AC77" s="58">
        <f>$N41</f>
        <v>-0.22191780821915899</v>
      </c>
      <c r="AD77" s="59">
        <f>$O41</f>
        <v>-0.32054794520547197</v>
      </c>
    </row>
    <row r="78" spans="2:30">
      <c r="B78" s="21" t="s">
        <v>67</v>
      </c>
      <c r="C78" s="22"/>
      <c r="D78" s="171">
        <f>D42</f>
        <v>0</v>
      </c>
      <c r="E78" s="171">
        <f>E42</f>
        <v>0</v>
      </c>
      <c r="F78" s="32">
        <f>$D42</f>
        <v>0</v>
      </c>
      <c r="G78" s="32">
        <f>$E42</f>
        <v>0</v>
      </c>
      <c r="H78" s="32">
        <f>$D42</f>
        <v>0</v>
      </c>
      <c r="I78" s="32">
        <f>$E42</f>
        <v>0</v>
      </c>
      <c r="J78" s="32">
        <f>$D42</f>
        <v>0</v>
      </c>
      <c r="K78" s="60">
        <f>$E42</f>
        <v>0</v>
      </c>
      <c r="L78" s="22" t="s">
        <v>67</v>
      </c>
      <c r="M78" s="171">
        <f>I42</f>
        <v>743.61351750000017</v>
      </c>
      <c r="N78" s="171">
        <f>J42</f>
        <v>1041.0589245000001</v>
      </c>
      <c r="O78" s="32">
        <f>I42</f>
        <v>743.61351750000017</v>
      </c>
      <c r="P78" s="32">
        <f>$J42</f>
        <v>1041.0589245000001</v>
      </c>
      <c r="Q78" s="32">
        <f>$I42</f>
        <v>743.61351750000017</v>
      </c>
      <c r="R78" s="32">
        <f>$J42</f>
        <v>1041.0589245000001</v>
      </c>
      <c r="S78" s="32">
        <f>$I42</f>
        <v>743.61351750000017</v>
      </c>
      <c r="T78" s="60">
        <f>$J42</f>
        <v>1041.0589245000001</v>
      </c>
      <c r="U78" s="21" t="s">
        <v>67</v>
      </c>
      <c r="V78" s="22"/>
      <c r="W78" s="171">
        <f>N42</f>
        <v>743.61351750000017</v>
      </c>
      <c r="X78" s="171">
        <f>O42</f>
        <v>1041.0589245000001</v>
      </c>
      <c r="Y78" s="32">
        <f>$N42</f>
        <v>743.61351750000017</v>
      </c>
      <c r="Z78" s="32">
        <f>$O42</f>
        <v>1041.0589245000001</v>
      </c>
      <c r="AA78" s="32">
        <f>$N42</f>
        <v>743.61351750000017</v>
      </c>
      <c r="AB78" s="32">
        <f>$O42</f>
        <v>1041.0589245000001</v>
      </c>
      <c r="AC78" s="32">
        <f>$N42</f>
        <v>743.61351750000017</v>
      </c>
      <c r="AD78" s="60">
        <f>$O42</f>
        <v>1041.0589245000001</v>
      </c>
    </row>
    <row r="79" spans="2:30">
      <c r="B79" s="21" t="s">
        <v>68</v>
      </c>
      <c r="C79" s="22"/>
      <c r="D79" s="171">
        <f>D43</f>
        <v>0</v>
      </c>
      <c r="E79" s="171">
        <f>E43</f>
        <v>0</v>
      </c>
      <c r="F79" s="32">
        <f>$D43</f>
        <v>0</v>
      </c>
      <c r="G79" s="32">
        <f>$E43</f>
        <v>0</v>
      </c>
      <c r="H79" s="32">
        <f>$D43</f>
        <v>0</v>
      </c>
      <c r="I79" s="32">
        <f>$E43</f>
        <v>0</v>
      </c>
      <c r="J79" s="32">
        <f>$D43</f>
        <v>0</v>
      </c>
      <c r="K79" s="60">
        <f>$E43</f>
        <v>0</v>
      </c>
      <c r="L79" s="22" t="s">
        <v>68</v>
      </c>
      <c r="M79" s="171">
        <f>I43</f>
        <v>0</v>
      </c>
      <c r="N79" s="171">
        <f>J43</f>
        <v>0</v>
      </c>
      <c r="O79" s="32">
        <f>I43</f>
        <v>0</v>
      </c>
      <c r="P79" s="32">
        <f>$J43</f>
        <v>0</v>
      </c>
      <c r="Q79" s="32">
        <f>$I43</f>
        <v>0</v>
      </c>
      <c r="R79" s="32">
        <f>$J43</f>
        <v>0</v>
      </c>
      <c r="S79" s="32">
        <f>$I43</f>
        <v>0</v>
      </c>
      <c r="T79" s="60">
        <f>$J43</f>
        <v>0</v>
      </c>
      <c r="U79" s="21" t="s">
        <v>68</v>
      </c>
      <c r="V79" s="22"/>
      <c r="W79" s="171">
        <f>N43</f>
        <v>0</v>
      </c>
      <c r="X79" s="171">
        <f>O43</f>
        <v>0</v>
      </c>
      <c r="Y79" s="32">
        <f>$N43</f>
        <v>0</v>
      </c>
      <c r="Z79" s="32">
        <f>$O43</f>
        <v>0</v>
      </c>
      <c r="AA79" s="32">
        <f>$N43</f>
        <v>0</v>
      </c>
      <c r="AB79" s="32">
        <f>$O43</f>
        <v>0</v>
      </c>
      <c r="AC79" s="32">
        <f>$N43</f>
        <v>0</v>
      </c>
      <c r="AD79" s="60">
        <f>$O43</f>
        <v>0</v>
      </c>
    </row>
    <row r="80" spans="2:30">
      <c r="B80" s="56" t="s">
        <v>118</v>
      </c>
      <c r="C80" s="45"/>
      <c r="D80" s="170"/>
      <c r="E80" s="170"/>
      <c r="F80" s="45"/>
      <c r="G80" s="45"/>
      <c r="H80" s="45"/>
      <c r="I80" s="45"/>
      <c r="J80" s="45"/>
      <c r="K80" s="57"/>
      <c r="L80" s="133" t="s">
        <v>118</v>
      </c>
      <c r="M80" s="169">
        <f t="shared" ref="M80" si="0">N44</f>
        <v>0</v>
      </c>
      <c r="N80" s="170"/>
      <c r="O80" s="201"/>
      <c r="P80" s="45"/>
      <c r="Q80" s="45"/>
      <c r="R80" s="45"/>
      <c r="S80" s="45"/>
      <c r="T80" s="57"/>
      <c r="U80" s="56" t="s">
        <v>118</v>
      </c>
      <c r="V80" s="45"/>
      <c r="W80" s="170"/>
      <c r="X80" s="170"/>
      <c r="Y80" s="45"/>
      <c r="Z80" s="45"/>
      <c r="AA80" s="45"/>
      <c r="AB80" s="45"/>
      <c r="AC80" s="45"/>
      <c r="AD80" s="57"/>
    </row>
    <row r="81" spans="2:31" ht="15" thickBot="1">
      <c r="B81" s="21" t="s">
        <v>65</v>
      </c>
      <c r="C81" s="22"/>
      <c r="D81" s="326">
        <f>D45</f>
        <v>1000</v>
      </c>
      <c r="E81" s="326"/>
      <c r="F81" s="243">
        <v>1000</v>
      </c>
      <c r="G81" s="243">
        <v>500</v>
      </c>
      <c r="H81" s="243">
        <v>1000</v>
      </c>
      <c r="I81" s="243">
        <v>500</v>
      </c>
      <c r="J81" s="49">
        <v>0</v>
      </c>
      <c r="K81" s="50">
        <v>0</v>
      </c>
      <c r="L81" s="22" t="s">
        <v>65</v>
      </c>
      <c r="M81" s="349">
        <f>I42</f>
        <v>743.61351750000017</v>
      </c>
      <c r="N81" s="349"/>
      <c r="O81" s="237">
        <v>1000</v>
      </c>
      <c r="P81" s="237">
        <v>500</v>
      </c>
      <c r="Q81" s="237">
        <v>1000</v>
      </c>
      <c r="R81" s="237">
        <v>500</v>
      </c>
      <c r="S81" s="52">
        <v>0</v>
      </c>
      <c r="T81" s="52">
        <v>0</v>
      </c>
      <c r="U81" s="33" t="s">
        <v>65</v>
      </c>
      <c r="V81" s="34"/>
      <c r="W81" s="359">
        <f>N45</f>
        <v>1000</v>
      </c>
      <c r="X81" s="359"/>
      <c r="Y81" s="243">
        <v>1000</v>
      </c>
      <c r="Z81" s="243">
        <v>500</v>
      </c>
      <c r="AA81" s="243">
        <v>1000</v>
      </c>
      <c r="AB81" s="243">
        <v>500</v>
      </c>
      <c r="AC81" s="49">
        <v>0</v>
      </c>
      <c r="AD81" s="50">
        <v>0</v>
      </c>
      <c r="AE81" s="99"/>
    </row>
    <row r="82" spans="2:31">
      <c r="B82" s="21" t="s">
        <v>66</v>
      </c>
      <c r="C82" s="22"/>
      <c r="D82" s="169">
        <f>D46</f>
        <v>0</v>
      </c>
      <c r="E82" s="169">
        <f>E46</f>
        <v>0</v>
      </c>
      <c r="F82" s="58">
        <f>$D46</f>
        <v>0</v>
      </c>
      <c r="G82" s="58">
        <f>$E46</f>
        <v>0</v>
      </c>
      <c r="H82" s="58">
        <f>$D46</f>
        <v>0</v>
      </c>
      <c r="I82" s="58">
        <f>$E46</f>
        <v>0</v>
      </c>
      <c r="J82" s="58">
        <f>$D46</f>
        <v>0</v>
      </c>
      <c r="K82" s="59">
        <f>$E46</f>
        <v>0</v>
      </c>
      <c r="L82" s="22" t="s">
        <v>66</v>
      </c>
      <c r="M82" s="169">
        <f>I46</f>
        <v>-3.6986301369864201E-2</v>
      </c>
      <c r="N82" s="169">
        <f>J46</f>
        <v>-5.1780821917812199E-2</v>
      </c>
      <c r="O82" s="32">
        <f>I46</f>
        <v>-3.6986301369864201E-2</v>
      </c>
      <c r="P82" s="58">
        <f>$J46</f>
        <v>-5.1780821917812199E-2</v>
      </c>
      <c r="Q82" s="212">
        <f>$I46</f>
        <v>-3.6986301369864201E-2</v>
      </c>
      <c r="R82" s="212">
        <f>$J46</f>
        <v>-5.1780821917812199E-2</v>
      </c>
      <c r="S82" s="58">
        <f>$I46</f>
        <v>-3.6986301369864201E-2</v>
      </c>
      <c r="T82" s="59">
        <f>$J46</f>
        <v>-5.1780821917812199E-2</v>
      </c>
      <c r="U82" s="21" t="s">
        <v>66</v>
      </c>
      <c r="V82" s="22"/>
      <c r="W82" s="169">
        <f>N46</f>
        <v>-5.9178082191780397E-2</v>
      </c>
      <c r="X82" s="169">
        <f>O46</f>
        <v>-7.3972602739728402E-2</v>
      </c>
      <c r="Y82" s="58">
        <f>$N46</f>
        <v>-5.9178082191780397E-2</v>
      </c>
      <c r="Z82" s="58">
        <f>$O46</f>
        <v>-7.3972602739728402E-2</v>
      </c>
      <c r="AA82" s="58">
        <f>$N46</f>
        <v>-5.9178082191780397E-2</v>
      </c>
      <c r="AB82" s="58">
        <f>$O46</f>
        <v>-7.3972602739728402E-2</v>
      </c>
      <c r="AC82" s="58">
        <f>$N46</f>
        <v>-5.9178082191780397E-2</v>
      </c>
      <c r="AD82" s="203">
        <f>$O46</f>
        <v>-7.3972602739728402E-2</v>
      </c>
    </row>
    <row r="83" spans="2:31">
      <c r="B83" s="21" t="s">
        <v>171</v>
      </c>
      <c r="C83" s="22"/>
      <c r="D83" s="169"/>
      <c r="E83" s="169"/>
      <c r="F83" s="58">
        <f>$D47</f>
        <v>0</v>
      </c>
      <c r="G83" s="58">
        <f>$E47</f>
        <v>0</v>
      </c>
      <c r="H83" s="58">
        <f>$D47</f>
        <v>0</v>
      </c>
      <c r="I83" s="58">
        <f>$E47</f>
        <v>0</v>
      </c>
      <c r="J83" s="58">
        <f>$D47</f>
        <v>0</v>
      </c>
      <c r="K83" s="59">
        <f>$E47</f>
        <v>0</v>
      </c>
      <c r="L83" s="21" t="s">
        <v>171</v>
      </c>
      <c r="M83" s="169"/>
      <c r="N83" s="169"/>
      <c r="O83" s="32">
        <f>I47</f>
        <v>-5.9178082191791798E-2</v>
      </c>
      <c r="P83" s="58">
        <f>$J47</f>
        <v>-7.3972602739719506E-2</v>
      </c>
      <c r="Q83" s="212">
        <f>$I47</f>
        <v>-5.9178082191791798E-2</v>
      </c>
      <c r="R83" s="212">
        <f>$J47</f>
        <v>-7.3972602739719506E-2</v>
      </c>
      <c r="S83" s="58">
        <f>$I47</f>
        <v>-5.9178082191791798E-2</v>
      </c>
      <c r="T83" s="59">
        <f>$J47</f>
        <v>-7.3972602739719506E-2</v>
      </c>
      <c r="U83" s="21" t="s">
        <v>171</v>
      </c>
      <c r="V83" s="22"/>
      <c r="W83" s="169"/>
      <c r="X83" s="169"/>
      <c r="Y83" s="58">
        <f>$N47</f>
        <v>-6.2876712328773704E-2</v>
      </c>
      <c r="Z83" s="58">
        <f>$O47</f>
        <v>-7.7671232876701496E-2</v>
      </c>
      <c r="AA83" s="58">
        <f>$N47</f>
        <v>-6.2876712328773704E-2</v>
      </c>
      <c r="AB83" s="58">
        <f>$O47</f>
        <v>-7.7671232876701496E-2</v>
      </c>
      <c r="AC83" s="58">
        <f>$N47</f>
        <v>-6.2876712328773704E-2</v>
      </c>
      <c r="AD83" s="203">
        <f>$O47</f>
        <v>-7.7671232876701496E-2</v>
      </c>
    </row>
    <row r="84" spans="2:31">
      <c r="B84" s="21" t="s">
        <v>67</v>
      </c>
      <c r="C84" s="22"/>
      <c r="D84" s="171">
        <f>D48</f>
        <v>0</v>
      </c>
      <c r="E84" s="171">
        <f>E48</f>
        <v>0</v>
      </c>
      <c r="F84" s="32">
        <f>$D48</f>
        <v>0</v>
      </c>
      <c r="G84" s="32">
        <f>$E48</f>
        <v>0</v>
      </c>
      <c r="H84" s="32">
        <f>$D48</f>
        <v>0</v>
      </c>
      <c r="I84" s="32">
        <f>$E48</f>
        <v>0</v>
      </c>
      <c r="J84" s="32">
        <f>$D48</f>
        <v>0</v>
      </c>
      <c r="K84" s="60">
        <f>$E48</f>
        <v>0</v>
      </c>
      <c r="L84" s="22" t="s">
        <v>67</v>
      </c>
      <c r="M84" s="171">
        <f t="shared" ref="M84:M85" si="1">I48</f>
        <v>1338.5043315000003</v>
      </c>
      <c r="N84" s="171">
        <f t="shared" ref="N84:N85" si="2">J48</f>
        <v>1635.9497385000004</v>
      </c>
      <c r="O84" s="32">
        <f t="shared" ref="O84:O85" si="3">I48</f>
        <v>1338.5043315000003</v>
      </c>
      <c r="P84" s="32">
        <f t="shared" ref="P84:P85" si="4">$J48</f>
        <v>1635.9497385000004</v>
      </c>
      <c r="Q84" s="32">
        <f>$I48</f>
        <v>1338.5043315000003</v>
      </c>
      <c r="R84" s="32">
        <f>$J48</f>
        <v>1635.9497385000004</v>
      </c>
      <c r="S84" s="32">
        <f t="shared" ref="S84:S85" si="5">$I48</f>
        <v>1338.5043315000003</v>
      </c>
      <c r="T84" s="60">
        <f t="shared" ref="T84:T85" si="6">$J48</f>
        <v>1635.9497385000004</v>
      </c>
      <c r="U84" s="21" t="s">
        <v>67</v>
      </c>
      <c r="V84" s="22"/>
      <c r="W84" s="171">
        <f t="shared" ref="W84:X85" si="7">N48</f>
        <v>1338.5043315000003</v>
      </c>
      <c r="X84" s="171">
        <f t="shared" si="7"/>
        <v>1635.9497385000004</v>
      </c>
      <c r="Y84" s="32">
        <f t="shared" ref="Y84:Y85" si="8">$N48</f>
        <v>1338.5043315000003</v>
      </c>
      <c r="Z84" s="32">
        <f t="shared" ref="Z84:Z85" si="9">$O48</f>
        <v>1635.9497385000004</v>
      </c>
      <c r="AA84" s="32">
        <f t="shared" ref="AA84:AA85" si="10">$N48</f>
        <v>1338.5043315000003</v>
      </c>
      <c r="AB84" s="32">
        <f t="shared" ref="AB84:AB85" si="11">$O48</f>
        <v>1635.9497385000004</v>
      </c>
      <c r="AC84" s="32">
        <f t="shared" ref="AC84:AC85" si="12">$N48</f>
        <v>1338.5043315000003</v>
      </c>
      <c r="AD84" s="60">
        <f t="shared" ref="AD84:AD85" si="13">$O48</f>
        <v>1635.9497385000004</v>
      </c>
    </row>
    <row r="85" spans="2:31" ht="15" thickBot="1">
      <c r="B85" s="33" t="s">
        <v>68</v>
      </c>
      <c r="C85" s="34"/>
      <c r="D85" s="226">
        <f>D49</f>
        <v>0</v>
      </c>
      <c r="E85" s="226">
        <f>E49</f>
        <v>0</v>
      </c>
      <c r="F85" s="35">
        <f>$D49</f>
        <v>0</v>
      </c>
      <c r="G85" s="35">
        <f>$E49</f>
        <v>0</v>
      </c>
      <c r="H85" s="35">
        <f>$D49</f>
        <v>0</v>
      </c>
      <c r="I85" s="35">
        <f>$E49</f>
        <v>0</v>
      </c>
      <c r="J85" s="35">
        <f>$D49</f>
        <v>0</v>
      </c>
      <c r="K85" s="61">
        <f>$E49</f>
        <v>0</v>
      </c>
      <c r="L85" s="34" t="s">
        <v>68</v>
      </c>
      <c r="M85" s="226">
        <f t="shared" si="1"/>
        <v>0</v>
      </c>
      <c r="N85" s="226">
        <f t="shared" si="2"/>
        <v>0</v>
      </c>
      <c r="O85" s="35">
        <f t="shared" si="3"/>
        <v>0</v>
      </c>
      <c r="P85" s="35">
        <f t="shared" si="4"/>
        <v>0</v>
      </c>
      <c r="Q85" s="35">
        <f>$I49</f>
        <v>0</v>
      </c>
      <c r="R85" s="35">
        <f>$J49</f>
        <v>0</v>
      </c>
      <c r="S85" s="35">
        <f t="shared" si="5"/>
        <v>0</v>
      </c>
      <c r="T85" s="61">
        <f t="shared" si="6"/>
        <v>0</v>
      </c>
      <c r="U85" s="33" t="s">
        <v>68</v>
      </c>
      <c r="V85" s="34"/>
      <c r="W85" s="226">
        <f t="shared" si="7"/>
        <v>0</v>
      </c>
      <c r="X85" s="226">
        <f t="shared" si="7"/>
        <v>0</v>
      </c>
      <c r="Y85" s="35">
        <f t="shared" si="8"/>
        <v>0</v>
      </c>
      <c r="Z85" s="35">
        <f t="shared" si="9"/>
        <v>0</v>
      </c>
      <c r="AA85" s="35">
        <f t="shared" si="10"/>
        <v>0</v>
      </c>
      <c r="AB85" s="35">
        <f t="shared" si="11"/>
        <v>0</v>
      </c>
      <c r="AC85" s="35">
        <f t="shared" si="12"/>
        <v>0</v>
      </c>
      <c r="AD85" s="61">
        <f t="shared" si="13"/>
        <v>0</v>
      </c>
    </row>
    <row r="88" spans="2:31">
      <c r="L88" t="s">
        <v>122</v>
      </c>
    </row>
    <row r="94" spans="2:31">
      <c r="I94" t="s">
        <v>122</v>
      </c>
    </row>
  </sheetData>
  <mergeCells count="58">
    <mergeCell ref="M69:N69"/>
    <mergeCell ref="M75:N75"/>
    <mergeCell ref="M81:N81"/>
    <mergeCell ref="U58:AD58"/>
    <mergeCell ref="U59:AD59"/>
    <mergeCell ref="W60:X60"/>
    <mergeCell ref="Y60:Z60"/>
    <mergeCell ref="AA60:AB60"/>
    <mergeCell ref="AC60:AD60"/>
    <mergeCell ref="W63:X63"/>
    <mergeCell ref="W69:X69"/>
    <mergeCell ref="W75:X75"/>
    <mergeCell ref="W81:X81"/>
    <mergeCell ref="L58:T58"/>
    <mergeCell ref="L59:T59"/>
    <mergeCell ref="M60:N60"/>
    <mergeCell ref="O60:P60"/>
    <mergeCell ref="Q60:R60"/>
    <mergeCell ref="S60:T60"/>
    <mergeCell ref="M63:N63"/>
    <mergeCell ref="L23:O23"/>
    <mergeCell ref="N24:O24"/>
    <mergeCell ref="N27:O27"/>
    <mergeCell ref="N33:O33"/>
    <mergeCell ref="N39:O39"/>
    <mergeCell ref="N45:O45"/>
    <mergeCell ref="B8:K8"/>
    <mergeCell ref="B11:B13"/>
    <mergeCell ref="B14:B16"/>
    <mergeCell ref="B17:B19"/>
    <mergeCell ref="H9:I9"/>
    <mergeCell ref="J9:K9"/>
    <mergeCell ref="D9:E9"/>
    <mergeCell ref="F9:G9"/>
    <mergeCell ref="B23:E23"/>
    <mergeCell ref="G23:J23"/>
    <mergeCell ref="G22:J22"/>
    <mergeCell ref="D63:E63"/>
    <mergeCell ref="D69:E69"/>
    <mergeCell ref="D45:E45"/>
    <mergeCell ref="D39:E39"/>
    <mergeCell ref="D33:E33"/>
    <mergeCell ref="D27:E27"/>
    <mergeCell ref="D24:E24"/>
    <mergeCell ref="I24:J24"/>
    <mergeCell ref="D51:E51"/>
    <mergeCell ref="I27:J27"/>
    <mergeCell ref="I33:J33"/>
    <mergeCell ref="I39:J39"/>
    <mergeCell ref="I45:J45"/>
    <mergeCell ref="D75:E75"/>
    <mergeCell ref="D81:E81"/>
    <mergeCell ref="B58:K58"/>
    <mergeCell ref="B59:K59"/>
    <mergeCell ref="H60:I60"/>
    <mergeCell ref="J60:K60"/>
    <mergeCell ref="F60:G60"/>
    <mergeCell ref="D60:E60"/>
  </mergeCells>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5" tint="0.59999389629810485"/>
  </sheetPr>
  <dimension ref="B1:CF170"/>
  <sheetViews>
    <sheetView topLeftCell="O49" workbookViewId="0">
      <selection activeCell="U29" sqref="U29"/>
    </sheetView>
  </sheetViews>
  <sheetFormatPr defaultColWidth="8.81640625" defaultRowHeight="14.5"/>
  <cols>
    <col min="1" max="1" width="4.1796875" customWidth="1"/>
    <col min="2" max="2" width="66.90625" customWidth="1"/>
    <col min="3" max="3" width="31.1796875" customWidth="1"/>
    <col min="4" max="4" width="10.6328125" bestFit="1" customWidth="1"/>
    <col min="5" max="7" width="12.453125" bestFit="1" customWidth="1"/>
    <col min="8" max="8" width="11.453125" customWidth="1"/>
    <col min="9" max="9" width="48" customWidth="1"/>
    <col min="10" max="10" width="28.6328125" customWidth="1"/>
    <col min="11" max="11" width="13.6328125" style="6" customWidth="1"/>
    <col min="12" max="13" width="11.6328125" bestFit="1" customWidth="1"/>
    <col min="14" max="14" width="13.81640625" customWidth="1"/>
    <col min="15" max="15" width="11.6328125" bestFit="1" customWidth="1"/>
    <col min="16" max="16" width="37.81640625" customWidth="1"/>
    <col min="17" max="17" width="11.6328125" customWidth="1"/>
    <col min="18" max="18" width="39.81640625" customWidth="1"/>
    <col min="19" max="20" width="11.6328125" bestFit="1" customWidth="1"/>
    <col min="21" max="21" width="10.1796875" customWidth="1"/>
    <col min="22" max="28" width="11.6328125" bestFit="1" customWidth="1"/>
    <col min="30" max="30" width="68" customWidth="1"/>
    <col min="31" max="31" width="33.6328125" customWidth="1"/>
    <col min="58" max="58" width="76.08984375" customWidth="1"/>
  </cols>
  <sheetData>
    <row r="1" spans="2:21">
      <c r="B1" t="s">
        <v>14</v>
      </c>
      <c r="G1" s="12"/>
      <c r="H1" s="12"/>
      <c r="I1" s="12"/>
      <c r="J1" s="12"/>
      <c r="K1" s="12"/>
      <c r="L1" s="12"/>
      <c r="M1" s="12"/>
    </row>
    <row r="2" spans="2:21" ht="15" thickBot="1">
      <c r="G2" s="12"/>
      <c r="H2" s="12"/>
      <c r="I2" s="12"/>
      <c r="J2" s="12"/>
      <c r="K2" s="12"/>
      <c r="L2" s="12"/>
      <c r="M2" s="12"/>
    </row>
    <row r="3" spans="2:21">
      <c r="B3" s="122" t="s">
        <v>133</v>
      </c>
      <c r="C3" s="204"/>
      <c r="D3" s="204"/>
      <c r="E3" s="204"/>
      <c r="F3" s="204"/>
      <c r="G3" s="205"/>
      <c r="H3" s="12"/>
      <c r="I3" s="39" t="s">
        <v>139</v>
      </c>
      <c r="J3" s="177"/>
      <c r="K3" s="177"/>
      <c r="L3" s="177"/>
      <c r="M3" s="177"/>
      <c r="N3" s="178"/>
      <c r="P3" s="122" t="s">
        <v>140</v>
      </c>
      <c r="Q3" s="19"/>
      <c r="R3" s="19"/>
      <c r="S3" s="19"/>
      <c r="T3" s="19"/>
      <c r="U3" s="20"/>
    </row>
    <row r="4" spans="2:21">
      <c r="B4" s="145" t="s">
        <v>41</v>
      </c>
      <c r="C4" s="73"/>
      <c r="D4" s="73"/>
      <c r="E4" s="73"/>
      <c r="F4" s="73"/>
      <c r="G4" s="181"/>
      <c r="H4" s="12"/>
      <c r="I4" s="145" t="s">
        <v>41</v>
      </c>
      <c r="J4" s="172"/>
      <c r="K4" s="172"/>
      <c r="L4" s="172"/>
      <c r="M4" s="172"/>
      <c r="N4" s="179"/>
      <c r="P4" s="21" t="s">
        <v>41</v>
      </c>
      <c r="Q4" s="22"/>
      <c r="R4" s="22"/>
      <c r="S4" s="22"/>
      <c r="T4" s="22"/>
      <c r="U4" s="23"/>
    </row>
    <row r="5" spans="2:21">
      <c r="B5" s="145" t="s">
        <v>43</v>
      </c>
      <c r="C5" s="73"/>
      <c r="D5" s="73"/>
      <c r="E5" s="73"/>
      <c r="F5" s="73"/>
      <c r="G5" s="181"/>
      <c r="H5" s="12"/>
      <c r="I5" s="145" t="s">
        <v>43</v>
      </c>
      <c r="J5" s="172"/>
      <c r="K5" s="172"/>
      <c r="L5" s="172"/>
      <c r="M5" s="172"/>
      <c r="N5" s="179"/>
      <c r="P5" s="21" t="s">
        <v>43</v>
      </c>
      <c r="Q5" s="22"/>
      <c r="R5" s="22"/>
      <c r="S5" s="22"/>
      <c r="T5" s="22"/>
      <c r="U5" s="23"/>
    </row>
    <row r="6" spans="2:21">
      <c r="B6" s="145"/>
      <c r="C6" s="73"/>
      <c r="D6" s="73"/>
      <c r="E6" s="73"/>
      <c r="F6" s="73"/>
      <c r="G6" s="181"/>
      <c r="H6" s="12"/>
      <c r="I6" s="180"/>
      <c r="J6" s="172"/>
      <c r="K6" s="172"/>
      <c r="L6" s="172"/>
      <c r="M6" s="172"/>
      <c r="N6" s="179"/>
      <c r="P6" s="21"/>
      <c r="Q6" s="22"/>
      <c r="R6" s="22"/>
      <c r="S6" s="22"/>
      <c r="T6" s="22"/>
      <c r="U6" s="23"/>
    </row>
    <row r="7" spans="2:21">
      <c r="B7" s="24" t="s">
        <v>15</v>
      </c>
      <c r="C7" s="73"/>
      <c r="D7" s="206">
        <f>Parameters_Results!D10</f>
        <v>2018</v>
      </c>
      <c r="E7" s="206">
        <v>2030</v>
      </c>
      <c r="F7" s="206">
        <v>2050</v>
      </c>
      <c r="G7" s="207">
        <v>2100</v>
      </c>
      <c r="I7" s="24" t="s">
        <v>138</v>
      </c>
      <c r="J7" s="172"/>
      <c r="K7" s="172">
        <v>2020</v>
      </c>
      <c r="L7" s="172">
        <v>2030</v>
      </c>
      <c r="M7" s="172">
        <v>2050</v>
      </c>
      <c r="N7" s="181">
        <v>2100</v>
      </c>
      <c r="P7" s="24" t="s">
        <v>15</v>
      </c>
      <c r="Q7" s="22"/>
      <c r="R7" s="25">
        <v>2020</v>
      </c>
      <c r="S7" s="25">
        <v>2030</v>
      </c>
      <c r="T7" s="25">
        <v>2050</v>
      </c>
      <c r="U7" s="26">
        <v>2100</v>
      </c>
    </row>
    <row r="8" spans="2:21">
      <c r="B8" s="360" t="s">
        <v>16</v>
      </c>
      <c r="C8" s="347"/>
      <c r="D8" s="347"/>
      <c r="E8" s="347"/>
      <c r="F8" s="347"/>
      <c r="G8" s="348"/>
      <c r="I8" s="362" t="s">
        <v>134</v>
      </c>
      <c r="J8" s="363"/>
      <c r="K8" s="363"/>
      <c r="L8" s="363"/>
      <c r="M8" s="363"/>
      <c r="N8" s="364"/>
      <c r="P8" s="360" t="s">
        <v>134</v>
      </c>
      <c r="Q8" s="347"/>
      <c r="R8" s="347"/>
      <c r="S8" s="347"/>
      <c r="T8" s="347"/>
      <c r="U8" s="348"/>
    </row>
    <row r="9" spans="2:21">
      <c r="B9" s="145" t="s">
        <v>23</v>
      </c>
      <c r="C9" s="73"/>
      <c r="D9" s="219">
        <f>'Climate impacts'!D27</f>
        <v>2</v>
      </c>
      <c r="E9" s="219">
        <f>Parameters_Results!$D$20*'Climate impacts'!G63+(1-Parameters_Results!$D$24)*'Climate impacts'!F63</f>
        <v>2</v>
      </c>
      <c r="F9" s="219">
        <f>Parameters_Results!$D$20*'Climate impacts'!I63+(1-Parameters_Results!$D$20)*'Climate impacts'!H63</f>
        <v>2</v>
      </c>
      <c r="G9" s="190">
        <f>Parameters_Results!$D$20*'Climate impacts'!K63+(1-Parameters_Results!$D$20)*'Climate impacts'!J63</f>
        <v>0</v>
      </c>
      <c r="I9" s="145" t="s">
        <v>23</v>
      </c>
      <c r="J9" s="172"/>
      <c r="K9" s="172">
        <f>'Climate impacts'!I27</f>
        <v>2</v>
      </c>
      <c r="L9" s="183">
        <f>Parameters_Results!$D$22*'Climate impacts'!P63+(1-Parameters_Results!$D$22)*'Climate impacts'!O63</f>
        <v>2</v>
      </c>
      <c r="M9" s="183">
        <f>Parameters_Results!$D$22*'Climate impacts'!R63+(1-Parameters_Results!$D$22)*'Climate impacts'!Q63</f>
        <v>2</v>
      </c>
      <c r="N9" s="223">
        <f>Parameters_Results!$D$22*'Climate impacts'!T63+(1-Parameters_Results!$D$22)*'Climate impacts'!S63</f>
        <v>0</v>
      </c>
      <c r="P9" s="21" t="s">
        <v>23</v>
      </c>
      <c r="Q9" s="22"/>
      <c r="R9" s="216">
        <f>'Climate impacts'!N27</f>
        <v>2</v>
      </c>
      <c r="S9" s="216">
        <f>Parameters_Results!$D$24*'Climate impacts'!Z63+(1-Parameters_Results!$D$24)*'Climate impacts'!Y63</f>
        <v>2</v>
      </c>
      <c r="T9" s="216">
        <f>Parameters_Results!$D$24*'Climate impacts'!AB63+(1-Parameters_Results!$D$24)*'Climate impacts'!AA63</f>
        <v>2</v>
      </c>
      <c r="U9" s="46">
        <f>Parameters_Results!$D$24*'Climate impacts'!AD63+(1-Parameters_Results!$D$24)*'Climate impacts'!AC63</f>
        <v>0</v>
      </c>
    </row>
    <row r="10" spans="2:21">
      <c r="B10" s="145" t="s">
        <v>22</v>
      </c>
      <c r="C10" s="73"/>
      <c r="D10" s="246">
        <f>Parameters_Results!$D$19*'Climate impacts'!E28+(1-Parameters_Results!$D$19)*'Climate impacts'!D28</f>
        <v>0</v>
      </c>
      <c r="E10" s="246">
        <f>Parameters_Results!$D$19*'Climate impacts'!G64+(1-Parameters_Results!$D$19)*'Climate impacts'!F64</f>
        <v>0</v>
      </c>
      <c r="F10" s="246">
        <f>Parameters_Results!$D$19*'Climate impacts'!I64+(1-Parameters_Results!$D$19)*'Climate impacts'!H64</f>
        <v>0</v>
      </c>
      <c r="G10" s="59">
        <f>Parameters_Results!$D$19*'Climate impacts'!K64+(1-Parameters_Results!$D$19)*'Climate impacts'!J64</f>
        <v>0</v>
      </c>
      <c r="I10" s="145" t="s">
        <v>22</v>
      </c>
      <c r="J10" s="172"/>
      <c r="K10" s="184">
        <f>Parameters_Results!$D$21*'Climate impacts'!J28+(1-Parameters_Results!$D$21)*'Climate impacts'!I28</f>
        <v>0</v>
      </c>
      <c r="L10" s="184">
        <f>Parameters_Results!$D$21*'Climate impacts'!P64+(1-Parameters_Results!$D$21)*'Climate impacts'!O64</f>
        <v>0</v>
      </c>
      <c r="M10" s="184">
        <f>Parameters_Results!$D$21*'Climate impacts'!R64+(1-Parameters_Results!$D$21)*'Climate impacts'!Q64</f>
        <v>0</v>
      </c>
      <c r="N10" s="188">
        <f>Parameters_Results!$D$21*'Climate impacts'!T64+(1-Parameters_Results!$D$21)*'Climate impacts'!S64</f>
        <v>0</v>
      </c>
      <c r="P10" s="21" t="s">
        <v>22</v>
      </c>
      <c r="Q10" s="22"/>
      <c r="R10" s="216">
        <f>Parameters_Results!$D$23*'Climate impacts'!O28+(1-Parameters_Results!$D$23)*'Climate impacts'!N28</f>
        <v>0</v>
      </c>
      <c r="S10" s="216">
        <f>Parameters_Results!$D$23*'Climate impacts'!Z64+(1-Parameters_Results!$D$23)*'Climate impacts'!Y64</f>
        <v>0</v>
      </c>
      <c r="T10" s="216">
        <f>Parameters_Results!$D$23*'Climate impacts'!AA64+(1-Parameters_Results!$D$23)*'Climate impacts'!Z64</f>
        <v>0</v>
      </c>
      <c r="U10" s="225">
        <f>Parameters_Results!$D$23*'Climate impacts'!AD64+(1-Parameters_Results!$D$23)*'Climate impacts'!AC64</f>
        <v>0</v>
      </c>
    </row>
    <row r="11" spans="2:21">
      <c r="B11" s="145" t="s">
        <v>184</v>
      </c>
      <c r="C11" s="73"/>
      <c r="D11" s="246">
        <f>Parameters_Results!$D$19*'Climate impacts'!E29+(1-Parameters_Results!$D$19)*'Climate impacts'!D29</f>
        <v>0</v>
      </c>
      <c r="E11" s="246">
        <f>Parameters_Results!$D$19*'Climate impacts'!G65+(1-Parameters_Results!$D$19)*'Climate impacts'!F65</f>
        <v>0</v>
      </c>
      <c r="F11" s="246">
        <f>Parameters_Results!$D$19*'Climate impacts'!I65+(1-Parameters_Results!$D$19)*'Climate impacts'!H65</f>
        <v>0</v>
      </c>
      <c r="G11" s="59">
        <f>Parameters_Results!$D$19*'Climate impacts'!K65+(1-Parameters_Results!$D$19)*'Climate impacts'!J65</f>
        <v>0</v>
      </c>
      <c r="I11" s="145" t="s">
        <v>184</v>
      </c>
      <c r="J11" s="172"/>
      <c r="K11" s="184">
        <f>Parameters_Results!$D$21*'Climate impacts'!J29+(1-Parameters_Results!$D$21)*'Climate impacts'!I29</f>
        <v>0</v>
      </c>
      <c r="L11" s="184">
        <f>Parameters_Results!$D$21*'Climate impacts'!P65+(1-Parameters_Results!$D$21)*'Climate impacts'!O65</f>
        <v>0</v>
      </c>
      <c r="M11" s="184">
        <f>Parameters_Results!$D$21*'Climate impacts'!R65+(1-Parameters_Results!$D$21)*'Climate impacts'!Q65</f>
        <v>0</v>
      </c>
      <c r="N11" s="188">
        <f>Parameters_Results!$D$21*'Climate impacts'!T65+(1-Parameters_Results!$D$21)*'Climate impacts'!S65</f>
        <v>0</v>
      </c>
      <c r="P11" s="145" t="s">
        <v>184</v>
      </c>
      <c r="Q11" s="22"/>
      <c r="R11" s="216">
        <f>Parameters_Results!$D$23*'Climate impacts'!O29+(1-Parameters_Results!$D$23)*'Climate impacts'!N29</f>
        <v>0</v>
      </c>
      <c r="S11" s="216">
        <f>Parameters_Results!$D$23*'Climate impacts'!Z66+(1-Parameters_Results!$D$23)*'Climate impacts'!Y66</f>
        <v>0</v>
      </c>
      <c r="T11" s="216">
        <f>Parameters_Results!$D$23*'Climate impacts'!AA66+(1-Parameters_Results!$D$23)*'Climate impacts'!Z66</f>
        <v>0</v>
      </c>
      <c r="U11" s="225">
        <f>Parameters_Results!$D$23*'Climate impacts'!AD66+(1-Parameters_Results!$D$23)*'Climate impacts'!AC66</f>
        <v>0</v>
      </c>
    </row>
    <row r="12" spans="2:21">
      <c r="B12" s="145" t="s">
        <v>17</v>
      </c>
      <c r="C12" s="73"/>
      <c r="D12" s="220">
        <f>Parameters_Results!$D$19*'Climate impacts'!D29+(1-Parameters_Results!$D$19)*'Climate impacts'!D30</f>
        <v>0</v>
      </c>
      <c r="E12" s="213">
        <f>Parameters_Results!$D$19*'Climate impacts'!G66+(1-Parameters_Results!$D$19)*'Climate impacts'!F66</f>
        <v>0</v>
      </c>
      <c r="F12" s="213">
        <f>Parameters_Results!$D$19*'Climate impacts'!I66+(1-Parameters_Results!$D$19)*'Climate impacts'!H66</f>
        <v>0</v>
      </c>
      <c r="G12" s="28">
        <f>Parameters_Results!$D$19*'Climate impacts'!K66+(1-Parameters_Results!$D$19)*'Climate impacts'!J66</f>
        <v>0</v>
      </c>
      <c r="I12" s="145" t="s">
        <v>17</v>
      </c>
      <c r="J12" s="172"/>
      <c r="K12" s="183">
        <f>Parameters_Results!$D$21*'Climate impacts'!J30+(1-Parameters_Results!$D$21)*'Climate impacts'!I30</f>
        <v>0</v>
      </c>
      <c r="L12" s="183">
        <f>Parameters_Results!$D$21*'Climate impacts'!P66+(1-Parameters_Results!$D$21)*'Climate impacts'!O66</f>
        <v>0</v>
      </c>
      <c r="M12" s="183">
        <f>Parameters_Results!$D$21*'Climate impacts'!R66+(1-Parameters_Results!$D$21)*'Climate impacts'!Q66</f>
        <v>0</v>
      </c>
      <c r="N12" s="223">
        <f>Parameters_Results!$D$21*'Climate impacts'!T66+(1-Parameters_Results!$D$21)*'Climate impacts'!S66</f>
        <v>0</v>
      </c>
      <c r="P12" s="21" t="s">
        <v>17</v>
      </c>
      <c r="Q12" s="22"/>
      <c r="R12" s="216">
        <f>Parameters_Results!$D$23*'Climate impacts'!O30+(1-Parameters_Results!$D$23)*'Climate impacts'!N30</f>
        <v>0</v>
      </c>
      <c r="S12" s="216">
        <f>Parameters_Results!$D$23*'Climate impacts'!Z66+(1-Parameters_Results!$D$23)*'Climate impacts'!Y66</f>
        <v>0</v>
      </c>
      <c r="T12" s="216">
        <f>Parameters_Results!$D$23*'Climate impacts'!AA66+(1-Parameters_Results!$D$23)*'Climate impacts'!Z66</f>
        <v>0</v>
      </c>
      <c r="U12" s="150">
        <f>Parameters_Results!$D$23*'Climate impacts'!AD66+(1-Parameters_Results!$D$23)*'Climate impacts'!AC66</f>
        <v>0</v>
      </c>
    </row>
    <row r="13" spans="2:21">
      <c r="B13" s="145" t="s">
        <v>18</v>
      </c>
      <c r="C13" s="73"/>
      <c r="D13" s="220">
        <f>Parameters_Results!$D$19*'Climate impacts'!E31+(1-Parameters_Results!$D$19)*'Climate impacts'!D31</f>
        <v>0</v>
      </c>
      <c r="E13" s="213">
        <f>Parameters_Results!$D$19*'Climate impacts'!G67+(1-Parameters_Results!$D$19)*'Climate impacts'!F67</f>
        <v>0</v>
      </c>
      <c r="F13" s="213">
        <f>Parameters_Results!$D$19*'Climate impacts'!I67+(1-Parameters_Results!$D$19)*'Climate impacts'!H67</f>
        <v>0</v>
      </c>
      <c r="G13" s="28">
        <f>Parameters_Results!$D$19*'Climate impacts'!K67+(1-Parameters_Results!$D$19)*'Climate impacts'!J67</f>
        <v>0</v>
      </c>
      <c r="I13" s="145" t="s">
        <v>18</v>
      </c>
      <c r="J13" s="172"/>
      <c r="K13" s="183">
        <f>Parameters_Results!$D$21*'Climate impacts'!J31+(1-Parameters_Results!$D$21)*'Climate impacts'!I31</f>
        <v>0</v>
      </c>
      <c r="L13" s="183">
        <f>Parameters_Results!$D$21*'Climate impacts'!P67+(1-Parameters_Results!$D$21)*'Climate impacts'!O67</f>
        <v>0</v>
      </c>
      <c r="M13" s="183">
        <f>Parameters_Results!$D$21*'Climate impacts'!R67+(1-Parameters_Results!$D$21)*'Climate impacts'!Q67</f>
        <v>0</v>
      </c>
      <c r="N13" s="223">
        <f>Parameters_Results!$D$21*'Climate impacts'!T67+(1-Parameters_Results!$D$21)*'Climate impacts'!S67</f>
        <v>0</v>
      </c>
      <c r="P13" s="21" t="s">
        <v>18</v>
      </c>
      <c r="Q13" s="22"/>
      <c r="R13" s="216">
        <f>Parameters_Results!$D$23*'Climate impacts'!O31+(1-Parameters_Results!$D$23)*'Climate impacts'!N31</f>
        <v>0</v>
      </c>
      <c r="S13" s="216">
        <f>Parameters_Results!$D$23*'Climate impacts'!Z67+(1-Parameters_Results!$D$23)*'Climate impacts'!Y67</f>
        <v>0</v>
      </c>
      <c r="T13" s="216">
        <f>Parameters_Results!$D$23*'Climate impacts'!AA67+(1-Parameters_Results!$D$23)*'Climate impacts'!Z67</f>
        <v>0</v>
      </c>
      <c r="U13" s="150">
        <f>Parameters_Results!$D$23*'Climate impacts'!AD67+(1-Parameters_Results!$D$23)*'Climate impacts'!AC67</f>
        <v>0</v>
      </c>
    </row>
    <row r="14" spans="2:21">
      <c r="B14" s="360" t="s">
        <v>19</v>
      </c>
      <c r="C14" s="347"/>
      <c r="D14" s="347"/>
      <c r="E14" s="347"/>
      <c r="F14" s="347"/>
      <c r="G14" s="348"/>
      <c r="H14" t="s">
        <v>122</v>
      </c>
      <c r="I14" s="362" t="s">
        <v>135</v>
      </c>
      <c r="J14" s="363"/>
      <c r="K14" s="363"/>
      <c r="L14" s="363"/>
      <c r="M14" s="363"/>
      <c r="N14" s="364"/>
      <c r="P14" s="360" t="s">
        <v>135</v>
      </c>
      <c r="Q14" s="307"/>
      <c r="R14" s="307"/>
      <c r="S14" s="307"/>
      <c r="T14" s="307"/>
      <c r="U14" s="361"/>
    </row>
    <row r="15" spans="2:21">
      <c r="B15" s="145" t="s">
        <v>23</v>
      </c>
      <c r="C15" s="73"/>
      <c r="D15" s="27">
        <f>'Climate impacts'!D33:E33</f>
        <v>10</v>
      </c>
      <c r="E15" s="27">
        <f>Parameters_Results!$D$20*'Climate impacts'!G69+(1-Parameters_Results!$D$20)*'Climate impacts'!F69</f>
        <v>5</v>
      </c>
      <c r="F15" s="27">
        <f>Parameters_Results!$D$20*'Climate impacts'!I69+(1-Parameters_Results!$D$20)*'Climate impacts'!H69</f>
        <v>5</v>
      </c>
      <c r="G15" s="28">
        <f>Parameters_Results!$D$20*'Climate impacts'!K69+(1-Parameters_Results!$D$20)*'Climate impacts'!J69</f>
        <v>0</v>
      </c>
      <c r="I15" s="145" t="s">
        <v>23</v>
      </c>
      <c r="J15" s="172"/>
      <c r="K15" s="172">
        <f>'Climate impacts'!I33</f>
        <v>10</v>
      </c>
      <c r="L15" s="172">
        <f>Parameters_Results!$D$22*'Climate impacts'!P69+(1-Parameters_Results!$D$22)*'Climate impacts'!O69</f>
        <v>5</v>
      </c>
      <c r="M15" s="172">
        <f>Parameters_Results!$D$22*'Climate impacts'!R69+(1-Parameters_Results!$D$22)*'Climate impacts'!Q69</f>
        <v>5</v>
      </c>
      <c r="N15" s="181">
        <f>Parameters_Results!$D$22*'Climate impacts'!T69+(1-Parameters_Results!$D$22)*'Climate impacts'!S69</f>
        <v>0</v>
      </c>
      <c r="P15" s="145" t="s">
        <v>23</v>
      </c>
      <c r="Q15" s="172"/>
      <c r="R15" s="172">
        <f>'Climate impacts'!N33</f>
        <v>10</v>
      </c>
      <c r="S15" s="172">
        <f>Parameters_Results!$D$24*'Climate impacts'!Z69+(1-Parameters_Results!$D$24)*'Climate impacts'!Y69</f>
        <v>5</v>
      </c>
      <c r="T15" s="172">
        <f>Parameters_Results!$D$24*'Climate impacts'!AB69+(1-Parameters_Results!$D$24)*'Climate impacts'!AA69</f>
        <v>5</v>
      </c>
      <c r="U15" s="181">
        <f>Parameters_Results!$D$24*'Climate impacts'!AD69+(1-Parameters_Results!$D$24)*'Climate impacts'!AC69</f>
        <v>0</v>
      </c>
    </row>
    <row r="16" spans="2:21">
      <c r="B16" s="145" t="s">
        <v>183</v>
      </c>
      <c r="C16" s="73"/>
      <c r="D16" s="29">
        <f>Parameters_Results!$D$19*'Climate impacts'!E34+(1-Parameters_Results!$D$19)*'Climate impacts'!D34</f>
        <v>0</v>
      </c>
      <c r="E16" s="30">
        <f>Parameters_Results!$D$19*'Climate impacts'!G70+(1-Parameters_Results!$D$19)*'Climate impacts'!F70</f>
        <v>0</v>
      </c>
      <c r="F16" s="30">
        <f>Parameters_Results!$D$19*'Climate impacts'!I70+(1-Parameters_Results!$D$19)*'Climate impacts'!H70</f>
        <v>0</v>
      </c>
      <c r="G16" s="31">
        <f>Parameters_Results!$D$19*'Climate impacts'!K70+(1-Parameters_Results!$D$19)*'Climate impacts'!J70</f>
        <v>0</v>
      </c>
      <c r="I16" s="145" t="s">
        <v>22</v>
      </c>
      <c r="J16" s="172"/>
      <c r="K16" s="185">
        <f>Parameters_Results!$D$21*'Climate impacts'!J34+(1-Parameters_Results!$D$21)*'Climate impacts'!I34</f>
        <v>-0.49315068493150299</v>
      </c>
      <c r="L16" s="184">
        <f>Parameters_Results!$D$21*'Climate impacts'!P70+(1-Parameters_Results!$D$21)*'Climate impacts'!O70</f>
        <v>-0.49315068493150299</v>
      </c>
      <c r="M16" s="184">
        <f>Parameters_Results!$D$21*'Climate impacts'!R70+(1-Parameters_Results!$D$21)*'Climate impacts'!Q70</f>
        <v>-0.49315068493150299</v>
      </c>
      <c r="N16" s="188">
        <f>Parameters_Results!$D$21*'Climate impacts'!T70+(1-Parameters_Results!$D$21)*'Climate impacts'!S70</f>
        <v>-0.49315068493150299</v>
      </c>
      <c r="P16" s="145" t="s">
        <v>22</v>
      </c>
      <c r="Q16" s="172"/>
      <c r="R16" s="185">
        <f>Parameters_Results!$D$23*'Climate impacts'!O34+(1-Parameters_Results!$D$23)*'Climate impacts'!N34</f>
        <v>-0.73972602739726101</v>
      </c>
      <c r="S16" s="184">
        <f>Parameters_Results!$D$23*'Climate impacts'!Z70+(1-Parameters_Results!$D$23)*'Climate impacts'!Y70</f>
        <v>-0.73972602739726101</v>
      </c>
      <c r="T16" s="184">
        <f>Parameters_Results!$D$23*'Climate impacts'!AB70+(1-Parameters_Results!$D$23)*'Climate impacts'!AA70</f>
        <v>-0.73972602739726101</v>
      </c>
      <c r="U16" s="188">
        <f>Parameters_Results!$D$23*'Climate impacts'!AD70+(1-Parameters_Results!$D$23)*'Climate impacts'!AC70</f>
        <v>-0.73972602739726101</v>
      </c>
    </row>
    <row r="17" spans="2:60">
      <c r="B17" s="145" t="s">
        <v>184</v>
      </c>
      <c r="C17" s="73"/>
      <c r="D17" s="58">
        <f>Parameters_Results!$D$19*'Climate impacts'!E35+(1-Parameters_Results!$D$19)*'Climate impacts'!D35</f>
        <v>0</v>
      </c>
      <c r="E17" s="58">
        <f>Parameters_Results!$D$19*'Climate impacts'!F35+(1-Parameters_Results!$D$19)*'Climate impacts'!E35</f>
        <v>0</v>
      </c>
      <c r="F17" s="30">
        <f>Parameters_Results!$D$19*'Climate impacts'!I71+(1-Parameters_Results!$D$19)*'Climate impacts'!H71</f>
        <v>0</v>
      </c>
      <c r="G17" s="31">
        <f>Parameters_Results!$D$19*'Climate impacts'!K71+(1-Parameters_Results!$D$19)*'Climate impacts'!J71</f>
        <v>0</v>
      </c>
      <c r="I17" s="145" t="s">
        <v>184</v>
      </c>
      <c r="J17" s="172"/>
      <c r="K17" s="185">
        <f>Parameters_Results!$D$21*'Climate impacts'!J35+(1-Parameters_Results!$D$21)*'Climate impacts'!I35</f>
        <v>-0.73972602739725601</v>
      </c>
      <c r="L17" s="184">
        <f>Parameters_Results!$D$21*'Climate impacts'!P71+(1-Parameters_Results!$D$21)*'Climate impacts'!O71</f>
        <v>-0.73972602739725601</v>
      </c>
      <c r="M17" s="184">
        <f>Parameters_Results!$D$21*'Climate impacts'!R71+(1-Parameters_Results!$D$21)*'Climate impacts'!Q71</f>
        <v>-0.73972602739725601</v>
      </c>
      <c r="N17" s="188">
        <f>Parameters_Results!$D$21*'Climate impacts'!T71+(1-Parameters_Results!$D$21)*'Climate impacts'!S71</f>
        <v>-0.73972602739725601</v>
      </c>
      <c r="P17" s="145" t="s">
        <v>184</v>
      </c>
      <c r="Q17" s="172"/>
      <c r="R17" s="185">
        <f>Parameters_Results!$D$23*'Climate impacts'!O35+(1-Parameters_Results!$D$23)*'Climate impacts'!N35</f>
        <v>-0.86301369863014199</v>
      </c>
      <c r="S17" s="184">
        <f>Parameters_Results!$D$23*'Climate impacts'!Z72+(1-Parameters_Results!$D$23)*'Climate impacts'!Y72</f>
        <v>594.8908140000002</v>
      </c>
      <c r="T17" s="184">
        <f>Parameters_Results!$D$23*'Climate impacts'!AB72+(1-Parameters_Results!$D$23)*'Climate impacts'!AA72</f>
        <v>594.8908140000002</v>
      </c>
      <c r="U17" s="188">
        <f>Parameters_Results!$D$23*'Climate impacts'!AD72+(1-Parameters_Results!$D$23)*'Climate impacts'!AC72</f>
        <v>594.8908140000002</v>
      </c>
    </row>
    <row r="18" spans="2:60">
      <c r="B18" s="145" t="s">
        <v>17</v>
      </c>
      <c r="C18" s="73"/>
      <c r="D18" s="32">
        <f>Parameters_Results!$D$19*'Climate impacts'!E36+(1-Parameters_Results!$D$19)*'Climate impacts'!D36</f>
        <v>0</v>
      </c>
      <c r="E18" s="27">
        <f>Parameters_Results!$D$19*'Climate impacts'!G72+(1-Parameters_Results!$D$19)*'Climate impacts'!F72</f>
        <v>0</v>
      </c>
      <c r="F18" s="153">
        <f>Parameters_Results!$D$19*'Climate impacts'!I72+(1-Parameters_Results!$D$19)*'Climate impacts'!H72</f>
        <v>0</v>
      </c>
      <c r="G18" s="28">
        <f>Parameters_Results!$D$19*'Climate impacts'!K72+(1-Parameters_Results!$D$19)*'Climate impacts'!J72</f>
        <v>0</v>
      </c>
      <c r="I18" s="145" t="s">
        <v>17</v>
      </c>
      <c r="J18" s="172"/>
      <c r="K18" s="249">
        <f>Parameters_Results!$D$21*'Climate impacts'!J36+(1-Parameters_Results!$D$21)*'Climate impacts'!I36</f>
        <v>594.8908140000002</v>
      </c>
      <c r="L18" s="249">
        <f>Parameters_Results!$D$21*'Climate impacts'!P72+(1-Parameters_Results!$D$21)*'Climate impacts'!O72</f>
        <v>594.8908140000002</v>
      </c>
      <c r="M18" s="249">
        <f>Parameters_Results!$D$21*'Climate impacts'!R72+(1-Parameters_Results!$D$21)*'Climate impacts'!Q72</f>
        <v>594.8908140000002</v>
      </c>
      <c r="N18" s="250">
        <f>Parameters_Results!$D$21*'Climate impacts'!T72+(1-Parameters_Results!$D$21)*'Climate impacts'!S72</f>
        <v>594.8908140000002</v>
      </c>
      <c r="P18" s="145" t="s">
        <v>17</v>
      </c>
      <c r="Q18" s="172"/>
      <c r="R18" s="183">
        <f>Parameters_Results!$D$23*'Climate impacts'!O36+(1-Parameters_Results!$D$23)*'Climate impacts'!N36</f>
        <v>594.8908140000002</v>
      </c>
      <c r="S18" s="183">
        <f>Parameters_Results!$D$23*'Climate impacts'!Z72+(1-Parameters_Results!$D$23)*'Climate impacts'!Y72</f>
        <v>594.8908140000002</v>
      </c>
      <c r="T18" s="183">
        <f>Parameters_Results!$D$23*'Climate impacts'!AB72+(1-Parameters_Results!$D$23)*'Climate impacts'!AA72</f>
        <v>594.8908140000002</v>
      </c>
      <c r="U18" s="223">
        <f>Parameters_Results!$D$23*'Climate impacts'!AD72+(1-Parameters_Results!$D$23)*'Climate impacts'!AC72</f>
        <v>594.8908140000002</v>
      </c>
    </row>
    <row r="19" spans="2:60">
      <c r="B19" s="145" t="s">
        <v>18</v>
      </c>
      <c r="C19" s="73"/>
      <c r="D19" s="32">
        <f>Parameters_Results!$D$19*'Climate impacts'!E37+(1-Parameters_Results!$D$19)*'Climate impacts'!D37</f>
        <v>0</v>
      </c>
      <c r="E19" s="27">
        <f>Parameters_Results!$D$19*'Climate impacts'!G73+(1-Parameters_Results!$D$19)*'Climate impacts'!F73</f>
        <v>0</v>
      </c>
      <c r="F19" s="153">
        <f>Parameters_Results!$D$19*'Climate impacts'!I73+(1-Parameters_Results!$D$19)*'Climate impacts'!H73</f>
        <v>0</v>
      </c>
      <c r="G19" s="28">
        <f>Parameters_Results!$D$19*'Climate impacts'!K73+(1-Parameters_Results!$D$19)*'Climate impacts'!J73</f>
        <v>0</v>
      </c>
      <c r="I19" s="145" t="s">
        <v>18</v>
      </c>
      <c r="J19" s="172"/>
      <c r="K19" s="249">
        <f>Parameters_Results!$D$21*'Climate impacts'!J37+(1-Parameters_Results!$D$21)*'Climate impacts'!I37</f>
        <v>0</v>
      </c>
      <c r="L19" s="249">
        <f>Parameters_Results!$D$21*'Climate impacts'!P73+(1-Parameters_Results!$D$21)*'Climate impacts'!O73</f>
        <v>0</v>
      </c>
      <c r="M19" s="249">
        <f>Parameters_Results!$D$21*'Climate impacts'!R73+(1-Parameters_Results!$D$21)*'Climate impacts'!Q73</f>
        <v>0</v>
      </c>
      <c r="N19" s="250">
        <f>Parameters_Results!$D$21*'Climate impacts'!T73+(1-Parameters_Results!$D$21)*'Climate impacts'!S73</f>
        <v>0</v>
      </c>
      <c r="P19" s="145" t="s">
        <v>18</v>
      </c>
      <c r="Q19" s="172"/>
      <c r="R19" s="183">
        <f>Parameters_Results!$D$23*'Climate impacts'!O37+(1-Parameters_Results!$D$23)*'Climate impacts'!N37</f>
        <v>0</v>
      </c>
      <c r="S19" s="183">
        <f>Parameters_Results!$D$23*'Climate impacts'!Z73+(1-Parameters_Results!$D$23)*'Climate impacts'!Y73</f>
        <v>0</v>
      </c>
      <c r="T19" s="183">
        <f>Parameters_Results!$D$23*'Climate impacts'!AB73+(1-Parameters_Results!$D$23)*'Climate impacts'!AA73</f>
        <v>0</v>
      </c>
      <c r="U19" s="223">
        <f>Parameters_Results!$D$23*'Climate impacts'!AD73+(1-Parameters_Results!$D$23)*'Climate impacts'!AC73</f>
        <v>0</v>
      </c>
    </row>
    <row r="20" spans="2:60">
      <c r="B20" s="360" t="s">
        <v>20</v>
      </c>
      <c r="C20" s="347"/>
      <c r="D20" s="347"/>
      <c r="E20" s="347"/>
      <c r="F20" s="347"/>
      <c r="G20" s="348"/>
      <c r="I20" s="365" t="s">
        <v>136</v>
      </c>
      <c r="J20" s="363"/>
      <c r="K20" s="363"/>
      <c r="L20" s="363"/>
      <c r="M20" s="363"/>
      <c r="N20" s="364"/>
      <c r="P20" s="360" t="s">
        <v>136</v>
      </c>
      <c r="Q20" s="307"/>
      <c r="R20" s="307"/>
      <c r="S20" s="307"/>
      <c r="T20" s="307"/>
      <c r="U20" s="361"/>
    </row>
    <row r="21" spans="2:60">
      <c r="B21" s="145" t="s">
        <v>23</v>
      </c>
      <c r="C21" s="73"/>
      <c r="D21" s="27">
        <f>'Climate impacts'!D39:E39</f>
        <v>100</v>
      </c>
      <c r="E21" s="27">
        <f>Parameters_Results!$D$20*'Climate impacts'!G75+(1-Parameters_Results!$D$20)*'Climate impacts'!F75</f>
        <v>50</v>
      </c>
      <c r="F21" s="27">
        <f>Parameters_Results!$D$20*'Climate impacts'!I75+(1-Parameters_Results!$D$20)*'Climate impacts'!H75</f>
        <v>50</v>
      </c>
      <c r="G21" s="28">
        <f>Parameters_Results!$D$20*'Climate impacts'!K75+(1-Parameters_Results!$D$20)*'Climate impacts'!J75</f>
        <v>0</v>
      </c>
      <c r="I21" s="145" t="s">
        <v>23</v>
      </c>
      <c r="J21" s="172" t="s">
        <v>122</v>
      </c>
      <c r="K21" s="172">
        <f>'Climate impacts'!I39</f>
        <v>100</v>
      </c>
      <c r="L21" s="172">
        <f>Parameters_Results!$D$22*'Climate impacts'!P75+(1-Parameters_Results!$D$22)*'Climate impacts'!O75</f>
        <v>50</v>
      </c>
      <c r="M21" s="172">
        <f>Parameters_Results!$D$22*'Climate impacts'!R75+(1-Parameters_Results!$D$22)*'Climate impacts'!Q75</f>
        <v>50</v>
      </c>
      <c r="N21" s="179">
        <f>Parameters_Results!$D$270*'Climate impacts'!T75+(1-Parameters_Results!$D$22)*'Climate impacts'!S75</f>
        <v>0</v>
      </c>
      <c r="P21" s="145" t="s">
        <v>23</v>
      </c>
      <c r="Q21" s="172" t="s">
        <v>122</v>
      </c>
      <c r="R21" s="172">
        <f>'Climate impacts'!N39</f>
        <v>100</v>
      </c>
      <c r="S21" s="172">
        <f>Parameters_Results!$D$24*'Climate impacts'!Z75+(1-Parameters_Results!$D$24)*'Climate impacts'!Y75</f>
        <v>50</v>
      </c>
      <c r="T21" s="172">
        <f>Parameters_Results!$D$24*'Climate impacts'!AB75+(1-Parameters_Results!$D$24)*'Climate impacts'!AA75</f>
        <v>50</v>
      </c>
      <c r="U21" s="179">
        <f>Parameters_Results!$D$24*'Climate impacts'!AD75+(1-Parameters_Results!$D$24)*'Climate impacts'!AC75</f>
        <v>0</v>
      </c>
    </row>
    <row r="22" spans="2:60">
      <c r="B22" s="145" t="s">
        <v>22</v>
      </c>
      <c r="C22" s="73"/>
      <c r="D22" s="29">
        <f>Parameters_Results!$D$19*'Climate impacts'!E40+(1-Parameters_Results!$D$19)*'Climate impacts'!D40</f>
        <v>0</v>
      </c>
      <c r="E22" s="30">
        <f>Parameters_Results!$D$19*'Climate impacts'!G76+(1-Parameters_Results!$D$19)*'Climate impacts'!F76</f>
        <v>0</v>
      </c>
      <c r="F22" s="30">
        <f>Parameters_Results!$D$19*'Climate impacts'!I76+(1-Parameters_Results!$D$19)*'Climate impacts'!H76</f>
        <v>0</v>
      </c>
      <c r="G22" s="31">
        <f>Parameters_Results!$D$19*'Climate impacts'!K76+(1-Parameters_Results!$D$19)*'Climate impacts'!J76</f>
        <v>0</v>
      </c>
      <c r="I22" s="145" t="s">
        <v>22</v>
      </c>
      <c r="J22" s="172"/>
      <c r="K22" s="186">
        <f>Parameters_Results!$D$21*'Climate impacts'!J40+(1-Parameters_Results!$D$21)*'Climate impacts'!I40</f>
        <v>-0.19726027397260101</v>
      </c>
      <c r="L22" s="86">
        <f>Parameters_Results!$D$21*'Climate impacts'!P76+(1-Parameters_Results!$D$21)*'Climate impacts'!O76</f>
        <v>-0.19726027397260101</v>
      </c>
      <c r="M22" s="186">
        <f>Parameters_Results!$D$21*'Climate impacts'!R76+(1-Parameters_Results!$D$21)*'Climate impacts'!Q76</f>
        <v>-0.19726027397260101</v>
      </c>
      <c r="N22" s="189">
        <f>Parameters_Results!$D$21*'Climate impacts'!T76+(1-Parameters_Results!$D$21)*'Climate impacts'!S76</f>
        <v>-0.19726027397260101</v>
      </c>
      <c r="P22" s="145" t="s">
        <v>22</v>
      </c>
      <c r="Q22" s="172"/>
      <c r="R22" s="186">
        <f>Parameters_Results!$D$23*'Climate impacts'!O40+(1-Parameters_Results!$D$23)*'Climate impacts'!N40</f>
        <v>-0.295890410958913</v>
      </c>
      <c r="S22" s="186">
        <f>Parameters_Results!$D$23*'Climate impacts'!Z76+(1-Parameters_Results!$D$23)*'Climate impacts'!Y76</f>
        <v>-0.295890410958913</v>
      </c>
      <c r="T22" s="186">
        <f>Parameters_Results!$D$23*'Climate impacts'!AB76+(1-Parameters_Results!$D$23)*'Climate impacts'!AA76</f>
        <v>-0.295890410958913</v>
      </c>
      <c r="U22" s="189">
        <f>Parameters_Results!$D$23*'Climate impacts'!AD76+(1-Parameters_Results!$D$23)*'Climate impacts'!AC76</f>
        <v>-0.295890410958913</v>
      </c>
    </row>
    <row r="23" spans="2:60">
      <c r="B23" s="145" t="s">
        <v>184</v>
      </c>
      <c r="C23" s="73"/>
      <c r="D23" s="29">
        <f>Parameters_Results!$D$19*'Climate impacts'!E41+(1-Parameters_Results!$D$19)*'Climate impacts'!D41</f>
        <v>0</v>
      </c>
      <c r="E23" s="30">
        <f>Parameters_Results!$D$19*'Climate impacts'!G77+(1-Parameters_Results!$D$19)*'Climate impacts'!F77</f>
        <v>0</v>
      </c>
      <c r="F23" s="30">
        <f>Parameters_Results!$D$19*'Climate impacts'!I77+(1-Parameters_Results!$D$19)*'Climate impacts'!H77</f>
        <v>0</v>
      </c>
      <c r="G23" s="31">
        <f>Parameters_Results!$D$19*'Climate impacts'!K77+(1-Parameters_Results!$D$19)*'Climate impacts'!J77</f>
        <v>0</v>
      </c>
      <c r="I23" s="145" t="s">
        <v>184</v>
      </c>
      <c r="J23" s="172"/>
      <c r="K23" s="186">
        <f>Parameters_Results!$D$21*'Climate impacts'!J41+(1-Parameters_Results!$D$21)*'Climate impacts'!I41</f>
        <v>-0.29589041095889801</v>
      </c>
      <c r="L23" s="86">
        <f>Parameters_Results!$D$21*'Climate impacts'!P77+(1-Parameters_Results!$D$21)*'Climate impacts'!O77</f>
        <v>-0.29589041095889801</v>
      </c>
      <c r="M23" s="186">
        <f>Parameters_Results!$D$21*'Climate impacts'!R77+(1-Parameters_Results!$D$21)*'Climate impacts'!Q77</f>
        <v>-0.29589041095889801</v>
      </c>
      <c r="N23" s="189">
        <f>Parameters_Results!$D$21*'Climate impacts'!T77+(1-Parameters_Results!$D$21)*'Climate impacts'!S77</f>
        <v>-0.29589041095889801</v>
      </c>
      <c r="P23" s="145" t="s">
        <v>184</v>
      </c>
      <c r="Q23" s="172"/>
      <c r="R23" s="186">
        <f>Parameters_Results!$D$23*'Climate impacts'!O41+(1-Parameters_Results!$D$23)*'Climate impacts'!N41</f>
        <v>-0.32054794520547197</v>
      </c>
      <c r="S23" s="186">
        <f>Parameters_Results!$D$23*'Climate impacts'!Z78+(1-Parameters_Results!$D$23)*'Climate impacts'!Y78</f>
        <v>1041.0589245000001</v>
      </c>
      <c r="T23" s="186">
        <f>Parameters_Results!$D$23*'Climate impacts'!AB78+(1-Parameters_Results!$D$23)*'Climate impacts'!AA78</f>
        <v>1041.0589245000001</v>
      </c>
      <c r="U23" s="189">
        <f>Parameters_Results!$D$23*'Climate impacts'!AD78+(1-Parameters_Results!$D$23)*'Climate impacts'!AC78</f>
        <v>1041.0589245000001</v>
      </c>
    </row>
    <row r="24" spans="2:60">
      <c r="B24" s="145" t="s">
        <v>17</v>
      </c>
      <c r="C24" s="73"/>
      <c r="D24" s="32">
        <f>Parameters_Results!$D$19*'Climate impacts'!E42+(1-Parameters_Results!$D$19)*'Climate impacts'!D42</f>
        <v>0</v>
      </c>
      <c r="E24" s="153">
        <f>Parameters_Results!$D$19*'Climate impacts'!G78+(1-Parameters_Results!$D$19)*'Climate impacts'!F78</f>
        <v>0</v>
      </c>
      <c r="F24" s="153">
        <f>Parameters_Results!$D$19*'Climate impacts'!I78+(1-Parameters_Results!$D$19)*'Climate impacts'!H78</f>
        <v>0</v>
      </c>
      <c r="G24" s="155">
        <f>Parameters_Results!$D$19*'Climate impacts'!K78+(1-Parameters_Results!$D$19)*'Climate impacts'!J78</f>
        <v>0</v>
      </c>
      <c r="I24" s="145" t="s">
        <v>17</v>
      </c>
      <c r="J24" s="172"/>
      <c r="K24" s="249">
        <f>Parameters_Results!$D$21*'Climate impacts'!J42+(1-Parameters_Results!$D$21)*'Climate impacts'!I42</f>
        <v>1041.0589245000001</v>
      </c>
      <c r="L24" s="247">
        <f>Parameters_Results!$D$21*'Climate impacts'!P78+(1-Parameters_Results!$D$21)*'Climate impacts'!O78</f>
        <v>1041.0589245000001</v>
      </c>
      <c r="M24" s="249">
        <f>Parameters_Results!$D$21*'Climate impacts'!R78+(1-Parameters_Results!$D$21)*'Climate impacts'!Q78</f>
        <v>1041.0589245000001</v>
      </c>
      <c r="N24" s="251">
        <f>Parameters_Results!$D$21*'Climate impacts'!T78+(1-Parameters_Results!$D$21)*'Climate impacts'!S78</f>
        <v>1041.0589245000001</v>
      </c>
      <c r="P24" s="145" t="s">
        <v>17</v>
      </c>
      <c r="Q24" s="172"/>
      <c r="R24" s="183">
        <f>Parameters_Results!$D$23*'Climate impacts'!O42+(1-Parameters_Results!$D$23)*'Climate impacts'!N42</f>
        <v>1041.0589245000001</v>
      </c>
      <c r="S24" s="183">
        <f>Parameters_Results!$D$23*'Climate impacts'!Z78+(1-Parameters_Results!$D$23)*'Climate impacts'!Y78</f>
        <v>1041.0589245000001</v>
      </c>
      <c r="T24" s="183">
        <f>Parameters_Results!$D$23*'Climate impacts'!AB78+(1-Parameters_Results!$D$23)*'Climate impacts'!AA78</f>
        <v>1041.0589245000001</v>
      </c>
      <c r="U24" s="209">
        <f>Parameters_Results!$D$23*'Climate impacts'!AD78+(1-Parameters_Results!$D$23)*'Climate impacts'!AC78</f>
        <v>1041.0589245000001</v>
      </c>
    </row>
    <row r="25" spans="2:60">
      <c r="B25" s="145" t="s">
        <v>18</v>
      </c>
      <c r="C25" s="73"/>
      <c r="D25" s="32">
        <f>Parameters_Results!$D$19*'Climate impacts'!E43+(1-Parameters_Results!$D$19)*'Climate impacts'!D43</f>
        <v>0</v>
      </c>
      <c r="E25" s="153">
        <f>Parameters_Results!$D$19*'Climate impacts'!G79+(1-Parameters_Results!$D$19)*'Climate impacts'!F79</f>
        <v>0</v>
      </c>
      <c r="F25" s="153">
        <f>Parameters_Results!$D$19*'Climate impacts'!I79+(1-Parameters_Results!$D$19)*'Climate impacts'!H79</f>
        <v>0</v>
      </c>
      <c r="G25" s="155">
        <f>Parameters_Results!$D$19*'Climate impacts'!K79+(1-Parameters_Results!$D$19)*'Climate impacts'!J79</f>
        <v>0</v>
      </c>
      <c r="I25" s="145" t="s">
        <v>18</v>
      </c>
      <c r="J25" s="172"/>
      <c r="K25" s="249">
        <f>Parameters_Results!$D$21*'Climate impacts'!J43+(1-Parameters_Results!$D$21)*'Climate impacts'!I43</f>
        <v>0</v>
      </c>
      <c r="L25" s="247">
        <f>Parameters_Results!$D$21*'Climate impacts'!P79+(1-Parameters_Results!$D$21)*'Climate impacts'!O79</f>
        <v>0</v>
      </c>
      <c r="M25" s="249">
        <f>Parameters_Results!$D$21*'Climate impacts'!R79+(1-Parameters_Results!$D$21)*'Climate impacts'!Q79</f>
        <v>0</v>
      </c>
      <c r="N25" s="251">
        <f>Parameters_Results!$D$21*'Climate impacts'!T79+(1-Parameters_Results!$D$21)*'Climate impacts'!S79</f>
        <v>0</v>
      </c>
      <c r="P25" s="145" t="s">
        <v>18</v>
      </c>
      <c r="Q25" s="172"/>
      <c r="R25" s="183">
        <f>Parameters_Results!$D$23*'Climate impacts'!O43+(1-Parameters_Results!$D$23)*'Climate impacts'!N43</f>
        <v>0</v>
      </c>
      <c r="S25" s="183">
        <f>Parameters_Results!$D$23*'Climate impacts'!Z79+(1-Parameters_Results!$D$23)*'Climate impacts'!Y79</f>
        <v>0</v>
      </c>
      <c r="T25" s="183">
        <f>Parameters_Results!$D$23*'Climate impacts'!AB79+(1-Parameters_Results!$D$23)*'Climate impacts'!AA79</f>
        <v>0</v>
      </c>
      <c r="U25" s="209">
        <f>Parameters_Results!$D$23*'Climate impacts'!AD79+(1-Parameters_Results!$D$23)*'Climate impacts'!AC79</f>
        <v>0</v>
      </c>
    </row>
    <row r="26" spans="2:60">
      <c r="B26" s="360" t="s">
        <v>21</v>
      </c>
      <c r="C26" s="347"/>
      <c r="D26" s="347"/>
      <c r="E26" s="347"/>
      <c r="F26" s="347"/>
      <c r="G26" s="348"/>
      <c r="I26" s="362" t="s">
        <v>137</v>
      </c>
      <c r="J26" s="363"/>
      <c r="K26" s="363"/>
      <c r="L26" s="363"/>
      <c r="M26" s="363"/>
      <c r="N26" s="364"/>
      <c r="P26" s="360" t="s">
        <v>21</v>
      </c>
      <c r="Q26" s="307"/>
      <c r="R26" s="307"/>
      <c r="S26" s="307"/>
      <c r="T26" s="307"/>
      <c r="U26" s="361"/>
    </row>
    <row r="27" spans="2:60">
      <c r="B27" s="145" t="s">
        <v>23</v>
      </c>
      <c r="C27" s="73"/>
      <c r="D27" s="27">
        <f>'Climate impacts'!D45:E45</f>
        <v>1000</v>
      </c>
      <c r="E27" s="27">
        <f>Parameters_Results!$D$20*'Climate impacts'!G81+(1-Parameters_Results!$D$20)*'Climate impacts'!F81</f>
        <v>500</v>
      </c>
      <c r="F27" s="27">
        <f>Parameters_Results!$D$20*'Climate impacts'!I81+(1-Parameters_Results!$D$20)*'Climate impacts'!H81</f>
        <v>500</v>
      </c>
      <c r="G27" s="28">
        <f>Parameters_Results!$D$20*'Climate impacts'!K81+(1-Parameters_Results!$D$20)*'Climate impacts'!J81</f>
        <v>0</v>
      </c>
      <c r="I27" s="145" t="s">
        <v>23</v>
      </c>
      <c r="J27" s="172"/>
      <c r="K27" s="172">
        <f>'Climate impacts'!I45</f>
        <v>1000</v>
      </c>
      <c r="L27" s="172">
        <f>Parameters_Results!$D$22*'Climate impacts'!P81+(1-Parameters_Results!$D$22)*'Climate impacts'!O81</f>
        <v>500</v>
      </c>
      <c r="M27" s="172">
        <f>Parameters_Results!$D$22*'Climate impacts'!R81+(1-Parameters_Results!$D$22)*'Climate impacts'!Q81</f>
        <v>500</v>
      </c>
      <c r="N27" s="179">
        <f>Parameters_Results!$D$22*'Climate impacts'!T81+(1-Parameters_Results!$D$22)*'Climate impacts'!S81</f>
        <v>0</v>
      </c>
      <c r="P27" s="145" t="s">
        <v>23</v>
      </c>
      <c r="Q27" s="172"/>
      <c r="R27" s="172">
        <f>'Climate impacts'!N45</f>
        <v>1000</v>
      </c>
      <c r="S27" s="172">
        <f>Parameters_Results!$D$24*'Climate impacts'!Z81+(1-Parameters_Results!$D$24)*'Climate impacts'!Y81</f>
        <v>500</v>
      </c>
      <c r="T27" s="172">
        <f>Parameters_Results!$D$24*'Climate impacts'!AB81+(1-Parameters_Results!$D$24)*'Climate impacts'!AA81</f>
        <v>500</v>
      </c>
      <c r="U27" s="179">
        <f>Parameters_Results!$D$24*'Climate impacts'!AD81+(1-Parameters_Results!$D$24)*'Climate impacts'!AC81</f>
        <v>0</v>
      </c>
    </row>
    <row r="28" spans="2:60">
      <c r="B28" s="145" t="s">
        <v>22</v>
      </c>
      <c r="C28" s="73"/>
      <c r="D28" s="29">
        <f>Parameters_Results!$D$19*'Climate impacts'!E46+(1-Parameters_Results!$D$19)*'Climate impacts'!D46</f>
        <v>0</v>
      </c>
      <c r="E28" s="30">
        <f>Parameters_Results!$D$19*'Climate impacts'!G82+(1-Parameters_Results!$D$19)*'Climate impacts'!F82</f>
        <v>0</v>
      </c>
      <c r="F28" s="30">
        <f>Parameters_Results!$D$19*'Climate impacts'!I82+(1-Parameters_Results!$D$19)*'Climate impacts'!H82</f>
        <v>0</v>
      </c>
      <c r="G28" s="31">
        <f>Parameters_Results!$D$19*'Climate impacts'!K82+(1-Parameters_Results!$D$19)*'Climate impacts'!J82</f>
        <v>0</v>
      </c>
      <c r="I28" s="145" t="s">
        <v>22</v>
      </c>
      <c r="J28" s="172"/>
      <c r="K28" s="86">
        <f>Parameters_Results!$D$21*'Climate impacts'!J46+(1-Parameters_Results!$D$21)*'Climate impacts'!I46</f>
        <v>-5.1780821917812199E-2</v>
      </c>
      <c r="L28" s="86">
        <f>Parameters_Results!$D$21*'Climate impacts'!P82+(1-Parameters_Results!$D$21)*'Climate impacts'!O82</f>
        <v>-5.1780821917812199E-2</v>
      </c>
      <c r="M28" s="86">
        <f>Parameters_Results!$D$21*'Climate impacts'!R82+(1-Parameters_Results!$D$21)*'Climate impacts'!Q82</f>
        <v>-5.1780821917812199E-2</v>
      </c>
      <c r="N28" s="59">
        <f>Parameters_Results!$D$21*'Climate impacts'!T82+(1-Parameters_Results!$D$21)*'Climate impacts'!S82</f>
        <v>-5.1780821917812199E-2</v>
      </c>
      <c r="P28" s="145" t="s">
        <v>22</v>
      </c>
      <c r="Q28" s="172"/>
      <c r="R28" s="184">
        <f>Parameters_Results!$D$23*'Climate impacts'!O46+(1-Parameters_Results!$D$23)*'Climate impacts'!N46</f>
        <v>-7.3972602739728402E-2</v>
      </c>
      <c r="S28" s="184">
        <f>Parameters_Results!$D$23*'Climate impacts'!Z82+(1-Parameters_Results!$D$23)*'Climate impacts'!Y82</f>
        <v>-7.3972602739728402E-2</v>
      </c>
      <c r="T28" s="184">
        <f>Parameters_Results!$D$23*'Climate impacts'!AB82+(1-Parameters_Results!$D$23)*'Climate impacts'!AA82</f>
        <v>-7.3972602739728402E-2</v>
      </c>
      <c r="U28" s="59">
        <f>Parameters_Results!$D$23*'Climate impacts'!AD82+(1-Parameters_Results!$D$23)*'Climate impacts'!AC82</f>
        <v>-7.3972602739728402E-2</v>
      </c>
    </row>
    <row r="29" spans="2:60">
      <c r="B29" s="145" t="s">
        <v>184</v>
      </c>
      <c r="C29" s="73"/>
      <c r="D29" s="29">
        <f>Parameters_Results!$D$19*'Climate impacts'!E47+(1-Parameters_Results!$D$19)*'Climate impacts'!D47</f>
        <v>0</v>
      </c>
      <c r="E29" s="30">
        <f>Parameters_Results!$D$19*'Climate impacts'!G83+(1-Parameters_Results!$D$19)*'Climate impacts'!F83</f>
        <v>0</v>
      </c>
      <c r="F29" s="30">
        <f>Parameters_Results!$D$19*'Climate impacts'!I83+(1-Parameters_Results!$D$19)*'Climate impacts'!H83</f>
        <v>0</v>
      </c>
      <c r="G29" s="31">
        <f>Parameters_Results!$D$19*'Climate impacts'!K83+(1-Parameters_Results!$D$19)*'Climate impacts'!J83</f>
        <v>0</v>
      </c>
      <c r="I29" s="145" t="s">
        <v>184</v>
      </c>
      <c r="J29" s="172"/>
      <c r="K29" s="86">
        <f>Parameters_Results!$D$21*'Climate impacts'!J47+(1-Parameters_Results!$D$21)*'Climate impacts'!I47</f>
        <v>-7.3972602739719506E-2</v>
      </c>
      <c r="L29" s="86">
        <f>Parameters_Results!$D$21*'Climate impacts'!P83+(1-Parameters_Results!$D$21)*'Climate impacts'!O83</f>
        <v>-7.3972602739719506E-2</v>
      </c>
      <c r="M29" s="86">
        <f>Parameters_Results!$D$21*'Climate impacts'!R83+(1-Parameters_Results!$D$21)*'Climate impacts'!Q83</f>
        <v>-7.3972602739719506E-2</v>
      </c>
      <c r="N29" s="59">
        <f>Parameters_Results!$D$21*'Climate impacts'!T83+(1-Parameters_Results!$D$21)*'Climate impacts'!S83</f>
        <v>-7.3972602739719506E-2</v>
      </c>
      <c r="P29" s="145" t="s">
        <v>184</v>
      </c>
      <c r="Q29" s="172"/>
      <c r="R29" s="184">
        <f>Parameters_Results!$D$23*'Climate impacts'!O47+(1-Parameters_Results!$D$23)*'Climate impacts'!N47</f>
        <v>-7.7671232876701496E-2</v>
      </c>
      <c r="S29" s="184">
        <f>Parameters_Results!$D$23*'Climate impacts'!Z84+(1-Parameters_Results!$D$23)*'Climate impacts'!Y84</f>
        <v>1635.9497385000004</v>
      </c>
      <c r="T29" s="184">
        <f>Parameters_Results!$D$23*'Climate impacts'!AB84+(1-Parameters_Results!$D$23)*'Climate impacts'!AA84</f>
        <v>1635.9497385000004</v>
      </c>
      <c r="U29" s="59">
        <f>Parameters_Results!$D$23*'Climate impacts'!AD84+(1-Parameters_Results!$D$23)*'Climate impacts'!AC84</f>
        <v>1635.9497385000004</v>
      </c>
    </row>
    <row r="30" spans="2:60">
      <c r="B30" s="145" t="s">
        <v>17</v>
      </c>
      <c r="C30" s="73"/>
      <c r="D30" s="32">
        <f>Parameters_Results!$D$19*'Climate impacts'!E48+(1-Parameters_Results!$D$19)*'Climate impacts'!D48</f>
        <v>0</v>
      </c>
      <c r="E30" s="153">
        <f>Parameters_Results!$D$19*'Climate impacts'!G84+(1-Parameters_Results!$D$19)*'Climate impacts'!F84</f>
        <v>0</v>
      </c>
      <c r="F30" s="153">
        <f>Parameters_Results!$D$19*'Climate impacts'!I84+(1-Parameters_Results!$D$19)*'Climate impacts'!H84</f>
        <v>0</v>
      </c>
      <c r="G30" s="155">
        <f>Parameters_Results!$D$19*'Climate impacts'!K84+(1-Parameters_Results!$D$19)*'Climate impacts'!J84</f>
        <v>0</v>
      </c>
      <c r="I30" s="145" t="s">
        <v>17</v>
      </c>
      <c r="J30" s="172"/>
      <c r="K30" s="247">
        <f>Parameters_Results!$D$21*'Climate impacts'!J48+(1-Parameters_Results!$D$21)*'Climate impacts'!I48</f>
        <v>1635.9497385000004</v>
      </c>
      <c r="L30" s="247">
        <f>Parameters_Results!$D$21*'Climate impacts'!P84+(1-Parameters_Results!$D$21)*'Climate impacts'!O84</f>
        <v>1635.9497385000004</v>
      </c>
      <c r="M30" s="247">
        <f>Parameters_Results!$D$21*'Climate impacts'!R84+(1-Parameters_Results!$D$21)*'Climate impacts'!Q84</f>
        <v>1635.9497385000004</v>
      </c>
      <c r="N30" s="248">
        <f>Parameters_Results!$D$21*'Climate impacts'!T84+(1-Parameters_Results!$D$21)*'Climate impacts'!S84</f>
        <v>1635.9497385000004</v>
      </c>
      <c r="P30" s="145" t="s">
        <v>17</v>
      </c>
      <c r="Q30" s="172"/>
      <c r="R30" s="183">
        <f>Parameters_Results!$D$23*'Climate impacts'!O48+(1-Parameters_Results!$D$23)*'Climate impacts'!N48</f>
        <v>1635.9497385000004</v>
      </c>
      <c r="S30" s="183">
        <f>Parameters_Results!$D$23*'Climate impacts'!Z84+(1-Parameters_Results!$D$23)*'Climate impacts'!Y84</f>
        <v>1635.9497385000004</v>
      </c>
      <c r="T30" s="183">
        <f>Parameters_Results!$D$23*'Climate impacts'!AB84+(1-Parameters_Results!$D$23)*'Climate impacts'!AA84</f>
        <v>1635.9497385000004</v>
      </c>
      <c r="U30" s="60">
        <f>Parameters_Results!$D$23*'Climate impacts'!AD84+(1-Parameters_Results!$D$23)*'Climate impacts'!AC84</f>
        <v>1635.9497385000004</v>
      </c>
    </row>
    <row r="31" spans="2:60" ht="15" thickBot="1">
      <c r="B31" s="176" t="s">
        <v>18</v>
      </c>
      <c r="C31" s="208"/>
      <c r="D31" s="32">
        <f>Parameters_Results!$D$19*'Climate impacts'!E49+(1-Parameters_Results!$D$19)*'Climate impacts'!D49</f>
        <v>0</v>
      </c>
      <c r="E31" s="153">
        <f>Parameters_Results!$D$19*'Climate impacts'!G85+(1-Parameters_Results!$D$19)*'Climate impacts'!F85</f>
        <v>0</v>
      </c>
      <c r="F31" s="153">
        <f>Parameters_Results!$D$19*'Climate impacts'!I85+(1-Parameters_Results!$D$19)*'Climate impacts'!H85</f>
        <v>0</v>
      </c>
      <c r="G31" s="155">
        <f>Parameters_Results!$D$19*'Climate impacts'!K85+(1-Parameters_Results!$D$19)*'Climate impacts'!J85</f>
        <v>0</v>
      </c>
      <c r="H31" s="12"/>
      <c r="I31" s="176" t="s">
        <v>18</v>
      </c>
      <c r="J31" s="182"/>
      <c r="K31" s="247">
        <f>Parameters_Results!$D$21*'Climate impacts'!J49+(1-Parameters_Results!$D$21)*'Climate impacts'!I49</f>
        <v>0</v>
      </c>
      <c r="L31" s="247">
        <f>Parameters_Results!$D$21*'Climate impacts'!P85+(1-Parameters_Results!$D$21)*'Climate impacts'!O85</f>
        <v>0</v>
      </c>
      <c r="M31" s="247">
        <f>Parameters_Results!$D$21*'Climate impacts'!R85+(1-Parameters_Results!$D$21)*'Climate impacts'!Q85</f>
        <v>0</v>
      </c>
      <c r="N31" s="248">
        <f>Parameters_Results!$D$21*'Climate impacts'!T85+(1-Parameters_Results!$D$21)*'Climate impacts'!S85</f>
        <v>0</v>
      </c>
      <c r="P31" s="176" t="s">
        <v>18</v>
      </c>
      <c r="Q31" s="182"/>
      <c r="R31" s="224">
        <f>Parameters_Results!$D$23*'Climate impacts'!O49+(1-Parameters_Results!$D$23)*'Climate impacts'!N49</f>
        <v>0</v>
      </c>
      <c r="S31" s="224">
        <f>Parameters_Results!$D$23*'Climate impacts'!Z85+(1-Parameters_Results!$D$23)*'Climate impacts'!Y85</f>
        <v>0</v>
      </c>
      <c r="T31" s="224">
        <f>Parameters_Results!$D$23*'Climate impacts'!AB85+(1-Parameters_Results!$D$23)*'Climate impacts'!AA85</f>
        <v>0</v>
      </c>
      <c r="U31" s="61">
        <f>Parameters_Results!$D$23*'Climate impacts'!AD85+(1-Parameters_Results!$D$23)*'Climate impacts'!AC85</f>
        <v>0</v>
      </c>
    </row>
    <row r="32" spans="2:60">
      <c r="B32" s="10"/>
      <c r="D32" s="2" t="s">
        <v>122</v>
      </c>
      <c r="E32" s="2"/>
      <c r="G32" s="12"/>
      <c r="H32" s="12"/>
      <c r="I32" s="12"/>
      <c r="J32" s="12"/>
      <c r="K32" s="12"/>
      <c r="L32" s="12"/>
      <c r="M32" s="12"/>
      <c r="AF32">
        <f>COLUMN()</f>
        <v>32</v>
      </c>
      <c r="BH32">
        <f>COLUMN()</f>
        <v>60</v>
      </c>
    </row>
    <row r="33" spans="2:84" ht="15" thickBot="1">
      <c r="B33" s="10"/>
      <c r="D33" s="2"/>
      <c r="E33" s="2"/>
      <c r="G33" s="12"/>
      <c r="H33" s="12"/>
      <c r="I33" s="12"/>
      <c r="J33" s="12"/>
      <c r="K33" s="12"/>
      <c r="L33" s="12"/>
      <c r="M33" s="12"/>
    </row>
    <row r="34" spans="2:84" s="14" customFormat="1">
      <c r="B34" s="122" t="s">
        <v>133</v>
      </c>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D34" s="221" t="s">
        <v>146</v>
      </c>
      <c r="AE34" s="192"/>
      <c r="AF34" s="192"/>
      <c r="AG34" s="192"/>
      <c r="AH34" s="192"/>
      <c r="AI34" s="192"/>
      <c r="AJ34" s="192"/>
      <c r="AK34" s="192"/>
      <c r="AL34" s="192"/>
      <c r="AM34" s="192"/>
      <c r="AN34" s="192"/>
      <c r="AO34" s="192"/>
      <c r="AP34" s="192"/>
      <c r="AQ34" s="192"/>
      <c r="AR34" s="192"/>
      <c r="AS34" s="192"/>
      <c r="AT34" s="192"/>
      <c r="AU34" s="192"/>
      <c r="AV34" s="192"/>
      <c r="AW34" s="192"/>
      <c r="AX34" s="192"/>
      <c r="AY34" s="192"/>
      <c r="AZ34" s="192"/>
      <c r="BA34" s="192"/>
      <c r="BB34" s="192"/>
      <c r="BC34" s="192"/>
      <c r="BD34" s="192"/>
      <c r="BF34" s="222" t="s">
        <v>140</v>
      </c>
      <c r="BG34" s="197"/>
      <c r="BH34" s="197"/>
      <c r="BI34" s="197"/>
      <c r="BJ34" s="197"/>
      <c r="BK34" s="197"/>
      <c r="BL34" s="197"/>
      <c r="BM34" s="197"/>
      <c r="BN34" s="197"/>
      <c r="BO34" s="197"/>
      <c r="BP34" s="197"/>
      <c r="BQ34" s="197"/>
      <c r="BR34" s="197"/>
      <c r="BS34" s="197"/>
      <c r="BT34" s="197"/>
      <c r="BU34" s="197"/>
      <c r="BV34" s="197"/>
      <c r="BW34" s="197"/>
      <c r="BX34" s="197"/>
      <c r="BY34" s="197"/>
      <c r="BZ34" s="197"/>
      <c r="CA34" s="197"/>
      <c r="CB34" s="197"/>
      <c r="CC34" s="197"/>
      <c r="CD34" s="197"/>
      <c r="CE34" s="197"/>
      <c r="CF34" s="197"/>
    </row>
    <row r="35" spans="2:84" s="14" customFormat="1">
      <c r="B35" s="151" t="s">
        <v>42</v>
      </c>
      <c r="C35" s="22"/>
      <c r="D35" s="22"/>
      <c r="E35" s="22"/>
      <c r="F35" s="22"/>
      <c r="G35" s="22"/>
      <c r="H35" s="22"/>
      <c r="I35" s="22"/>
      <c r="J35" s="22"/>
      <c r="K35" s="22"/>
      <c r="L35" s="22"/>
      <c r="M35" s="22"/>
      <c r="N35" s="22"/>
      <c r="O35" s="22"/>
      <c r="P35" s="22"/>
      <c r="Q35" s="22"/>
      <c r="R35" s="22"/>
      <c r="S35" s="22"/>
      <c r="T35" s="22"/>
      <c r="U35" s="22"/>
      <c r="V35" s="22"/>
      <c r="W35" s="22"/>
      <c r="X35" s="22"/>
      <c r="Y35" s="22"/>
      <c r="Z35" s="22"/>
      <c r="AA35" s="22"/>
      <c r="AB35" s="22"/>
      <c r="AD35" s="193" t="s">
        <v>42</v>
      </c>
      <c r="AE35" s="27"/>
      <c r="AF35" s="27"/>
      <c r="AG35" s="27"/>
      <c r="AH35" s="27"/>
      <c r="AI35" s="27"/>
      <c r="AJ35" s="27"/>
      <c r="AK35" s="27"/>
      <c r="AL35" s="27"/>
      <c r="AM35" s="27"/>
      <c r="AN35" s="27"/>
      <c r="AO35" s="27"/>
      <c r="AP35" s="27"/>
      <c r="AQ35" s="27"/>
      <c r="AR35" s="27"/>
      <c r="AS35" s="27"/>
      <c r="AT35" s="27"/>
      <c r="AU35" s="27"/>
      <c r="AV35" s="27"/>
      <c r="AW35" s="27"/>
      <c r="AX35" s="27"/>
      <c r="AY35" s="27"/>
      <c r="AZ35" s="27"/>
      <c r="BA35" s="27"/>
      <c r="BB35" s="27"/>
      <c r="BC35" s="27"/>
      <c r="BD35" s="27"/>
      <c r="BF35" s="187" t="s">
        <v>42</v>
      </c>
      <c r="BG35" s="153"/>
      <c r="BH35" s="153"/>
      <c r="BI35" s="153"/>
      <c r="BJ35" s="153"/>
      <c r="BK35" s="153"/>
      <c r="BL35" s="153"/>
      <c r="BM35" s="153"/>
      <c r="BN35" s="153"/>
      <c r="BO35" s="153"/>
      <c r="BP35" s="153"/>
      <c r="BQ35" s="153"/>
      <c r="BR35" s="153"/>
      <c r="BS35" s="153"/>
      <c r="BT35" s="153"/>
      <c r="BU35" s="153"/>
      <c r="BV35" s="153"/>
      <c r="BW35" s="153"/>
      <c r="BX35" s="153"/>
      <c r="BY35" s="153"/>
      <c r="BZ35" s="153"/>
      <c r="CA35" s="153"/>
      <c r="CB35" s="153"/>
      <c r="CC35" s="153"/>
      <c r="CD35" s="153"/>
      <c r="CE35" s="153"/>
      <c r="CF35" s="153"/>
    </row>
    <row r="36" spans="2:84">
      <c r="B36" s="151" t="s">
        <v>44</v>
      </c>
      <c r="C36" s="22"/>
      <c r="D36" s="22"/>
      <c r="E36" s="22"/>
      <c r="F36" s="22"/>
      <c r="G36" s="22"/>
      <c r="H36" s="22"/>
      <c r="I36" s="22"/>
      <c r="J36" s="22"/>
      <c r="K36" s="22"/>
      <c r="L36" s="22"/>
      <c r="M36" s="22"/>
      <c r="N36" s="22"/>
      <c r="O36" s="22"/>
      <c r="P36" s="22"/>
      <c r="Q36" s="22"/>
      <c r="R36" s="22"/>
      <c r="S36" s="22"/>
      <c r="T36" s="22"/>
      <c r="U36" s="22"/>
      <c r="V36" s="22"/>
      <c r="W36" s="22"/>
      <c r="X36" s="22"/>
      <c r="Y36" s="22"/>
      <c r="Z36" s="22"/>
      <c r="AA36" s="22"/>
      <c r="AB36" s="22"/>
      <c r="AD36" s="21" t="s">
        <v>44</v>
      </c>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F36" s="21" t="s">
        <v>44</v>
      </c>
      <c r="BG36" s="22"/>
      <c r="BH36" s="22"/>
      <c r="BI36" s="22"/>
      <c r="BJ36" s="22"/>
      <c r="BK36" s="22"/>
      <c r="BL36" s="22"/>
      <c r="BM36" s="22"/>
      <c r="BN36" s="22"/>
      <c r="BO36" s="22"/>
      <c r="BP36" s="22"/>
      <c r="BQ36" s="22"/>
      <c r="BR36" s="22"/>
      <c r="BS36" s="22"/>
      <c r="BT36" s="22"/>
      <c r="BU36" s="22"/>
      <c r="BV36" s="22"/>
      <c r="BW36" s="22"/>
      <c r="BX36" s="22"/>
      <c r="BY36" s="22"/>
      <c r="BZ36" s="22"/>
      <c r="CA36" s="22"/>
      <c r="CB36" s="22"/>
      <c r="CC36" s="22"/>
      <c r="CD36" s="22"/>
      <c r="CE36" s="22"/>
      <c r="CF36" s="22"/>
    </row>
    <row r="37" spans="2:84">
      <c r="B37" s="21"/>
      <c r="C37" s="22"/>
      <c r="D37" s="22"/>
      <c r="E37" s="22"/>
      <c r="F37" s="22"/>
      <c r="G37" s="22"/>
      <c r="H37" s="22"/>
      <c r="I37" s="22"/>
      <c r="J37" s="22"/>
      <c r="K37" s="22"/>
      <c r="L37" s="22"/>
      <c r="M37" s="22"/>
      <c r="N37" s="22"/>
      <c r="O37" s="22"/>
      <c r="P37" s="22"/>
      <c r="Q37" s="22"/>
      <c r="R37" s="22"/>
      <c r="S37" s="22"/>
      <c r="T37" s="22"/>
      <c r="U37" s="22"/>
      <c r="V37" s="22"/>
      <c r="W37" s="22"/>
      <c r="X37" s="22"/>
      <c r="Y37" s="22"/>
      <c r="Z37" s="22"/>
      <c r="AA37" s="22"/>
      <c r="AB37" s="22"/>
      <c r="AD37" s="21"/>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F37" s="21"/>
      <c r="BG37" s="22"/>
      <c r="BH37" s="22"/>
      <c r="BI37" s="22"/>
      <c r="BJ37" s="22"/>
      <c r="BK37" s="22"/>
      <c r="BL37" s="22"/>
      <c r="BM37" s="22"/>
      <c r="BN37" s="22"/>
      <c r="BO37" s="22"/>
      <c r="BP37" s="22"/>
      <c r="BQ37" s="22"/>
      <c r="BR37" s="22"/>
      <c r="BS37" s="22"/>
      <c r="BT37" s="22"/>
      <c r="BU37" s="22"/>
      <c r="BV37" s="22"/>
      <c r="BW37" s="22"/>
      <c r="BX37" s="22"/>
      <c r="BY37" s="22"/>
      <c r="BZ37" s="22"/>
      <c r="CA37" s="22"/>
      <c r="CB37" s="22"/>
      <c r="CC37" s="22"/>
      <c r="CD37" s="22"/>
      <c r="CE37" s="22"/>
      <c r="CF37" s="22"/>
    </row>
    <row r="38" spans="2:84">
      <c r="B38" s="21" t="s">
        <v>3</v>
      </c>
      <c r="C38" s="22"/>
      <c r="D38" s="22">
        <f>Parameters_Results!$D$10+COLUMN()-3</f>
        <v>2019</v>
      </c>
      <c r="E38" s="22">
        <f>Parameters_Results!$D$10+COLUMN()-3</f>
        <v>2020</v>
      </c>
      <c r="F38" s="22">
        <f>Parameters_Results!$D$10+COLUMN()-3</f>
        <v>2021</v>
      </c>
      <c r="G38" s="22">
        <f>Parameters_Results!$D$10+COLUMN()-3</f>
        <v>2022</v>
      </c>
      <c r="H38" s="22">
        <f>Parameters_Results!$D$10+COLUMN()-3</f>
        <v>2023</v>
      </c>
      <c r="I38" s="22">
        <f>Parameters_Results!$D$10+COLUMN()-3</f>
        <v>2024</v>
      </c>
      <c r="J38" s="22">
        <f>Parameters_Results!$D$10+COLUMN()-3</f>
        <v>2025</v>
      </c>
      <c r="K38" s="22">
        <f>Parameters_Results!$D$10+COLUMN()-3</f>
        <v>2026</v>
      </c>
      <c r="L38" s="22">
        <f>Parameters_Results!$D$10+COLUMN()-3</f>
        <v>2027</v>
      </c>
      <c r="M38" s="22">
        <f>Parameters_Results!$D$10+COLUMN()-3</f>
        <v>2028</v>
      </c>
      <c r="N38" s="22">
        <f>Parameters_Results!$D$10+COLUMN()-3</f>
        <v>2029</v>
      </c>
      <c r="O38" s="22">
        <f>Parameters_Results!$D$10+COLUMN()-3</f>
        <v>2030</v>
      </c>
      <c r="P38" s="22">
        <f>Parameters_Results!$D$10+COLUMN()-3</f>
        <v>2031</v>
      </c>
      <c r="Q38" s="22">
        <f>Parameters_Results!$D$10+COLUMN()-3</f>
        <v>2032</v>
      </c>
      <c r="R38" s="22">
        <f>Parameters_Results!$D$10+COLUMN()-3</f>
        <v>2033</v>
      </c>
      <c r="S38" s="22">
        <f>Parameters_Results!$D$10+COLUMN()-3</f>
        <v>2034</v>
      </c>
      <c r="T38" s="22">
        <f>Parameters_Results!$D$10+COLUMN()-3</f>
        <v>2035</v>
      </c>
      <c r="U38" s="22">
        <f>Parameters_Results!$D$10+COLUMN()-3</f>
        <v>2036</v>
      </c>
      <c r="V38" s="22">
        <f>Parameters_Results!$D$10+COLUMN()-3</f>
        <v>2037</v>
      </c>
      <c r="W38" s="22">
        <f>Parameters_Results!$D$10+COLUMN()-3</f>
        <v>2038</v>
      </c>
      <c r="X38" s="22">
        <f>Parameters_Results!$D$10+COLUMN()-3</f>
        <v>2039</v>
      </c>
      <c r="Y38" s="22">
        <f>Parameters_Results!$D$10+COLUMN()-3</f>
        <v>2040</v>
      </c>
      <c r="Z38" s="22">
        <f>Parameters_Results!$D$10+COLUMN()-3</f>
        <v>2041</v>
      </c>
      <c r="AA38" s="22">
        <f>Parameters_Results!$D$10+COLUMN()-3</f>
        <v>2042</v>
      </c>
      <c r="AB38" s="22">
        <f>Parameters_Results!$D$10+COLUMN()-3</f>
        <v>2043</v>
      </c>
      <c r="AD38" s="24" t="s">
        <v>3</v>
      </c>
      <c r="AE38" s="22"/>
      <c r="AF38" s="22">
        <f>Parameters_Results!$D$10+COLUMN()-31</f>
        <v>2019</v>
      </c>
      <c r="AG38" s="22">
        <f>Parameters_Results!$D$10+COLUMN()-31</f>
        <v>2020</v>
      </c>
      <c r="AH38" s="22">
        <f>Parameters_Results!$D$10+COLUMN()-31</f>
        <v>2021</v>
      </c>
      <c r="AI38" s="22">
        <f>Parameters_Results!$D$10+COLUMN()-31</f>
        <v>2022</v>
      </c>
      <c r="AJ38" s="22">
        <f>Parameters_Results!$D$10+COLUMN()-31</f>
        <v>2023</v>
      </c>
      <c r="AK38" s="22">
        <f>Parameters_Results!$D$10+COLUMN()-31</f>
        <v>2024</v>
      </c>
      <c r="AL38" s="22">
        <f>Parameters_Results!$D$10+COLUMN()-31</f>
        <v>2025</v>
      </c>
      <c r="AM38" s="22">
        <f>Parameters_Results!$D$10+COLUMN()-31</f>
        <v>2026</v>
      </c>
      <c r="AN38" s="22">
        <f>Parameters_Results!$D$10+COLUMN()-31</f>
        <v>2027</v>
      </c>
      <c r="AO38" s="22">
        <f>Parameters_Results!$D$10+COLUMN()-31</f>
        <v>2028</v>
      </c>
      <c r="AP38" s="22">
        <f>Parameters_Results!$D$10+COLUMN()-31</f>
        <v>2029</v>
      </c>
      <c r="AQ38" s="22">
        <f>Parameters_Results!$D$10+COLUMN()-31</f>
        <v>2030</v>
      </c>
      <c r="AR38" s="22">
        <f>Parameters_Results!$D$10+COLUMN()-31</f>
        <v>2031</v>
      </c>
      <c r="AS38" s="22">
        <f>Parameters_Results!$D$10+COLUMN()-31</f>
        <v>2032</v>
      </c>
      <c r="AT38" s="22">
        <f>Parameters_Results!$D$10+COLUMN()-31</f>
        <v>2033</v>
      </c>
      <c r="AU38" s="22">
        <f>Parameters_Results!$D$10+COLUMN()-31</f>
        <v>2034</v>
      </c>
      <c r="AV38" s="22">
        <f>Parameters_Results!$D$10+COLUMN()-31</f>
        <v>2035</v>
      </c>
      <c r="AW38" s="22">
        <f>Parameters_Results!$D$10+COLUMN()-31</f>
        <v>2036</v>
      </c>
      <c r="AX38" s="22">
        <f>Parameters_Results!$D$10+COLUMN()-31</f>
        <v>2037</v>
      </c>
      <c r="AY38" s="22">
        <f>Parameters_Results!$D$10+COLUMN()-31</f>
        <v>2038</v>
      </c>
      <c r="AZ38" s="22">
        <f>Parameters_Results!$D$10+COLUMN()-31</f>
        <v>2039</v>
      </c>
      <c r="BA38" s="22">
        <f>Parameters_Results!$D$10+COLUMN()-31</f>
        <v>2040</v>
      </c>
      <c r="BB38" s="22">
        <f>Parameters_Results!$D$10+COLUMN()-31</f>
        <v>2041</v>
      </c>
      <c r="BC38" s="22">
        <f>Parameters_Results!$D$10+COLUMN()-31</f>
        <v>2042</v>
      </c>
      <c r="BD38" s="22">
        <f>Parameters_Results!$D$10+COLUMN()-31</f>
        <v>2043</v>
      </c>
      <c r="BF38" s="21" t="s">
        <v>3</v>
      </c>
      <c r="BG38" s="22"/>
      <c r="BH38" s="43">
        <f>Parameters_Results!$D$10+COLUMN()-59</f>
        <v>2019</v>
      </c>
      <c r="BI38" s="43">
        <f>Parameters_Results!$D$10+COLUMN()-59</f>
        <v>2020</v>
      </c>
      <c r="BJ38" s="43">
        <f>Parameters_Results!$D$10+COLUMN()-59</f>
        <v>2021</v>
      </c>
      <c r="BK38" s="43">
        <f>Parameters_Results!$D$10+COLUMN()-59</f>
        <v>2022</v>
      </c>
      <c r="BL38" s="43">
        <f>Parameters_Results!$D$10+COLUMN()-59</f>
        <v>2023</v>
      </c>
      <c r="BM38" s="43">
        <f>Parameters_Results!$D$10+COLUMN()-59</f>
        <v>2024</v>
      </c>
      <c r="BN38" s="43">
        <f>Parameters_Results!$D$10+COLUMN()-59</f>
        <v>2025</v>
      </c>
      <c r="BO38" s="43">
        <f>Parameters_Results!$D$10+COLUMN()-59</f>
        <v>2026</v>
      </c>
      <c r="BP38" s="43">
        <f>Parameters_Results!$D$10+COLUMN()-59</f>
        <v>2027</v>
      </c>
      <c r="BQ38" s="43">
        <f>Parameters_Results!$D$10+COLUMN()-59</f>
        <v>2028</v>
      </c>
      <c r="BR38" s="43">
        <f>Parameters_Results!$D$10+COLUMN()-59</f>
        <v>2029</v>
      </c>
      <c r="BS38" s="43">
        <f>Parameters_Results!$D$10+COLUMN()-59</f>
        <v>2030</v>
      </c>
      <c r="BT38" s="43">
        <f>Parameters_Results!$D$10+COLUMN()-59</f>
        <v>2031</v>
      </c>
      <c r="BU38" s="43">
        <f>Parameters_Results!$D$10+COLUMN()-59</f>
        <v>2032</v>
      </c>
      <c r="BV38" s="43">
        <f>Parameters_Results!$D$10+COLUMN()-59</f>
        <v>2033</v>
      </c>
      <c r="BW38" s="43">
        <f>Parameters_Results!$D$10+COLUMN()-59</f>
        <v>2034</v>
      </c>
      <c r="BX38" s="43">
        <f>Parameters_Results!$D$10+COLUMN()-59</f>
        <v>2035</v>
      </c>
      <c r="BY38" s="43">
        <f>Parameters_Results!$D$10+COLUMN()-59</f>
        <v>2036</v>
      </c>
      <c r="BZ38" s="43">
        <f>Parameters_Results!$D$10+COLUMN()-59</f>
        <v>2037</v>
      </c>
      <c r="CA38" s="43">
        <f>Parameters_Results!$D$10+COLUMN()-59</f>
        <v>2038</v>
      </c>
      <c r="CB38" s="43">
        <f>Parameters_Results!$D$10+COLUMN()-59</f>
        <v>2039</v>
      </c>
      <c r="CC38" s="43">
        <f>Parameters_Results!$D$10+COLUMN()-59</f>
        <v>2040</v>
      </c>
      <c r="CD38" s="43">
        <f>Parameters_Results!$D$10+COLUMN()-59</f>
        <v>2041</v>
      </c>
      <c r="CE38" s="43">
        <f>Parameters_Results!$D$10+COLUMN()-59</f>
        <v>2042</v>
      </c>
      <c r="CF38" s="43">
        <f>Parameters_Results!$D$10+COLUMN()-59</f>
        <v>2043</v>
      </c>
    </row>
    <row r="39" spans="2:84">
      <c r="B39" s="24" t="s">
        <v>16</v>
      </c>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22"/>
      <c r="AD39" s="24" t="s">
        <v>16</v>
      </c>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F39" s="24" t="s">
        <v>16</v>
      </c>
      <c r="BG39" s="22"/>
      <c r="BH39" s="43"/>
      <c r="BI39" s="22"/>
      <c r="BJ39" s="22"/>
      <c r="BK39" s="22"/>
      <c r="BL39" s="22"/>
      <c r="BM39" s="22"/>
      <c r="BN39" s="22"/>
      <c r="BO39" s="22"/>
      <c r="BP39" s="22"/>
      <c r="BQ39" s="22"/>
      <c r="BR39" s="210"/>
      <c r="BS39" s="149"/>
      <c r="BT39" s="149"/>
      <c r="BU39" s="149"/>
      <c r="BV39" s="149"/>
      <c r="BW39" s="149"/>
      <c r="BX39" s="149"/>
      <c r="BY39" s="149"/>
      <c r="BZ39" s="149"/>
      <c r="CA39" s="149"/>
      <c r="CB39" s="149"/>
      <c r="CC39" s="149"/>
      <c r="CD39" s="149"/>
      <c r="CE39" s="149"/>
      <c r="CF39" s="149"/>
    </row>
    <row r="40" spans="2:84">
      <c r="B40" s="152" t="s">
        <v>51</v>
      </c>
      <c r="C40" s="153"/>
      <c r="D40" s="213">
        <f>(1/$E9-1/$D9)*(D$38-$D$7)/($E$7-$D$7)+1/$D9</f>
        <v>0.5</v>
      </c>
      <c r="E40" s="153">
        <f t="shared" ref="E40:M40" si="0">(1/$E9-1/$D9)*(E$38-$D$7)/($E$7-$D$7)+1/$D9</f>
        <v>0.5</v>
      </c>
      <c r="F40" s="153">
        <f t="shared" si="0"/>
        <v>0.5</v>
      </c>
      <c r="G40" s="153">
        <f t="shared" si="0"/>
        <v>0.5</v>
      </c>
      <c r="H40" s="153">
        <f t="shared" si="0"/>
        <v>0.5</v>
      </c>
      <c r="I40" s="154">
        <f t="shared" si="0"/>
        <v>0.5</v>
      </c>
      <c r="J40" s="153">
        <f t="shared" si="0"/>
        <v>0.5</v>
      </c>
      <c r="K40" s="153">
        <f t="shared" si="0"/>
        <v>0.5</v>
      </c>
      <c r="L40" s="153">
        <f t="shared" si="0"/>
        <v>0.5</v>
      </c>
      <c r="M40" s="153">
        <f t="shared" si="0"/>
        <v>0.5</v>
      </c>
      <c r="N40" s="153">
        <f>(1/$F9-1/$E9)*(N$38-$E$7)/($F$7-$E$7)+1/$E9</f>
        <v>0.5</v>
      </c>
      <c r="O40" s="153">
        <f t="shared" ref="O40:AB40" si="1">(1/$F9-1/$E9)*(O$38-$E$7)/($F$7-$E$7)+1/$E9</f>
        <v>0.5</v>
      </c>
      <c r="P40" s="153">
        <f t="shared" si="1"/>
        <v>0.5</v>
      </c>
      <c r="Q40" s="153">
        <f t="shared" si="1"/>
        <v>0.5</v>
      </c>
      <c r="R40" s="153">
        <f t="shared" si="1"/>
        <v>0.5</v>
      </c>
      <c r="S40" s="153">
        <f t="shared" si="1"/>
        <v>0.5</v>
      </c>
      <c r="T40" s="153">
        <f t="shared" si="1"/>
        <v>0.5</v>
      </c>
      <c r="U40" s="153">
        <f t="shared" si="1"/>
        <v>0.5</v>
      </c>
      <c r="V40" s="153">
        <f t="shared" si="1"/>
        <v>0.5</v>
      </c>
      <c r="W40" s="154">
        <f t="shared" si="1"/>
        <v>0.5</v>
      </c>
      <c r="X40" s="154">
        <f t="shared" si="1"/>
        <v>0.5</v>
      </c>
      <c r="Y40" s="154">
        <f t="shared" si="1"/>
        <v>0.5</v>
      </c>
      <c r="Z40" s="153">
        <f t="shared" si="1"/>
        <v>0.5</v>
      </c>
      <c r="AA40" s="153">
        <f t="shared" si="1"/>
        <v>0.5</v>
      </c>
      <c r="AB40" s="153">
        <f t="shared" si="1"/>
        <v>0.5</v>
      </c>
      <c r="AD40" s="194" t="s">
        <v>51</v>
      </c>
      <c r="AE40" s="191"/>
      <c r="AF40" s="196">
        <f>(1/$L9-1/$K9)*(AF$38-$K$7)/($L$7-$K$7)+1/$K9</f>
        <v>0.5</v>
      </c>
      <c r="AG40" s="196">
        <f t="shared" ref="AG40:AO40" si="2">(1/$L9-1/$K9)*(AG$38-$K$7)/($L$7-$K$7)+1/$K9</f>
        <v>0.5</v>
      </c>
      <c r="AH40" s="196">
        <f t="shared" si="2"/>
        <v>0.5</v>
      </c>
      <c r="AI40" s="196">
        <f t="shared" si="2"/>
        <v>0.5</v>
      </c>
      <c r="AJ40" s="196">
        <f t="shared" si="2"/>
        <v>0.5</v>
      </c>
      <c r="AK40" s="196">
        <f t="shared" si="2"/>
        <v>0.5</v>
      </c>
      <c r="AL40" s="196">
        <f t="shared" si="2"/>
        <v>0.5</v>
      </c>
      <c r="AM40" s="196">
        <f t="shared" si="2"/>
        <v>0.5</v>
      </c>
      <c r="AN40" s="196">
        <f t="shared" si="2"/>
        <v>0.5</v>
      </c>
      <c r="AO40" s="196">
        <f t="shared" si="2"/>
        <v>0.5</v>
      </c>
      <c r="AP40" s="196">
        <f>(1/$M9-1/$L9)*(AP$38-$L$7)/($M$7-$L$7)+1/$L9</f>
        <v>0.5</v>
      </c>
      <c r="AQ40" s="196">
        <f t="shared" ref="AQ40:BD40" si="3">(1/$M9-1/$L9)*(AQ$38-$L$7)/($M$7-$L$7)+1/$L9</f>
        <v>0.5</v>
      </c>
      <c r="AR40" s="196">
        <f t="shared" si="3"/>
        <v>0.5</v>
      </c>
      <c r="AS40" s="196">
        <f t="shared" si="3"/>
        <v>0.5</v>
      </c>
      <c r="AT40" s="196">
        <f t="shared" si="3"/>
        <v>0.5</v>
      </c>
      <c r="AU40" s="196">
        <f t="shared" si="3"/>
        <v>0.5</v>
      </c>
      <c r="AV40" s="196">
        <f t="shared" si="3"/>
        <v>0.5</v>
      </c>
      <c r="AW40" s="196">
        <f t="shared" si="3"/>
        <v>0.5</v>
      </c>
      <c r="AX40" s="196">
        <f t="shared" si="3"/>
        <v>0.5</v>
      </c>
      <c r="AY40" s="196">
        <f t="shared" si="3"/>
        <v>0.5</v>
      </c>
      <c r="AZ40" s="196">
        <f t="shared" si="3"/>
        <v>0.5</v>
      </c>
      <c r="BA40" s="196">
        <f t="shared" si="3"/>
        <v>0.5</v>
      </c>
      <c r="BB40" s="196">
        <f t="shared" si="3"/>
        <v>0.5</v>
      </c>
      <c r="BC40" s="196">
        <f t="shared" si="3"/>
        <v>0.5</v>
      </c>
      <c r="BD40" s="196">
        <f t="shared" si="3"/>
        <v>0.5</v>
      </c>
      <c r="BF40" s="21" t="s">
        <v>51</v>
      </c>
      <c r="BG40" s="22"/>
      <c r="BH40" s="214">
        <f>(1/$S9-1/$R9)*(BH$38-$R$7)/($S$7-$R$7)+1/$R9</f>
        <v>0.5</v>
      </c>
      <c r="BI40" s="210">
        <f t="shared" ref="BI40:BQ40" si="4">(1/$S9-1/$R9)*(BI$38-$R$7)/($S$7-$R$7)+1/$R9</f>
        <v>0.5</v>
      </c>
      <c r="BJ40" s="210">
        <f t="shared" si="4"/>
        <v>0.5</v>
      </c>
      <c r="BK40" s="210">
        <f t="shared" si="4"/>
        <v>0.5</v>
      </c>
      <c r="BL40" s="210">
        <f t="shared" si="4"/>
        <v>0.5</v>
      </c>
      <c r="BM40" s="210">
        <f t="shared" si="4"/>
        <v>0.5</v>
      </c>
      <c r="BN40" s="210">
        <f t="shared" si="4"/>
        <v>0.5</v>
      </c>
      <c r="BO40" s="210">
        <f t="shared" si="4"/>
        <v>0.5</v>
      </c>
      <c r="BP40" s="210">
        <f t="shared" si="4"/>
        <v>0.5</v>
      </c>
      <c r="BQ40" s="210">
        <f t="shared" si="4"/>
        <v>0.5</v>
      </c>
      <c r="BR40" s="89">
        <f>(1/$T9-1/$S9)*(BR$38-$S$7)/($T$7-$S$7)+1/$S9</f>
        <v>0.5</v>
      </c>
      <c r="BS40" s="89">
        <f t="shared" ref="BS40:CF40" si="5">(1/$T9-1/$S9)*(BS$38-$S$7)/($T$7-$S$7)+1/$S9</f>
        <v>0.5</v>
      </c>
      <c r="BT40" s="89">
        <f t="shared" si="5"/>
        <v>0.5</v>
      </c>
      <c r="BU40" s="89">
        <f t="shared" si="5"/>
        <v>0.5</v>
      </c>
      <c r="BV40" s="89">
        <f t="shared" si="5"/>
        <v>0.5</v>
      </c>
      <c r="BW40" s="89">
        <f t="shared" si="5"/>
        <v>0.5</v>
      </c>
      <c r="BX40" s="89">
        <f t="shared" si="5"/>
        <v>0.5</v>
      </c>
      <c r="BY40" s="89">
        <f t="shared" si="5"/>
        <v>0.5</v>
      </c>
      <c r="BZ40" s="89">
        <f t="shared" si="5"/>
        <v>0.5</v>
      </c>
      <c r="CA40" s="89">
        <f t="shared" si="5"/>
        <v>0.5</v>
      </c>
      <c r="CB40" s="89">
        <f t="shared" si="5"/>
        <v>0.5</v>
      </c>
      <c r="CC40" s="89">
        <f t="shared" si="5"/>
        <v>0.5</v>
      </c>
      <c r="CD40" s="89">
        <f t="shared" si="5"/>
        <v>0.5</v>
      </c>
      <c r="CE40" s="89">
        <f t="shared" si="5"/>
        <v>0.5</v>
      </c>
      <c r="CF40" s="89">
        <f t="shared" si="5"/>
        <v>0.5</v>
      </c>
    </row>
    <row r="41" spans="2:84">
      <c r="B41" s="21" t="s">
        <v>22</v>
      </c>
      <c r="C41" s="153"/>
      <c r="D41" s="213">
        <f t="shared" ref="D41:M41" si="6">($E10-$D10)*(D$38-$D$7)/($E$7-$D$7)+$D10</f>
        <v>0</v>
      </c>
      <c r="E41" s="153">
        <f t="shared" si="6"/>
        <v>0</v>
      </c>
      <c r="F41" s="153">
        <f t="shared" si="6"/>
        <v>0</v>
      </c>
      <c r="G41" s="153">
        <f t="shared" si="6"/>
        <v>0</v>
      </c>
      <c r="H41" s="153">
        <f t="shared" si="6"/>
        <v>0</v>
      </c>
      <c r="I41" s="153">
        <f t="shared" si="6"/>
        <v>0</v>
      </c>
      <c r="J41" s="153">
        <f t="shared" si="6"/>
        <v>0</v>
      </c>
      <c r="K41" s="153">
        <f t="shared" si="6"/>
        <v>0</v>
      </c>
      <c r="L41" s="153">
        <f t="shared" si="6"/>
        <v>0</v>
      </c>
      <c r="M41" s="153">
        <f t="shared" si="6"/>
        <v>0</v>
      </c>
      <c r="N41" s="153">
        <f t="shared" ref="N41:AB41" si="7">($F10-$E10)*(N$38-$E$7)/($F$7-$E$7)+$E10</f>
        <v>0</v>
      </c>
      <c r="O41" s="153">
        <f t="shared" si="7"/>
        <v>0</v>
      </c>
      <c r="P41" s="153">
        <f t="shared" si="7"/>
        <v>0</v>
      </c>
      <c r="Q41" s="153">
        <f t="shared" si="7"/>
        <v>0</v>
      </c>
      <c r="R41" s="153">
        <f t="shared" si="7"/>
        <v>0</v>
      </c>
      <c r="S41" s="153">
        <f t="shared" si="7"/>
        <v>0</v>
      </c>
      <c r="T41" s="153">
        <f t="shared" si="7"/>
        <v>0</v>
      </c>
      <c r="U41" s="153">
        <f t="shared" si="7"/>
        <v>0</v>
      </c>
      <c r="V41" s="153">
        <f t="shared" si="7"/>
        <v>0</v>
      </c>
      <c r="W41" s="154">
        <f t="shared" si="7"/>
        <v>0</v>
      </c>
      <c r="X41" s="154">
        <f t="shared" si="7"/>
        <v>0</v>
      </c>
      <c r="Y41" s="154">
        <f t="shared" si="7"/>
        <v>0</v>
      </c>
      <c r="Z41" s="153">
        <f t="shared" si="7"/>
        <v>0</v>
      </c>
      <c r="AA41" s="153">
        <f t="shared" si="7"/>
        <v>0</v>
      </c>
      <c r="AB41" s="153">
        <f t="shared" si="7"/>
        <v>0</v>
      </c>
      <c r="AD41" s="21" t="s">
        <v>22</v>
      </c>
      <c r="AE41" s="191"/>
      <c r="AF41" s="191">
        <f>($L10-$K10)*(AF$38-$K$7)/($L$7-$K$7)+$K10</f>
        <v>0</v>
      </c>
      <c r="AG41" s="191">
        <f t="shared" ref="AG41:BD42" si="8">($L10-$K10)*(AG$38-$K$7)/($L$7-$K$7)+$K10</f>
        <v>0</v>
      </c>
      <c r="AH41" s="191">
        <f t="shared" si="8"/>
        <v>0</v>
      </c>
      <c r="AI41" s="191">
        <f t="shared" si="8"/>
        <v>0</v>
      </c>
      <c r="AJ41" s="191">
        <f t="shared" si="8"/>
        <v>0</v>
      </c>
      <c r="AK41" s="191">
        <f t="shared" si="8"/>
        <v>0</v>
      </c>
      <c r="AL41" s="191">
        <f t="shared" si="8"/>
        <v>0</v>
      </c>
      <c r="AM41" s="191">
        <f t="shared" si="8"/>
        <v>0</v>
      </c>
      <c r="AN41" s="191">
        <f t="shared" si="8"/>
        <v>0</v>
      </c>
      <c r="AO41" s="191">
        <f t="shared" si="8"/>
        <v>0</v>
      </c>
      <c r="AP41" s="191">
        <f t="shared" si="8"/>
        <v>0</v>
      </c>
      <c r="AQ41" s="191">
        <f t="shared" si="8"/>
        <v>0</v>
      </c>
      <c r="AR41" s="191">
        <f t="shared" si="8"/>
        <v>0</v>
      </c>
      <c r="AS41" s="191">
        <f t="shared" si="8"/>
        <v>0</v>
      </c>
      <c r="AT41" s="191">
        <f t="shared" si="8"/>
        <v>0</v>
      </c>
      <c r="AU41" s="191">
        <f t="shared" si="8"/>
        <v>0</v>
      </c>
      <c r="AV41" s="191">
        <f t="shared" si="8"/>
        <v>0</v>
      </c>
      <c r="AW41" s="191">
        <f t="shared" si="8"/>
        <v>0</v>
      </c>
      <c r="AX41" s="191">
        <f t="shared" si="8"/>
        <v>0</v>
      </c>
      <c r="AY41" s="191">
        <f t="shared" si="8"/>
        <v>0</v>
      </c>
      <c r="AZ41" s="191">
        <f t="shared" si="8"/>
        <v>0</v>
      </c>
      <c r="BA41" s="191">
        <f t="shared" si="8"/>
        <v>0</v>
      </c>
      <c r="BB41" s="191">
        <f t="shared" si="8"/>
        <v>0</v>
      </c>
      <c r="BC41" s="191">
        <f t="shared" si="8"/>
        <v>0</v>
      </c>
      <c r="BD41" s="191">
        <f t="shared" si="8"/>
        <v>0</v>
      </c>
      <c r="BF41" s="21" t="s">
        <v>22</v>
      </c>
      <c r="BG41" s="22"/>
      <c r="BH41" s="214">
        <f>($S10-$R10)*(BH$38-$R$7)/($S$7-$R$7)+$R10</f>
        <v>0</v>
      </c>
      <c r="BI41" s="89">
        <f t="shared" ref="BI41:BQ42" si="9">($S10-$R10)*(BI$38-$R$7)/($S$7-$R$7)+$R10</f>
        <v>0</v>
      </c>
      <c r="BJ41" s="89">
        <f t="shared" si="9"/>
        <v>0</v>
      </c>
      <c r="BK41" s="89">
        <f t="shared" si="9"/>
        <v>0</v>
      </c>
      <c r="BL41" s="89">
        <f t="shared" si="9"/>
        <v>0</v>
      </c>
      <c r="BM41" s="89">
        <f t="shared" si="9"/>
        <v>0</v>
      </c>
      <c r="BN41" s="89">
        <f t="shared" si="9"/>
        <v>0</v>
      </c>
      <c r="BO41" s="89">
        <f t="shared" si="9"/>
        <v>0</v>
      </c>
      <c r="BP41" s="89">
        <f t="shared" si="9"/>
        <v>0</v>
      </c>
      <c r="BQ41" s="89">
        <f t="shared" si="9"/>
        <v>0</v>
      </c>
      <c r="BR41" s="210">
        <f>($T10-$S10)*(BR$38-$S$7)/($T$7-$S$7)+$S10</f>
        <v>0</v>
      </c>
      <c r="BS41" s="210">
        <f t="shared" ref="BS41:CF42" si="10">($T10-$S10)*(BS$38-$S$7)/($T$7-$S$7)+$S10</f>
        <v>0</v>
      </c>
      <c r="BT41" s="210">
        <f t="shared" si="10"/>
        <v>0</v>
      </c>
      <c r="BU41" s="210">
        <f t="shared" si="10"/>
        <v>0</v>
      </c>
      <c r="BV41" s="210">
        <f t="shared" si="10"/>
        <v>0</v>
      </c>
      <c r="BW41" s="210">
        <f t="shared" si="10"/>
        <v>0</v>
      </c>
      <c r="BX41" s="210">
        <f t="shared" si="10"/>
        <v>0</v>
      </c>
      <c r="BY41" s="210">
        <f t="shared" si="10"/>
        <v>0</v>
      </c>
      <c r="BZ41" s="210">
        <f t="shared" si="10"/>
        <v>0</v>
      </c>
      <c r="CA41" s="210">
        <f t="shared" si="10"/>
        <v>0</v>
      </c>
      <c r="CB41" s="210">
        <f t="shared" si="10"/>
        <v>0</v>
      </c>
      <c r="CC41" s="210">
        <f t="shared" si="10"/>
        <v>0</v>
      </c>
      <c r="CD41" s="210">
        <f t="shared" si="10"/>
        <v>0</v>
      </c>
      <c r="CE41" s="210">
        <f t="shared" si="10"/>
        <v>0</v>
      </c>
      <c r="CF41" s="210">
        <f t="shared" si="10"/>
        <v>0</v>
      </c>
    </row>
    <row r="42" spans="2:84">
      <c r="B42" s="145" t="s">
        <v>184</v>
      </c>
      <c r="C42" s="153"/>
      <c r="D42" s="213">
        <f t="shared" ref="D42:M42" si="11">($E11-$D11)*(D$38-$D$7)/($E$7-$D$7)+$D11</f>
        <v>0</v>
      </c>
      <c r="E42" s="153">
        <f t="shared" si="11"/>
        <v>0</v>
      </c>
      <c r="F42" s="153">
        <f t="shared" si="11"/>
        <v>0</v>
      </c>
      <c r="G42" s="153">
        <f t="shared" si="11"/>
        <v>0</v>
      </c>
      <c r="H42" s="153">
        <f t="shared" si="11"/>
        <v>0</v>
      </c>
      <c r="I42" s="153">
        <f t="shared" si="11"/>
        <v>0</v>
      </c>
      <c r="J42" s="153">
        <f t="shared" si="11"/>
        <v>0</v>
      </c>
      <c r="K42" s="153">
        <f t="shared" si="11"/>
        <v>0</v>
      </c>
      <c r="L42" s="153">
        <f t="shared" si="11"/>
        <v>0</v>
      </c>
      <c r="M42" s="153">
        <f t="shared" si="11"/>
        <v>0</v>
      </c>
      <c r="N42" s="153">
        <f t="shared" ref="N42:AB42" si="12">($F11-$E11)*(N$38-$E$7)/($F$7-$E$7)+$E11</f>
        <v>0</v>
      </c>
      <c r="O42" s="153">
        <f t="shared" si="12"/>
        <v>0</v>
      </c>
      <c r="P42" s="153">
        <f t="shared" si="12"/>
        <v>0</v>
      </c>
      <c r="Q42" s="153">
        <f t="shared" si="12"/>
        <v>0</v>
      </c>
      <c r="R42" s="153">
        <f t="shared" si="12"/>
        <v>0</v>
      </c>
      <c r="S42" s="153">
        <f t="shared" si="12"/>
        <v>0</v>
      </c>
      <c r="T42" s="153">
        <f t="shared" si="12"/>
        <v>0</v>
      </c>
      <c r="U42" s="153">
        <f t="shared" si="12"/>
        <v>0</v>
      </c>
      <c r="V42" s="153">
        <f t="shared" si="12"/>
        <v>0</v>
      </c>
      <c r="W42" s="154">
        <f t="shared" si="12"/>
        <v>0</v>
      </c>
      <c r="X42" s="154">
        <f t="shared" si="12"/>
        <v>0</v>
      </c>
      <c r="Y42" s="154">
        <f t="shared" si="12"/>
        <v>0</v>
      </c>
      <c r="Z42" s="153">
        <f t="shared" si="12"/>
        <v>0</v>
      </c>
      <c r="AA42" s="153">
        <f t="shared" si="12"/>
        <v>0</v>
      </c>
      <c r="AB42" s="153">
        <f t="shared" si="12"/>
        <v>0</v>
      </c>
      <c r="AD42" s="145" t="s">
        <v>184</v>
      </c>
      <c r="AE42" s="191"/>
      <c r="AF42" s="191">
        <f>($L11-$K11)*(AF$38-$K$7)/($L$7-$K$7)+$K11</f>
        <v>0</v>
      </c>
      <c r="AG42" s="191">
        <f t="shared" si="8"/>
        <v>0</v>
      </c>
      <c r="AH42" s="191">
        <f t="shared" si="8"/>
        <v>0</v>
      </c>
      <c r="AI42" s="191">
        <f t="shared" si="8"/>
        <v>0</v>
      </c>
      <c r="AJ42" s="191">
        <f t="shared" si="8"/>
        <v>0</v>
      </c>
      <c r="AK42" s="191">
        <f t="shared" si="8"/>
        <v>0</v>
      </c>
      <c r="AL42" s="191">
        <f t="shared" si="8"/>
        <v>0</v>
      </c>
      <c r="AM42" s="191">
        <f t="shared" si="8"/>
        <v>0</v>
      </c>
      <c r="AN42" s="191">
        <f t="shared" si="8"/>
        <v>0</v>
      </c>
      <c r="AO42" s="191">
        <f t="shared" si="8"/>
        <v>0</v>
      </c>
      <c r="AP42" s="191">
        <f t="shared" si="8"/>
        <v>0</v>
      </c>
      <c r="AQ42" s="191">
        <f t="shared" si="8"/>
        <v>0</v>
      </c>
      <c r="AR42" s="191">
        <f t="shared" si="8"/>
        <v>0</v>
      </c>
      <c r="AS42" s="191">
        <f t="shared" si="8"/>
        <v>0</v>
      </c>
      <c r="AT42" s="191">
        <f t="shared" si="8"/>
        <v>0</v>
      </c>
      <c r="AU42" s="191">
        <f t="shared" si="8"/>
        <v>0</v>
      </c>
      <c r="AV42" s="191">
        <f t="shared" si="8"/>
        <v>0</v>
      </c>
      <c r="AW42" s="191">
        <f t="shared" si="8"/>
        <v>0</v>
      </c>
      <c r="AX42" s="191">
        <f t="shared" si="8"/>
        <v>0</v>
      </c>
      <c r="AY42" s="191">
        <f t="shared" si="8"/>
        <v>0</v>
      </c>
      <c r="AZ42" s="191">
        <f t="shared" si="8"/>
        <v>0</v>
      </c>
      <c r="BA42" s="191">
        <f t="shared" si="8"/>
        <v>0</v>
      </c>
      <c r="BB42" s="191">
        <f t="shared" si="8"/>
        <v>0</v>
      </c>
      <c r="BC42" s="191">
        <f t="shared" si="8"/>
        <v>0</v>
      </c>
      <c r="BD42" s="191">
        <f t="shared" si="8"/>
        <v>0</v>
      </c>
      <c r="BF42" s="145" t="s">
        <v>184</v>
      </c>
      <c r="BG42" s="22"/>
      <c r="BH42" s="214">
        <f>($S11-$R11)*(BH$38-$R$7)/($S$7-$R$7)+$R11</f>
        <v>0</v>
      </c>
      <c r="BI42" s="89">
        <f t="shared" si="9"/>
        <v>0</v>
      </c>
      <c r="BJ42" s="89">
        <f t="shared" si="9"/>
        <v>0</v>
      </c>
      <c r="BK42" s="89">
        <f t="shared" si="9"/>
        <v>0</v>
      </c>
      <c r="BL42" s="89">
        <f t="shared" si="9"/>
        <v>0</v>
      </c>
      <c r="BM42" s="89">
        <f t="shared" si="9"/>
        <v>0</v>
      </c>
      <c r="BN42" s="89">
        <f t="shared" si="9"/>
        <v>0</v>
      </c>
      <c r="BO42" s="89">
        <f t="shared" si="9"/>
        <v>0</v>
      </c>
      <c r="BP42" s="89">
        <f t="shared" si="9"/>
        <v>0</v>
      </c>
      <c r="BQ42" s="89">
        <f t="shared" si="9"/>
        <v>0</v>
      </c>
      <c r="BR42" s="210">
        <f>($T11-$S11)*(BR$38-$S$7)/($T$7-$S$7)+$S11</f>
        <v>0</v>
      </c>
      <c r="BS42" s="210">
        <f t="shared" si="10"/>
        <v>0</v>
      </c>
      <c r="BT42" s="210">
        <f t="shared" si="10"/>
        <v>0</v>
      </c>
      <c r="BU42" s="210">
        <f t="shared" si="10"/>
        <v>0</v>
      </c>
      <c r="BV42" s="210">
        <f t="shared" si="10"/>
        <v>0</v>
      </c>
      <c r="BW42" s="210">
        <f t="shared" si="10"/>
        <v>0</v>
      </c>
      <c r="BX42" s="210">
        <f t="shared" si="10"/>
        <v>0</v>
      </c>
      <c r="BY42" s="210">
        <f t="shared" si="10"/>
        <v>0</v>
      </c>
      <c r="BZ42" s="210">
        <f t="shared" si="10"/>
        <v>0</v>
      </c>
      <c r="CA42" s="210">
        <f t="shared" si="10"/>
        <v>0</v>
      </c>
      <c r="CB42" s="210">
        <f t="shared" si="10"/>
        <v>0</v>
      </c>
      <c r="CC42" s="210">
        <f t="shared" si="10"/>
        <v>0</v>
      </c>
      <c r="CD42" s="210">
        <f t="shared" si="10"/>
        <v>0</v>
      </c>
      <c r="CE42" s="210">
        <f t="shared" si="10"/>
        <v>0</v>
      </c>
      <c r="CF42" s="210">
        <f t="shared" si="10"/>
        <v>0</v>
      </c>
    </row>
    <row r="43" spans="2:84">
      <c r="B43" s="21" t="s">
        <v>45</v>
      </c>
      <c r="C43" s="153"/>
      <c r="D43" s="213">
        <f t="shared" ref="D43:M43" si="13">($E12-$D12)*(D$38-$D$7)/($E$7-$D$7)+$D12</f>
        <v>0</v>
      </c>
      <c r="E43" s="153">
        <f t="shared" si="13"/>
        <v>0</v>
      </c>
      <c r="F43" s="153">
        <f t="shared" si="13"/>
        <v>0</v>
      </c>
      <c r="G43" s="153">
        <f t="shared" si="13"/>
        <v>0</v>
      </c>
      <c r="H43" s="153">
        <f t="shared" si="13"/>
        <v>0</v>
      </c>
      <c r="I43" s="153">
        <f t="shared" si="13"/>
        <v>0</v>
      </c>
      <c r="J43" s="153">
        <f t="shared" si="13"/>
        <v>0</v>
      </c>
      <c r="K43" s="153">
        <f t="shared" si="13"/>
        <v>0</v>
      </c>
      <c r="L43" s="153">
        <f t="shared" si="13"/>
        <v>0</v>
      </c>
      <c r="M43" s="153">
        <f t="shared" si="13"/>
        <v>0</v>
      </c>
      <c r="N43" s="153">
        <f t="shared" ref="N43:AB43" si="14">($F12-$E12)*(N$38-$E$7)/($F$7-$E$7)+$E12</f>
        <v>0</v>
      </c>
      <c r="O43" s="153">
        <f t="shared" si="14"/>
        <v>0</v>
      </c>
      <c r="P43" s="153">
        <f t="shared" si="14"/>
        <v>0</v>
      </c>
      <c r="Q43" s="153">
        <f t="shared" si="14"/>
        <v>0</v>
      </c>
      <c r="R43" s="153">
        <f t="shared" si="14"/>
        <v>0</v>
      </c>
      <c r="S43" s="153">
        <f t="shared" si="14"/>
        <v>0</v>
      </c>
      <c r="T43" s="153">
        <f t="shared" si="14"/>
        <v>0</v>
      </c>
      <c r="U43" s="153">
        <f t="shared" si="14"/>
        <v>0</v>
      </c>
      <c r="V43" s="153">
        <f t="shared" si="14"/>
        <v>0</v>
      </c>
      <c r="W43" s="153">
        <f t="shared" si="14"/>
        <v>0</v>
      </c>
      <c r="X43" s="153">
        <f t="shared" si="14"/>
        <v>0</v>
      </c>
      <c r="Y43" s="153">
        <f t="shared" si="14"/>
        <v>0</v>
      </c>
      <c r="Z43" s="153">
        <f t="shared" si="14"/>
        <v>0</v>
      </c>
      <c r="AA43" s="153">
        <f t="shared" si="14"/>
        <v>0</v>
      </c>
      <c r="AB43" s="153">
        <f t="shared" si="14"/>
        <v>0</v>
      </c>
      <c r="AD43" s="21" t="s">
        <v>45</v>
      </c>
      <c r="AE43" s="191"/>
      <c r="AF43" s="191">
        <f>($L12-$K12)*(AF$38-$K$7)/($L$7-$K$7)+$K12</f>
        <v>0</v>
      </c>
      <c r="AG43" s="191">
        <f t="shared" ref="AG43:BD43" si="15">($L12-$K12)*(AG$38-$K$7)/($L$7-$K$7)+$K12</f>
        <v>0</v>
      </c>
      <c r="AH43" s="191">
        <f t="shared" si="15"/>
        <v>0</v>
      </c>
      <c r="AI43" s="191">
        <f t="shared" si="15"/>
        <v>0</v>
      </c>
      <c r="AJ43" s="191">
        <f t="shared" si="15"/>
        <v>0</v>
      </c>
      <c r="AK43" s="191">
        <f t="shared" si="15"/>
        <v>0</v>
      </c>
      <c r="AL43" s="191">
        <f t="shared" si="15"/>
        <v>0</v>
      </c>
      <c r="AM43" s="191">
        <f t="shared" si="15"/>
        <v>0</v>
      </c>
      <c r="AN43" s="191">
        <f t="shared" si="15"/>
        <v>0</v>
      </c>
      <c r="AO43" s="191">
        <f t="shared" si="15"/>
        <v>0</v>
      </c>
      <c r="AP43" s="191">
        <f t="shared" si="15"/>
        <v>0</v>
      </c>
      <c r="AQ43" s="191">
        <f t="shared" si="15"/>
        <v>0</v>
      </c>
      <c r="AR43" s="191">
        <f t="shared" si="15"/>
        <v>0</v>
      </c>
      <c r="AS43" s="191">
        <f t="shared" si="15"/>
        <v>0</v>
      </c>
      <c r="AT43" s="191">
        <f t="shared" si="15"/>
        <v>0</v>
      </c>
      <c r="AU43" s="191">
        <f t="shared" si="15"/>
        <v>0</v>
      </c>
      <c r="AV43" s="191">
        <f t="shared" si="15"/>
        <v>0</v>
      </c>
      <c r="AW43" s="191">
        <f t="shared" si="15"/>
        <v>0</v>
      </c>
      <c r="AX43" s="191">
        <f t="shared" si="15"/>
        <v>0</v>
      </c>
      <c r="AY43" s="191">
        <f t="shared" si="15"/>
        <v>0</v>
      </c>
      <c r="AZ43" s="191">
        <f t="shared" si="15"/>
        <v>0</v>
      </c>
      <c r="BA43" s="191">
        <f t="shared" si="15"/>
        <v>0</v>
      </c>
      <c r="BB43" s="191">
        <f t="shared" si="15"/>
        <v>0</v>
      </c>
      <c r="BC43" s="191">
        <f t="shared" si="15"/>
        <v>0</v>
      </c>
      <c r="BD43" s="191">
        <f t="shared" si="15"/>
        <v>0</v>
      </c>
      <c r="BF43" s="21" t="s">
        <v>45</v>
      </c>
      <c r="BG43" s="22"/>
      <c r="BH43" s="214">
        <f t="shared" ref="BH43:BQ43" si="16">($S12-$R12)*(BH$38-$R$7)/($S$7-$R$7)+$R12</f>
        <v>0</v>
      </c>
      <c r="BI43" s="210">
        <f t="shared" si="16"/>
        <v>0</v>
      </c>
      <c r="BJ43" s="210">
        <f t="shared" si="16"/>
        <v>0</v>
      </c>
      <c r="BK43" s="210">
        <f t="shared" si="16"/>
        <v>0</v>
      </c>
      <c r="BL43" s="210">
        <f t="shared" si="16"/>
        <v>0</v>
      </c>
      <c r="BM43" s="210">
        <f t="shared" si="16"/>
        <v>0</v>
      </c>
      <c r="BN43" s="210">
        <f t="shared" si="16"/>
        <v>0</v>
      </c>
      <c r="BO43" s="210">
        <f t="shared" si="16"/>
        <v>0</v>
      </c>
      <c r="BP43" s="210">
        <f t="shared" si="16"/>
        <v>0</v>
      </c>
      <c r="BQ43" s="210">
        <f t="shared" si="16"/>
        <v>0</v>
      </c>
      <c r="BR43" s="210">
        <f>($T12-$S12)*(BR$38-$S$7)/($T$7-$S$7)+$S12</f>
        <v>0</v>
      </c>
      <c r="BS43" s="210">
        <f t="shared" ref="BS43:CF43" si="17">($T12-$S12)*(BS$38-$S$7)/($T$7-$S$7)+$S12</f>
        <v>0</v>
      </c>
      <c r="BT43" s="210">
        <f t="shared" si="17"/>
        <v>0</v>
      </c>
      <c r="BU43" s="210">
        <f t="shared" si="17"/>
        <v>0</v>
      </c>
      <c r="BV43" s="210">
        <f t="shared" si="17"/>
        <v>0</v>
      </c>
      <c r="BW43" s="210">
        <f t="shared" si="17"/>
        <v>0</v>
      </c>
      <c r="BX43" s="210">
        <f t="shared" si="17"/>
        <v>0</v>
      </c>
      <c r="BY43" s="210">
        <f t="shared" si="17"/>
        <v>0</v>
      </c>
      <c r="BZ43" s="210">
        <f t="shared" si="17"/>
        <v>0</v>
      </c>
      <c r="CA43" s="210">
        <f t="shared" si="17"/>
        <v>0</v>
      </c>
      <c r="CB43" s="210">
        <f t="shared" si="17"/>
        <v>0</v>
      </c>
      <c r="CC43" s="210">
        <f t="shared" si="17"/>
        <v>0</v>
      </c>
      <c r="CD43" s="210">
        <f t="shared" si="17"/>
        <v>0</v>
      </c>
      <c r="CE43" s="210">
        <f t="shared" si="17"/>
        <v>0</v>
      </c>
      <c r="CF43" s="210">
        <f t="shared" si="17"/>
        <v>0</v>
      </c>
    </row>
    <row r="44" spans="2:84">
      <c r="B44" s="21" t="s">
        <v>46</v>
      </c>
      <c r="C44" s="153"/>
      <c r="D44" s="213">
        <f t="shared" ref="D44:M44" si="18">($E13-$D13)*(D$38-$D$7)/($E$7-$D$7)+$D13</f>
        <v>0</v>
      </c>
      <c r="E44" s="153">
        <f t="shared" si="18"/>
        <v>0</v>
      </c>
      <c r="F44" s="153">
        <f t="shared" si="18"/>
        <v>0</v>
      </c>
      <c r="G44" s="153">
        <f t="shared" si="18"/>
        <v>0</v>
      </c>
      <c r="H44" s="153">
        <f t="shared" si="18"/>
        <v>0</v>
      </c>
      <c r="I44" s="153">
        <f t="shared" si="18"/>
        <v>0</v>
      </c>
      <c r="J44" s="153">
        <f t="shared" si="18"/>
        <v>0</v>
      </c>
      <c r="K44" s="153">
        <f t="shared" si="18"/>
        <v>0</v>
      </c>
      <c r="L44" s="153">
        <f t="shared" si="18"/>
        <v>0</v>
      </c>
      <c r="M44" s="153">
        <f t="shared" si="18"/>
        <v>0</v>
      </c>
      <c r="N44" s="153">
        <f t="shared" ref="N44:AB44" si="19">($F13-$E13)*(N$38-$E$7)/($F$7-$E$7)+$E13</f>
        <v>0</v>
      </c>
      <c r="O44" s="153">
        <f t="shared" si="19"/>
        <v>0</v>
      </c>
      <c r="P44" s="153">
        <f t="shared" si="19"/>
        <v>0</v>
      </c>
      <c r="Q44" s="153">
        <f t="shared" si="19"/>
        <v>0</v>
      </c>
      <c r="R44" s="153">
        <f t="shared" si="19"/>
        <v>0</v>
      </c>
      <c r="S44" s="153">
        <f t="shared" si="19"/>
        <v>0</v>
      </c>
      <c r="T44" s="153">
        <f t="shared" si="19"/>
        <v>0</v>
      </c>
      <c r="U44" s="153">
        <f t="shared" si="19"/>
        <v>0</v>
      </c>
      <c r="V44" s="153">
        <f t="shared" si="19"/>
        <v>0</v>
      </c>
      <c r="W44" s="153">
        <f t="shared" si="19"/>
        <v>0</v>
      </c>
      <c r="X44" s="153">
        <f t="shared" si="19"/>
        <v>0</v>
      </c>
      <c r="Y44" s="153">
        <f t="shared" si="19"/>
        <v>0</v>
      </c>
      <c r="Z44" s="153">
        <f t="shared" si="19"/>
        <v>0</v>
      </c>
      <c r="AA44" s="153">
        <f t="shared" si="19"/>
        <v>0</v>
      </c>
      <c r="AB44" s="153">
        <f t="shared" si="19"/>
        <v>0</v>
      </c>
      <c r="AD44" s="21" t="s">
        <v>46</v>
      </c>
      <c r="AE44" s="191"/>
      <c r="AF44" s="191">
        <f>($L13-$K13)*(AF$38-$K$7)/($L$7-$K$7)+$K13</f>
        <v>0</v>
      </c>
      <c r="AG44" s="191">
        <f t="shared" ref="AG44:BD44" si="20">($L13-$K13)*(AG$38-$K$7)/($L$7-$K$7)+$K13</f>
        <v>0</v>
      </c>
      <c r="AH44" s="191">
        <f t="shared" si="20"/>
        <v>0</v>
      </c>
      <c r="AI44" s="191">
        <f t="shared" si="20"/>
        <v>0</v>
      </c>
      <c r="AJ44" s="191">
        <f t="shared" si="20"/>
        <v>0</v>
      </c>
      <c r="AK44" s="191">
        <f t="shared" si="20"/>
        <v>0</v>
      </c>
      <c r="AL44" s="191">
        <f t="shared" si="20"/>
        <v>0</v>
      </c>
      <c r="AM44" s="191">
        <f t="shared" si="20"/>
        <v>0</v>
      </c>
      <c r="AN44" s="191">
        <f t="shared" si="20"/>
        <v>0</v>
      </c>
      <c r="AO44" s="191">
        <f t="shared" si="20"/>
        <v>0</v>
      </c>
      <c r="AP44" s="191">
        <f t="shared" si="20"/>
        <v>0</v>
      </c>
      <c r="AQ44" s="191">
        <f t="shared" si="20"/>
        <v>0</v>
      </c>
      <c r="AR44" s="191">
        <f t="shared" si="20"/>
        <v>0</v>
      </c>
      <c r="AS44" s="191">
        <f t="shared" si="20"/>
        <v>0</v>
      </c>
      <c r="AT44" s="191">
        <f t="shared" si="20"/>
        <v>0</v>
      </c>
      <c r="AU44" s="191">
        <f t="shared" si="20"/>
        <v>0</v>
      </c>
      <c r="AV44" s="191">
        <f t="shared" si="20"/>
        <v>0</v>
      </c>
      <c r="AW44" s="191">
        <f t="shared" si="20"/>
        <v>0</v>
      </c>
      <c r="AX44" s="191">
        <f t="shared" si="20"/>
        <v>0</v>
      </c>
      <c r="AY44" s="191">
        <f t="shared" si="20"/>
        <v>0</v>
      </c>
      <c r="AZ44" s="191">
        <f t="shared" si="20"/>
        <v>0</v>
      </c>
      <c r="BA44" s="191">
        <f t="shared" si="20"/>
        <v>0</v>
      </c>
      <c r="BB44" s="191">
        <f t="shared" si="20"/>
        <v>0</v>
      </c>
      <c r="BC44" s="191">
        <f t="shared" si="20"/>
        <v>0</v>
      </c>
      <c r="BD44" s="191">
        <f t="shared" si="20"/>
        <v>0</v>
      </c>
      <c r="BF44" s="21" t="s">
        <v>46</v>
      </c>
      <c r="BG44" s="22"/>
      <c r="BH44" s="214">
        <f t="shared" ref="BH44:BQ44" si="21">($S13-$R13)*(BH$38-$R$7)/($S$7-$R$7)+$R13</f>
        <v>0</v>
      </c>
      <c r="BI44" s="210">
        <f t="shared" si="21"/>
        <v>0</v>
      </c>
      <c r="BJ44" s="210">
        <f t="shared" si="21"/>
        <v>0</v>
      </c>
      <c r="BK44" s="210">
        <f t="shared" si="21"/>
        <v>0</v>
      </c>
      <c r="BL44" s="210">
        <f t="shared" si="21"/>
        <v>0</v>
      </c>
      <c r="BM44" s="210">
        <f t="shared" si="21"/>
        <v>0</v>
      </c>
      <c r="BN44" s="210">
        <f t="shared" si="21"/>
        <v>0</v>
      </c>
      <c r="BO44" s="210">
        <f t="shared" si="21"/>
        <v>0</v>
      </c>
      <c r="BP44" s="210">
        <f t="shared" si="21"/>
        <v>0</v>
      </c>
      <c r="BQ44" s="210">
        <f t="shared" si="21"/>
        <v>0</v>
      </c>
      <c r="BR44" s="210">
        <f>($T13-$S13)*(BR$38-$S$7)/($T$7-$S$7)+$S13</f>
        <v>0</v>
      </c>
      <c r="BS44" s="210">
        <f t="shared" ref="BS44:CF44" si="22">($T13-$S13)*(BS$38-$S$7)/($T$7-$S$7)+$S13</f>
        <v>0</v>
      </c>
      <c r="BT44" s="210">
        <f t="shared" si="22"/>
        <v>0</v>
      </c>
      <c r="BU44" s="210">
        <f t="shared" si="22"/>
        <v>0</v>
      </c>
      <c r="BV44" s="210">
        <f t="shared" si="22"/>
        <v>0</v>
      </c>
      <c r="BW44" s="210">
        <f t="shared" si="22"/>
        <v>0</v>
      </c>
      <c r="BX44" s="210">
        <f t="shared" si="22"/>
        <v>0</v>
      </c>
      <c r="BY44" s="210">
        <f t="shared" si="22"/>
        <v>0</v>
      </c>
      <c r="BZ44" s="210">
        <f t="shared" si="22"/>
        <v>0</v>
      </c>
      <c r="CA44" s="210">
        <f t="shared" si="22"/>
        <v>0</v>
      </c>
      <c r="CB44" s="210">
        <f t="shared" si="22"/>
        <v>0</v>
      </c>
      <c r="CC44" s="210">
        <f t="shared" si="22"/>
        <v>0</v>
      </c>
      <c r="CD44" s="210">
        <f t="shared" si="22"/>
        <v>0</v>
      </c>
      <c r="CE44" s="210">
        <f t="shared" si="22"/>
        <v>0</v>
      </c>
      <c r="CF44" s="210">
        <f t="shared" si="22"/>
        <v>0</v>
      </c>
    </row>
    <row r="45" spans="2:84">
      <c r="B45" s="24" t="s">
        <v>36</v>
      </c>
      <c r="C45" s="153"/>
      <c r="D45" s="213"/>
      <c r="E45" s="153"/>
      <c r="F45" s="153"/>
      <c r="G45" s="153"/>
      <c r="H45" s="153"/>
      <c r="I45" s="153"/>
      <c r="J45" s="153"/>
      <c r="K45" s="153"/>
      <c r="L45" s="153"/>
      <c r="M45" s="153"/>
      <c r="N45" s="153"/>
      <c r="O45" s="153"/>
      <c r="P45" s="153"/>
      <c r="Q45" s="153"/>
      <c r="R45" s="153"/>
      <c r="S45" s="153"/>
      <c r="T45" s="153"/>
      <c r="U45" s="153"/>
      <c r="V45" s="153"/>
      <c r="W45" s="153"/>
      <c r="X45" s="153"/>
      <c r="Y45" s="153"/>
      <c r="Z45" s="153"/>
      <c r="AA45" s="153"/>
      <c r="AB45" s="153"/>
      <c r="AD45" s="24" t="s">
        <v>36</v>
      </c>
      <c r="AE45" s="191"/>
      <c r="AF45" s="191"/>
      <c r="AG45" s="191"/>
      <c r="AH45" s="191"/>
      <c r="AI45" s="191"/>
      <c r="AJ45" s="191"/>
      <c r="AK45" s="191"/>
      <c r="AL45" s="191"/>
      <c r="AM45" s="191"/>
      <c r="AN45" s="191"/>
      <c r="AO45" s="191"/>
      <c r="AP45" s="191"/>
      <c r="AQ45" s="191"/>
      <c r="AR45" s="191"/>
      <c r="AS45" s="191"/>
      <c r="AT45" s="191"/>
      <c r="AU45" s="191"/>
      <c r="AV45" s="191"/>
      <c r="AW45" s="191"/>
      <c r="AX45" s="191"/>
      <c r="AY45" s="191"/>
      <c r="AZ45" s="191"/>
      <c r="BA45" s="191"/>
      <c r="BB45" s="191"/>
      <c r="BC45" s="191"/>
      <c r="BD45" s="191"/>
      <c r="BF45" s="24" t="s">
        <v>36</v>
      </c>
      <c r="BG45" s="22"/>
      <c r="BH45" s="214"/>
      <c r="BI45" s="149"/>
      <c r="BJ45" s="149"/>
      <c r="BK45" s="149"/>
      <c r="BL45" s="149"/>
      <c r="BM45" s="149"/>
      <c r="BN45" s="149"/>
      <c r="BO45" s="149"/>
      <c r="BP45" s="149"/>
      <c r="BQ45" s="149"/>
      <c r="BR45" s="210"/>
      <c r="BS45" s="149"/>
      <c r="BT45" s="149"/>
      <c r="BU45" s="149"/>
      <c r="BV45" s="149"/>
      <c r="BW45" s="149"/>
      <c r="BX45" s="149"/>
      <c r="BY45" s="149"/>
      <c r="BZ45" s="149"/>
      <c r="CA45" s="149"/>
      <c r="CB45" s="149"/>
      <c r="CC45" s="149"/>
      <c r="CD45" s="149"/>
      <c r="CE45" s="149"/>
      <c r="CF45" s="149"/>
    </row>
    <row r="46" spans="2:84">
      <c r="B46" s="152" t="s">
        <v>51</v>
      </c>
      <c r="C46" s="153"/>
      <c r="D46" s="213">
        <f>(1/$E15-1/$D15)*(D$38-$D$7)/($E$7-$D$7)+1/$D15</f>
        <v>0.10833333333333334</v>
      </c>
      <c r="E46" s="215">
        <f t="shared" ref="E46:M46" si="23">(1/$E15-1/$D15)*(E$38-$D$7)/($E$7-$D$7)+1/$D15</f>
        <v>0.11666666666666667</v>
      </c>
      <c r="F46" s="215">
        <f t="shared" si="23"/>
        <v>0.125</v>
      </c>
      <c r="G46" s="215">
        <f t="shared" si="23"/>
        <v>0.13333333333333333</v>
      </c>
      <c r="H46" s="215">
        <f t="shared" si="23"/>
        <v>0.14166666666666666</v>
      </c>
      <c r="I46" s="215">
        <f t="shared" si="23"/>
        <v>0.15000000000000002</v>
      </c>
      <c r="J46" s="215">
        <f t="shared" si="23"/>
        <v>0.15833333333333335</v>
      </c>
      <c r="K46" s="215">
        <f t="shared" si="23"/>
        <v>0.16666666666666669</v>
      </c>
      <c r="L46" s="215">
        <f t="shared" si="23"/>
        <v>0.17499999999999999</v>
      </c>
      <c r="M46" s="215">
        <f t="shared" si="23"/>
        <v>0.18333333333333335</v>
      </c>
      <c r="N46" s="153">
        <f t="shared" ref="N46:AB46" si="24">(1/$F15-1/$E15)*(N$38-$E$7)/($F$7-$E$7)+1/$E15</f>
        <v>0.2</v>
      </c>
      <c r="O46" s="153">
        <f t="shared" si="24"/>
        <v>0.2</v>
      </c>
      <c r="P46" s="153">
        <f t="shared" si="24"/>
        <v>0.2</v>
      </c>
      <c r="Q46" s="153">
        <f t="shared" si="24"/>
        <v>0.2</v>
      </c>
      <c r="R46" s="153">
        <f t="shared" si="24"/>
        <v>0.2</v>
      </c>
      <c r="S46" s="153">
        <f t="shared" si="24"/>
        <v>0.2</v>
      </c>
      <c r="T46" s="153">
        <f t="shared" si="24"/>
        <v>0.2</v>
      </c>
      <c r="U46" s="153">
        <f t="shared" si="24"/>
        <v>0.2</v>
      </c>
      <c r="V46" s="153">
        <f t="shared" si="24"/>
        <v>0.2</v>
      </c>
      <c r="W46" s="153">
        <f t="shared" si="24"/>
        <v>0.2</v>
      </c>
      <c r="X46" s="153">
        <f t="shared" si="24"/>
        <v>0.2</v>
      </c>
      <c r="Y46" s="153">
        <f t="shared" si="24"/>
        <v>0.2</v>
      </c>
      <c r="Z46" s="153">
        <f t="shared" si="24"/>
        <v>0.2</v>
      </c>
      <c r="AA46" s="153">
        <f t="shared" si="24"/>
        <v>0.2</v>
      </c>
      <c r="AB46" s="153">
        <f t="shared" si="24"/>
        <v>0.2</v>
      </c>
      <c r="AD46" s="194" t="s">
        <v>51</v>
      </c>
      <c r="AE46" s="191"/>
      <c r="AF46" s="217">
        <f>(1/$L15-1/$K15)*(AF$38-$K$7)/($L$7-$K$7)+1/$K15</f>
        <v>9.0000000000000011E-2</v>
      </c>
      <c r="AG46" s="217">
        <f t="shared" ref="AG46:AO46" si="25">(1/$L15-1/$K15)*(AG$38-$K$7)/($L$7-$K$7)+1/$K15</f>
        <v>0.1</v>
      </c>
      <c r="AH46" s="217">
        <f t="shared" si="25"/>
        <v>0.11</v>
      </c>
      <c r="AI46" s="217">
        <f t="shared" si="25"/>
        <v>0.12000000000000001</v>
      </c>
      <c r="AJ46" s="217">
        <f t="shared" si="25"/>
        <v>0.13</v>
      </c>
      <c r="AK46" s="217">
        <f t="shared" si="25"/>
        <v>0.14000000000000001</v>
      </c>
      <c r="AL46" s="217">
        <f t="shared" si="25"/>
        <v>0.15000000000000002</v>
      </c>
      <c r="AM46" s="217">
        <f t="shared" si="25"/>
        <v>0.16000000000000003</v>
      </c>
      <c r="AN46" s="217">
        <f t="shared" si="25"/>
        <v>0.17</v>
      </c>
      <c r="AO46" s="217">
        <f t="shared" si="25"/>
        <v>0.18</v>
      </c>
      <c r="AP46" s="191">
        <f t="shared" ref="AP46:BD46" si="26">(1/$M15-1/$L15)*(AP$38-$L$7)/($M$7-$L$7)+1/$L15</f>
        <v>0.2</v>
      </c>
      <c r="AQ46" s="191">
        <f t="shared" si="26"/>
        <v>0.2</v>
      </c>
      <c r="AR46" s="191">
        <f t="shared" si="26"/>
        <v>0.2</v>
      </c>
      <c r="AS46" s="191">
        <f t="shared" si="26"/>
        <v>0.2</v>
      </c>
      <c r="AT46" s="191">
        <f t="shared" si="26"/>
        <v>0.2</v>
      </c>
      <c r="AU46" s="191">
        <f t="shared" si="26"/>
        <v>0.2</v>
      </c>
      <c r="AV46" s="191">
        <f t="shared" si="26"/>
        <v>0.2</v>
      </c>
      <c r="AW46" s="191">
        <f t="shared" si="26"/>
        <v>0.2</v>
      </c>
      <c r="AX46" s="191">
        <f t="shared" si="26"/>
        <v>0.2</v>
      </c>
      <c r="AY46" s="191">
        <f t="shared" si="26"/>
        <v>0.2</v>
      </c>
      <c r="AZ46" s="191">
        <f t="shared" si="26"/>
        <v>0.2</v>
      </c>
      <c r="BA46" s="191">
        <f t="shared" si="26"/>
        <v>0.2</v>
      </c>
      <c r="BB46" s="191">
        <f t="shared" si="26"/>
        <v>0.2</v>
      </c>
      <c r="BC46" s="191">
        <f t="shared" si="26"/>
        <v>0.2</v>
      </c>
      <c r="BD46" s="191">
        <f t="shared" si="26"/>
        <v>0.2</v>
      </c>
      <c r="BF46" s="21" t="s">
        <v>51</v>
      </c>
      <c r="BG46" s="22"/>
      <c r="BH46" s="214">
        <f t="shared" ref="BH46:BQ46" si="27">(1/$S15-1/$R15)*(BH$38-$R$7)/($S$7-$R$7)+1/$R15</f>
        <v>9.0000000000000011E-2</v>
      </c>
      <c r="BI46" s="88">
        <f t="shared" si="27"/>
        <v>0.1</v>
      </c>
      <c r="BJ46" s="88">
        <f t="shared" si="27"/>
        <v>0.11</v>
      </c>
      <c r="BK46" s="88">
        <f t="shared" si="27"/>
        <v>0.12000000000000001</v>
      </c>
      <c r="BL46" s="88">
        <f t="shared" si="27"/>
        <v>0.13</v>
      </c>
      <c r="BM46" s="88">
        <f t="shared" si="27"/>
        <v>0.14000000000000001</v>
      </c>
      <c r="BN46" s="88">
        <f t="shared" si="27"/>
        <v>0.15000000000000002</v>
      </c>
      <c r="BO46" s="88">
        <f t="shared" si="27"/>
        <v>0.16000000000000003</v>
      </c>
      <c r="BP46" s="88">
        <f t="shared" si="27"/>
        <v>0.17</v>
      </c>
      <c r="BQ46" s="88">
        <f t="shared" si="27"/>
        <v>0.18</v>
      </c>
      <c r="BR46" s="89">
        <f t="shared" ref="BR46:CF46" si="28">(1/$T15-1/$S15)*(BR$38-$S$7)/($T$7-$S$7)+1/$S15</f>
        <v>0.2</v>
      </c>
      <c r="BS46" s="89">
        <f t="shared" si="28"/>
        <v>0.2</v>
      </c>
      <c r="BT46" s="89">
        <f t="shared" si="28"/>
        <v>0.2</v>
      </c>
      <c r="BU46" s="89">
        <f t="shared" si="28"/>
        <v>0.2</v>
      </c>
      <c r="BV46" s="89">
        <f t="shared" si="28"/>
        <v>0.2</v>
      </c>
      <c r="BW46" s="89">
        <f t="shared" si="28"/>
        <v>0.2</v>
      </c>
      <c r="BX46" s="89">
        <f t="shared" si="28"/>
        <v>0.2</v>
      </c>
      <c r="BY46" s="89">
        <f t="shared" si="28"/>
        <v>0.2</v>
      </c>
      <c r="BZ46" s="89">
        <f t="shared" si="28"/>
        <v>0.2</v>
      </c>
      <c r="CA46" s="89">
        <f t="shared" si="28"/>
        <v>0.2</v>
      </c>
      <c r="CB46" s="89">
        <f t="shared" si="28"/>
        <v>0.2</v>
      </c>
      <c r="CC46" s="89">
        <f t="shared" si="28"/>
        <v>0.2</v>
      </c>
      <c r="CD46" s="89">
        <f t="shared" si="28"/>
        <v>0.2</v>
      </c>
      <c r="CE46" s="89">
        <f t="shared" si="28"/>
        <v>0.2</v>
      </c>
      <c r="CF46" s="89">
        <f t="shared" si="28"/>
        <v>0.2</v>
      </c>
    </row>
    <row r="47" spans="2:84">
      <c r="B47" s="21" t="s">
        <v>22</v>
      </c>
      <c r="C47" s="153"/>
      <c r="D47" s="213">
        <f t="shared" ref="D47:M47" si="29">($E16-$D16)*(D$38-$D$7)/($E$7-$D$7)+$D16</f>
        <v>0</v>
      </c>
      <c r="E47" s="153">
        <f t="shared" si="29"/>
        <v>0</v>
      </c>
      <c r="F47" s="153">
        <f t="shared" si="29"/>
        <v>0</v>
      </c>
      <c r="G47" s="153">
        <f t="shared" si="29"/>
        <v>0</v>
      </c>
      <c r="H47" s="153">
        <f t="shared" si="29"/>
        <v>0</v>
      </c>
      <c r="I47" s="153">
        <f t="shared" si="29"/>
        <v>0</v>
      </c>
      <c r="J47" s="153">
        <f t="shared" si="29"/>
        <v>0</v>
      </c>
      <c r="K47" s="153">
        <f t="shared" si="29"/>
        <v>0</v>
      </c>
      <c r="L47" s="153">
        <f t="shared" si="29"/>
        <v>0</v>
      </c>
      <c r="M47" s="153">
        <f t="shared" si="29"/>
        <v>0</v>
      </c>
      <c r="N47" s="153">
        <f t="shared" ref="N47:AB47" si="30">($F16-$E16)*(N$38-$E$7)/($F$7-$E$7)+$E16</f>
        <v>0</v>
      </c>
      <c r="O47" s="153">
        <f t="shared" si="30"/>
        <v>0</v>
      </c>
      <c r="P47" s="153">
        <f t="shared" si="30"/>
        <v>0</v>
      </c>
      <c r="Q47" s="153">
        <f t="shared" si="30"/>
        <v>0</v>
      </c>
      <c r="R47" s="153">
        <f t="shared" si="30"/>
        <v>0</v>
      </c>
      <c r="S47" s="153">
        <f t="shared" si="30"/>
        <v>0</v>
      </c>
      <c r="T47" s="153">
        <f t="shared" si="30"/>
        <v>0</v>
      </c>
      <c r="U47" s="153">
        <f t="shared" si="30"/>
        <v>0</v>
      </c>
      <c r="V47" s="153">
        <f t="shared" si="30"/>
        <v>0</v>
      </c>
      <c r="W47" s="153">
        <f t="shared" si="30"/>
        <v>0</v>
      </c>
      <c r="X47" s="153">
        <f t="shared" si="30"/>
        <v>0</v>
      </c>
      <c r="Y47" s="153">
        <f t="shared" si="30"/>
        <v>0</v>
      </c>
      <c r="Z47" s="153">
        <f t="shared" si="30"/>
        <v>0</v>
      </c>
      <c r="AA47" s="153">
        <f t="shared" si="30"/>
        <v>0</v>
      </c>
      <c r="AB47" s="153">
        <f t="shared" si="30"/>
        <v>0</v>
      </c>
      <c r="AD47" s="21" t="s">
        <v>22</v>
      </c>
      <c r="AE47" s="191"/>
      <c r="AF47" s="191">
        <f t="shared" ref="AF47:BD47" si="31">($L16-$K16)*(AF$38-$K$7)/($L$7-$K$7)+$K16</f>
        <v>-0.49315068493150299</v>
      </c>
      <c r="AG47" s="191">
        <f t="shared" si="31"/>
        <v>-0.49315068493150299</v>
      </c>
      <c r="AH47" s="191">
        <f t="shared" si="31"/>
        <v>-0.49315068493150299</v>
      </c>
      <c r="AI47" s="191">
        <f t="shared" si="31"/>
        <v>-0.49315068493150299</v>
      </c>
      <c r="AJ47" s="191">
        <f t="shared" si="31"/>
        <v>-0.49315068493150299</v>
      </c>
      <c r="AK47" s="191">
        <f t="shared" si="31"/>
        <v>-0.49315068493150299</v>
      </c>
      <c r="AL47" s="191">
        <f t="shared" si="31"/>
        <v>-0.49315068493150299</v>
      </c>
      <c r="AM47" s="191">
        <f t="shared" si="31"/>
        <v>-0.49315068493150299</v>
      </c>
      <c r="AN47" s="191">
        <f t="shared" si="31"/>
        <v>-0.49315068493150299</v>
      </c>
      <c r="AO47" s="191">
        <f t="shared" si="31"/>
        <v>-0.49315068493150299</v>
      </c>
      <c r="AP47" s="191">
        <f t="shared" si="31"/>
        <v>-0.49315068493150299</v>
      </c>
      <c r="AQ47" s="191">
        <f t="shared" si="31"/>
        <v>-0.49315068493150299</v>
      </c>
      <c r="AR47" s="191">
        <f t="shared" si="31"/>
        <v>-0.49315068493150299</v>
      </c>
      <c r="AS47" s="191">
        <f t="shared" si="31"/>
        <v>-0.49315068493150299</v>
      </c>
      <c r="AT47" s="191">
        <f t="shared" si="31"/>
        <v>-0.49315068493150299</v>
      </c>
      <c r="AU47" s="191">
        <f t="shared" si="31"/>
        <v>-0.49315068493150299</v>
      </c>
      <c r="AV47" s="191">
        <f t="shared" si="31"/>
        <v>-0.49315068493150299</v>
      </c>
      <c r="AW47" s="191">
        <f t="shared" si="31"/>
        <v>-0.49315068493150299</v>
      </c>
      <c r="AX47" s="191">
        <f t="shared" si="31"/>
        <v>-0.49315068493150299</v>
      </c>
      <c r="AY47" s="191">
        <f t="shared" si="31"/>
        <v>-0.49315068493150299</v>
      </c>
      <c r="AZ47" s="191">
        <f t="shared" si="31"/>
        <v>-0.49315068493150299</v>
      </c>
      <c r="BA47" s="191">
        <f t="shared" si="31"/>
        <v>-0.49315068493150299</v>
      </c>
      <c r="BB47" s="191">
        <f t="shared" si="31"/>
        <v>-0.49315068493150299</v>
      </c>
      <c r="BC47" s="191">
        <f t="shared" si="31"/>
        <v>-0.49315068493150299</v>
      </c>
      <c r="BD47" s="191">
        <f t="shared" si="31"/>
        <v>-0.49315068493150299</v>
      </c>
      <c r="BF47" s="21" t="s">
        <v>22</v>
      </c>
      <c r="BG47" s="22"/>
      <c r="BH47" s="214">
        <f>($S16-$R16)*(BH$38-$R$7)/($S$7-$R$7)+$R16</f>
        <v>-0.73972602739726101</v>
      </c>
      <c r="BI47" s="89">
        <f t="shared" ref="BI47:BQ48" si="32">($S16-$R16)*(BI$38-$R$7)/($S$7-$R$7)+$R16</f>
        <v>-0.73972602739726101</v>
      </c>
      <c r="BJ47" s="89">
        <f t="shared" si="32"/>
        <v>-0.73972602739726101</v>
      </c>
      <c r="BK47" s="89">
        <f t="shared" si="32"/>
        <v>-0.73972602739726101</v>
      </c>
      <c r="BL47" s="89">
        <f t="shared" si="32"/>
        <v>-0.73972602739726101</v>
      </c>
      <c r="BM47" s="89">
        <f t="shared" si="32"/>
        <v>-0.73972602739726101</v>
      </c>
      <c r="BN47" s="89">
        <f t="shared" si="32"/>
        <v>-0.73972602739726101</v>
      </c>
      <c r="BO47" s="89">
        <f t="shared" si="32"/>
        <v>-0.73972602739726101</v>
      </c>
      <c r="BP47" s="89">
        <f t="shared" si="32"/>
        <v>-0.73972602739726101</v>
      </c>
      <c r="BQ47" s="89">
        <f t="shared" si="32"/>
        <v>-0.73972602739726101</v>
      </c>
      <c r="BR47" s="210">
        <f t="shared" ref="BR47:CF47" si="33">($T16-$S16)*(BR$38-$S$7)/($T$7-$S$7)+$S16</f>
        <v>-0.73972602739726101</v>
      </c>
      <c r="BS47" s="210">
        <f t="shared" si="33"/>
        <v>-0.73972602739726101</v>
      </c>
      <c r="BT47" s="210">
        <f t="shared" si="33"/>
        <v>-0.73972602739726101</v>
      </c>
      <c r="BU47" s="210">
        <f t="shared" si="33"/>
        <v>-0.73972602739726101</v>
      </c>
      <c r="BV47" s="210">
        <f t="shared" si="33"/>
        <v>-0.73972602739726101</v>
      </c>
      <c r="BW47" s="210">
        <f t="shared" si="33"/>
        <v>-0.73972602739726101</v>
      </c>
      <c r="BX47" s="210">
        <f t="shared" si="33"/>
        <v>-0.73972602739726101</v>
      </c>
      <c r="BY47" s="210">
        <f t="shared" si="33"/>
        <v>-0.73972602739726101</v>
      </c>
      <c r="BZ47" s="210">
        <f t="shared" si="33"/>
        <v>-0.73972602739726101</v>
      </c>
      <c r="CA47" s="210">
        <f t="shared" si="33"/>
        <v>-0.73972602739726101</v>
      </c>
      <c r="CB47" s="210">
        <f t="shared" si="33"/>
        <v>-0.73972602739726101</v>
      </c>
      <c r="CC47" s="210">
        <f t="shared" si="33"/>
        <v>-0.73972602739726101</v>
      </c>
      <c r="CD47" s="210">
        <f t="shared" si="33"/>
        <v>-0.73972602739726101</v>
      </c>
      <c r="CE47" s="210">
        <f t="shared" si="33"/>
        <v>-0.73972602739726101</v>
      </c>
      <c r="CF47" s="210">
        <f t="shared" si="33"/>
        <v>-0.73972602739726101</v>
      </c>
    </row>
    <row r="48" spans="2:84">
      <c r="B48" s="145" t="s">
        <v>184</v>
      </c>
      <c r="C48" s="153"/>
      <c r="D48" s="213">
        <f t="shared" ref="D48:M48" si="34">($E17-$D17)*(D$38-$D$7)/($E$7-$D$7)+$D17</f>
        <v>0</v>
      </c>
      <c r="E48" s="153">
        <f t="shared" si="34"/>
        <v>0</v>
      </c>
      <c r="F48" s="153">
        <f t="shared" si="34"/>
        <v>0</v>
      </c>
      <c r="G48" s="153">
        <f t="shared" si="34"/>
        <v>0</v>
      </c>
      <c r="H48" s="153">
        <f t="shared" si="34"/>
        <v>0</v>
      </c>
      <c r="I48" s="153">
        <f t="shared" si="34"/>
        <v>0</v>
      </c>
      <c r="J48" s="153">
        <f t="shared" si="34"/>
        <v>0</v>
      </c>
      <c r="K48" s="153">
        <f t="shared" si="34"/>
        <v>0</v>
      </c>
      <c r="L48" s="153">
        <f t="shared" si="34"/>
        <v>0</v>
      </c>
      <c r="M48" s="153">
        <f t="shared" si="34"/>
        <v>0</v>
      </c>
      <c r="N48" s="153">
        <f t="shared" ref="N48:AB48" si="35">($F17-$E17)*(N$38-$E$7)/($F$7-$E$7)+$E17</f>
        <v>0</v>
      </c>
      <c r="O48" s="153">
        <f t="shared" si="35"/>
        <v>0</v>
      </c>
      <c r="P48" s="153">
        <f t="shared" si="35"/>
        <v>0</v>
      </c>
      <c r="Q48" s="153">
        <f t="shared" si="35"/>
        <v>0</v>
      </c>
      <c r="R48" s="153">
        <f t="shared" si="35"/>
        <v>0</v>
      </c>
      <c r="S48" s="153">
        <f t="shared" si="35"/>
        <v>0</v>
      </c>
      <c r="T48" s="153">
        <f t="shared" si="35"/>
        <v>0</v>
      </c>
      <c r="U48" s="153">
        <f t="shared" si="35"/>
        <v>0</v>
      </c>
      <c r="V48" s="153">
        <f t="shared" si="35"/>
        <v>0</v>
      </c>
      <c r="W48" s="153">
        <f t="shared" si="35"/>
        <v>0</v>
      </c>
      <c r="X48" s="153">
        <f t="shared" si="35"/>
        <v>0</v>
      </c>
      <c r="Y48" s="153">
        <f t="shared" si="35"/>
        <v>0</v>
      </c>
      <c r="Z48" s="153">
        <f t="shared" si="35"/>
        <v>0</v>
      </c>
      <c r="AA48" s="153">
        <f t="shared" si="35"/>
        <v>0</v>
      </c>
      <c r="AB48" s="153">
        <f t="shared" si="35"/>
        <v>0</v>
      </c>
      <c r="AD48" s="145" t="s">
        <v>184</v>
      </c>
      <c r="AE48" s="191"/>
      <c r="AF48" s="191">
        <f t="shared" ref="AF48:BD48" si="36">($L17-$K17)*(AF$38-$K$7)/($L$7-$K$7)+$K17</f>
        <v>-0.73972602739725601</v>
      </c>
      <c r="AG48" s="191">
        <f t="shared" si="36"/>
        <v>-0.73972602739725601</v>
      </c>
      <c r="AH48" s="191">
        <f t="shared" si="36"/>
        <v>-0.73972602739725601</v>
      </c>
      <c r="AI48" s="191">
        <f t="shared" si="36"/>
        <v>-0.73972602739725601</v>
      </c>
      <c r="AJ48" s="191">
        <f t="shared" si="36"/>
        <v>-0.73972602739725601</v>
      </c>
      <c r="AK48" s="191">
        <f t="shared" si="36"/>
        <v>-0.73972602739725601</v>
      </c>
      <c r="AL48" s="191">
        <f t="shared" si="36"/>
        <v>-0.73972602739725601</v>
      </c>
      <c r="AM48" s="191">
        <f t="shared" si="36"/>
        <v>-0.73972602739725601</v>
      </c>
      <c r="AN48" s="191">
        <f t="shared" si="36"/>
        <v>-0.73972602739725601</v>
      </c>
      <c r="AO48" s="191">
        <f t="shared" si="36"/>
        <v>-0.73972602739725601</v>
      </c>
      <c r="AP48" s="191">
        <f t="shared" si="36"/>
        <v>-0.73972602739725601</v>
      </c>
      <c r="AQ48" s="191">
        <f t="shared" si="36"/>
        <v>-0.73972602739725601</v>
      </c>
      <c r="AR48" s="191">
        <f t="shared" si="36"/>
        <v>-0.73972602739725601</v>
      </c>
      <c r="AS48" s="191">
        <f t="shared" si="36"/>
        <v>-0.73972602739725601</v>
      </c>
      <c r="AT48" s="191">
        <f t="shared" si="36"/>
        <v>-0.73972602739725601</v>
      </c>
      <c r="AU48" s="191">
        <f t="shared" si="36"/>
        <v>-0.73972602739725601</v>
      </c>
      <c r="AV48" s="191">
        <f t="shared" si="36"/>
        <v>-0.73972602739725601</v>
      </c>
      <c r="AW48" s="191">
        <f t="shared" si="36"/>
        <v>-0.73972602739725601</v>
      </c>
      <c r="AX48" s="191">
        <f t="shared" si="36"/>
        <v>-0.73972602739725601</v>
      </c>
      <c r="AY48" s="191">
        <f t="shared" si="36"/>
        <v>-0.73972602739725601</v>
      </c>
      <c r="AZ48" s="191">
        <f t="shared" si="36"/>
        <v>-0.73972602739725601</v>
      </c>
      <c r="BA48" s="191">
        <f t="shared" si="36"/>
        <v>-0.73972602739725601</v>
      </c>
      <c r="BB48" s="191">
        <f t="shared" si="36"/>
        <v>-0.73972602739725601</v>
      </c>
      <c r="BC48" s="191">
        <f t="shared" si="36"/>
        <v>-0.73972602739725601</v>
      </c>
      <c r="BD48" s="191">
        <f t="shared" si="36"/>
        <v>-0.73972602739725601</v>
      </c>
      <c r="BF48" s="145" t="s">
        <v>184</v>
      </c>
      <c r="BG48" s="22"/>
      <c r="BH48" s="214">
        <f>($S17-$R17)*(BH$38-$R$7)/($S$7-$R$7)+$R17</f>
        <v>-60.438396468493181</v>
      </c>
      <c r="BI48" s="89">
        <f t="shared" si="32"/>
        <v>-0.86301369863014199</v>
      </c>
      <c r="BJ48" s="89">
        <f t="shared" si="32"/>
        <v>58.712369071232899</v>
      </c>
      <c r="BK48" s="89">
        <f t="shared" si="32"/>
        <v>118.28775184109594</v>
      </c>
      <c r="BL48" s="89">
        <f t="shared" si="32"/>
        <v>177.86313461095898</v>
      </c>
      <c r="BM48" s="89">
        <f t="shared" si="32"/>
        <v>237.43851738082202</v>
      </c>
      <c r="BN48" s="89">
        <f t="shared" si="32"/>
        <v>297.01390015068506</v>
      </c>
      <c r="BO48" s="89">
        <f t="shared" si="32"/>
        <v>356.5892829205481</v>
      </c>
      <c r="BP48" s="89">
        <f t="shared" si="32"/>
        <v>416.16466569041114</v>
      </c>
      <c r="BQ48" s="89">
        <f t="shared" si="32"/>
        <v>475.74004846027418</v>
      </c>
      <c r="BR48" s="210">
        <f t="shared" ref="BR48:CF48" si="37">($T17-$S17)*(BR$38-$S$7)/($T$7-$S$7)+$S17</f>
        <v>594.8908140000002</v>
      </c>
      <c r="BS48" s="210">
        <f t="shared" si="37"/>
        <v>594.8908140000002</v>
      </c>
      <c r="BT48" s="210">
        <f t="shared" si="37"/>
        <v>594.8908140000002</v>
      </c>
      <c r="BU48" s="210">
        <f t="shared" si="37"/>
        <v>594.8908140000002</v>
      </c>
      <c r="BV48" s="210">
        <f t="shared" si="37"/>
        <v>594.8908140000002</v>
      </c>
      <c r="BW48" s="210">
        <f t="shared" si="37"/>
        <v>594.8908140000002</v>
      </c>
      <c r="BX48" s="210">
        <f t="shared" si="37"/>
        <v>594.8908140000002</v>
      </c>
      <c r="BY48" s="210">
        <f t="shared" si="37"/>
        <v>594.8908140000002</v>
      </c>
      <c r="BZ48" s="210">
        <f t="shared" si="37"/>
        <v>594.8908140000002</v>
      </c>
      <c r="CA48" s="210">
        <f t="shared" si="37"/>
        <v>594.8908140000002</v>
      </c>
      <c r="CB48" s="210">
        <f t="shared" si="37"/>
        <v>594.8908140000002</v>
      </c>
      <c r="CC48" s="210">
        <f t="shared" si="37"/>
        <v>594.8908140000002</v>
      </c>
      <c r="CD48" s="210">
        <f t="shared" si="37"/>
        <v>594.8908140000002</v>
      </c>
      <c r="CE48" s="210">
        <f t="shared" si="37"/>
        <v>594.8908140000002</v>
      </c>
      <c r="CF48" s="210">
        <f t="shared" si="37"/>
        <v>594.8908140000002</v>
      </c>
    </row>
    <row r="49" spans="2:84">
      <c r="B49" s="21" t="s">
        <v>45</v>
      </c>
      <c r="C49" s="153"/>
      <c r="D49" s="213">
        <f t="shared" ref="D49:M49" si="38">($E18-$D18)*(D$38-$D$7)/($E$7-$D$7)+$D18</f>
        <v>0</v>
      </c>
      <c r="E49" s="153">
        <f t="shared" si="38"/>
        <v>0</v>
      </c>
      <c r="F49" s="153">
        <f t="shared" si="38"/>
        <v>0</v>
      </c>
      <c r="G49" s="153">
        <f t="shared" si="38"/>
        <v>0</v>
      </c>
      <c r="H49" s="153">
        <f t="shared" si="38"/>
        <v>0</v>
      </c>
      <c r="I49" s="153">
        <f t="shared" si="38"/>
        <v>0</v>
      </c>
      <c r="J49" s="153">
        <f t="shared" si="38"/>
        <v>0</v>
      </c>
      <c r="K49" s="153">
        <f t="shared" si="38"/>
        <v>0</v>
      </c>
      <c r="L49" s="153">
        <f t="shared" si="38"/>
        <v>0</v>
      </c>
      <c r="M49" s="153">
        <f t="shared" si="38"/>
        <v>0</v>
      </c>
      <c r="N49" s="153">
        <f t="shared" ref="N49:AB49" si="39">($F18-$E18)*(N$38-$E$7)/($F$7-$E$7)+$E18</f>
        <v>0</v>
      </c>
      <c r="O49" s="153">
        <f t="shared" si="39"/>
        <v>0</v>
      </c>
      <c r="P49" s="153">
        <f t="shared" si="39"/>
        <v>0</v>
      </c>
      <c r="Q49" s="153">
        <f t="shared" si="39"/>
        <v>0</v>
      </c>
      <c r="R49" s="153">
        <f t="shared" si="39"/>
        <v>0</v>
      </c>
      <c r="S49" s="153">
        <f t="shared" si="39"/>
        <v>0</v>
      </c>
      <c r="T49" s="153">
        <f t="shared" si="39"/>
        <v>0</v>
      </c>
      <c r="U49" s="153">
        <f t="shared" si="39"/>
        <v>0</v>
      </c>
      <c r="V49" s="153">
        <f t="shared" si="39"/>
        <v>0</v>
      </c>
      <c r="W49" s="153">
        <f t="shared" si="39"/>
        <v>0</v>
      </c>
      <c r="X49" s="153">
        <f t="shared" si="39"/>
        <v>0</v>
      </c>
      <c r="Y49" s="153">
        <f t="shared" si="39"/>
        <v>0</v>
      </c>
      <c r="Z49" s="153">
        <f t="shared" si="39"/>
        <v>0</v>
      </c>
      <c r="AA49" s="153">
        <f t="shared" si="39"/>
        <v>0</v>
      </c>
      <c r="AB49" s="153">
        <f t="shared" si="39"/>
        <v>0</v>
      </c>
      <c r="AD49" s="21" t="s">
        <v>45</v>
      </c>
      <c r="AE49" s="191"/>
      <c r="AF49" s="191">
        <f t="shared" ref="AF49:BD49" si="40">($L18-$K18)*(AF$38-$K$7)/($L$7-$K$7)+$K18</f>
        <v>594.8908140000002</v>
      </c>
      <c r="AG49" s="191">
        <f t="shared" si="40"/>
        <v>594.8908140000002</v>
      </c>
      <c r="AH49" s="191">
        <f t="shared" si="40"/>
        <v>594.8908140000002</v>
      </c>
      <c r="AI49" s="191">
        <f t="shared" si="40"/>
        <v>594.8908140000002</v>
      </c>
      <c r="AJ49" s="191">
        <f t="shared" si="40"/>
        <v>594.8908140000002</v>
      </c>
      <c r="AK49" s="191">
        <f t="shared" si="40"/>
        <v>594.8908140000002</v>
      </c>
      <c r="AL49" s="191">
        <f t="shared" si="40"/>
        <v>594.8908140000002</v>
      </c>
      <c r="AM49" s="191">
        <f t="shared" si="40"/>
        <v>594.8908140000002</v>
      </c>
      <c r="AN49" s="191">
        <f t="shared" si="40"/>
        <v>594.8908140000002</v>
      </c>
      <c r="AO49" s="191">
        <f t="shared" si="40"/>
        <v>594.8908140000002</v>
      </c>
      <c r="AP49" s="191">
        <f t="shared" si="40"/>
        <v>594.8908140000002</v>
      </c>
      <c r="AQ49" s="191">
        <f t="shared" si="40"/>
        <v>594.8908140000002</v>
      </c>
      <c r="AR49" s="191">
        <f t="shared" si="40"/>
        <v>594.8908140000002</v>
      </c>
      <c r="AS49" s="191">
        <f t="shared" si="40"/>
        <v>594.8908140000002</v>
      </c>
      <c r="AT49" s="191">
        <f t="shared" si="40"/>
        <v>594.8908140000002</v>
      </c>
      <c r="AU49" s="191">
        <f t="shared" si="40"/>
        <v>594.8908140000002</v>
      </c>
      <c r="AV49" s="191">
        <f t="shared" si="40"/>
        <v>594.8908140000002</v>
      </c>
      <c r="AW49" s="191">
        <f t="shared" si="40"/>
        <v>594.8908140000002</v>
      </c>
      <c r="AX49" s="191">
        <f t="shared" si="40"/>
        <v>594.8908140000002</v>
      </c>
      <c r="AY49" s="191">
        <f t="shared" si="40"/>
        <v>594.8908140000002</v>
      </c>
      <c r="AZ49" s="191">
        <f t="shared" si="40"/>
        <v>594.8908140000002</v>
      </c>
      <c r="BA49" s="191">
        <f t="shared" si="40"/>
        <v>594.8908140000002</v>
      </c>
      <c r="BB49" s="191">
        <f t="shared" si="40"/>
        <v>594.8908140000002</v>
      </c>
      <c r="BC49" s="191">
        <f t="shared" si="40"/>
        <v>594.8908140000002</v>
      </c>
      <c r="BD49" s="191">
        <f t="shared" si="40"/>
        <v>594.8908140000002</v>
      </c>
      <c r="BF49" s="21" t="s">
        <v>45</v>
      </c>
      <c r="BG49" s="22"/>
      <c r="BH49" s="214">
        <f>($S18-$R18)*(BH$38-$R$7)/($S$7-$R$7)+$R18</f>
        <v>594.8908140000002</v>
      </c>
      <c r="BI49" s="210">
        <f t="shared" ref="BI49:BQ49" si="41">($S18-$R18)*(BI$38-$R$7)/($S$7-$R$7)+$R18</f>
        <v>594.8908140000002</v>
      </c>
      <c r="BJ49" s="210">
        <f t="shared" si="41"/>
        <v>594.8908140000002</v>
      </c>
      <c r="BK49" s="210">
        <f t="shared" si="41"/>
        <v>594.8908140000002</v>
      </c>
      <c r="BL49" s="210">
        <f t="shared" si="41"/>
        <v>594.8908140000002</v>
      </c>
      <c r="BM49" s="210">
        <f t="shared" si="41"/>
        <v>594.8908140000002</v>
      </c>
      <c r="BN49" s="210">
        <f t="shared" si="41"/>
        <v>594.8908140000002</v>
      </c>
      <c r="BO49" s="210">
        <f t="shared" si="41"/>
        <v>594.8908140000002</v>
      </c>
      <c r="BP49" s="210">
        <f t="shared" si="41"/>
        <v>594.8908140000002</v>
      </c>
      <c r="BQ49" s="210">
        <f t="shared" si="41"/>
        <v>594.8908140000002</v>
      </c>
      <c r="BR49" s="210">
        <f t="shared" ref="BR49:CF49" si="42">($T18-$S18)*(BR$38-$S$7)/($T$7-$S$7)+$S18</f>
        <v>594.8908140000002</v>
      </c>
      <c r="BS49" s="210">
        <f t="shared" si="42"/>
        <v>594.8908140000002</v>
      </c>
      <c r="BT49" s="210">
        <f t="shared" si="42"/>
        <v>594.8908140000002</v>
      </c>
      <c r="BU49" s="210">
        <f t="shared" si="42"/>
        <v>594.8908140000002</v>
      </c>
      <c r="BV49" s="210">
        <f t="shared" si="42"/>
        <v>594.8908140000002</v>
      </c>
      <c r="BW49" s="210">
        <f t="shared" si="42"/>
        <v>594.8908140000002</v>
      </c>
      <c r="BX49" s="210">
        <f t="shared" si="42"/>
        <v>594.8908140000002</v>
      </c>
      <c r="BY49" s="210">
        <f t="shared" si="42"/>
        <v>594.8908140000002</v>
      </c>
      <c r="BZ49" s="210">
        <f t="shared" si="42"/>
        <v>594.8908140000002</v>
      </c>
      <c r="CA49" s="210">
        <f t="shared" si="42"/>
        <v>594.8908140000002</v>
      </c>
      <c r="CB49" s="210">
        <f t="shared" si="42"/>
        <v>594.8908140000002</v>
      </c>
      <c r="CC49" s="210">
        <f t="shared" si="42"/>
        <v>594.8908140000002</v>
      </c>
      <c r="CD49" s="210">
        <f t="shared" si="42"/>
        <v>594.8908140000002</v>
      </c>
      <c r="CE49" s="210">
        <f t="shared" si="42"/>
        <v>594.8908140000002</v>
      </c>
      <c r="CF49" s="210">
        <f t="shared" si="42"/>
        <v>594.8908140000002</v>
      </c>
    </row>
    <row r="50" spans="2:84">
      <c r="B50" s="21" t="s">
        <v>46</v>
      </c>
      <c r="C50" s="153"/>
      <c r="D50" s="213">
        <f t="shared" ref="D50:M50" si="43">($E19-$D19)*(D$38-$D$7)/($E$7-$D$7)+$D19</f>
        <v>0</v>
      </c>
      <c r="E50" s="153">
        <f t="shared" si="43"/>
        <v>0</v>
      </c>
      <c r="F50" s="153">
        <f t="shared" si="43"/>
        <v>0</v>
      </c>
      <c r="G50" s="153">
        <f t="shared" si="43"/>
        <v>0</v>
      </c>
      <c r="H50" s="153">
        <f t="shared" si="43"/>
        <v>0</v>
      </c>
      <c r="I50" s="153">
        <f t="shared" si="43"/>
        <v>0</v>
      </c>
      <c r="J50" s="153">
        <f t="shared" si="43"/>
        <v>0</v>
      </c>
      <c r="K50" s="153">
        <f t="shared" si="43"/>
        <v>0</v>
      </c>
      <c r="L50" s="153">
        <f t="shared" si="43"/>
        <v>0</v>
      </c>
      <c r="M50" s="153">
        <f t="shared" si="43"/>
        <v>0</v>
      </c>
      <c r="N50" s="153">
        <f t="shared" ref="N50:AB50" si="44">($F19-$E19)*(N$38-$E$7)/($F$7-$E$7)+$E19</f>
        <v>0</v>
      </c>
      <c r="O50" s="153">
        <f t="shared" si="44"/>
        <v>0</v>
      </c>
      <c r="P50" s="153">
        <f t="shared" si="44"/>
        <v>0</v>
      </c>
      <c r="Q50" s="153">
        <f t="shared" si="44"/>
        <v>0</v>
      </c>
      <c r="R50" s="153">
        <f t="shared" si="44"/>
        <v>0</v>
      </c>
      <c r="S50" s="153">
        <f t="shared" si="44"/>
        <v>0</v>
      </c>
      <c r="T50" s="153">
        <f t="shared" si="44"/>
        <v>0</v>
      </c>
      <c r="U50" s="153">
        <f t="shared" si="44"/>
        <v>0</v>
      </c>
      <c r="V50" s="153">
        <f t="shared" si="44"/>
        <v>0</v>
      </c>
      <c r="W50" s="153">
        <f t="shared" si="44"/>
        <v>0</v>
      </c>
      <c r="X50" s="153">
        <f t="shared" si="44"/>
        <v>0</v>
      </c>
      <c r="Y50" s="153">
        <f t="shared" si="44"/>
        <v>0</v>
      </c>
      <c r="Z50" s="153">
        <f t="shared" si="44"/>
        <v>0</v>
      </c>
      <c r="AA50" s="153">
        <f t="shared" si="44"/>
        <v>0</v>
      </c>
      <c r="AB50" s="153">
        <f t="shared" si="44"/>
        <v>0</v>
      </c>
      <c r="AD50" s="21" t="s">
        <v>46</v>
      </c>
      <c r="AE50" s="191"/>
      <c r="AF50" s="191">
        <f t="shared" ref="AF50:BD50" si="45">($L19-$K19)*(AF$38-$K$7)/($L$7-$K$7)+$K19</f>
        <v>0</v>
      </c>
      <c r="AG50" s="191">
        <f t="shared" si="45"/>
        <v>0</v>
      </c>
      <c r="AH50" s="191">
        <f t="shared" si="45"/>
        <v>0</v>
      </c>
      <c r="AI50" s="191">
        <f t="shared" si="45"/>
        <v>0</v>
      </c>
      <c r="AJ50" s="191">
        <f t="shared" si="45"/>
        <v>0</v>
      </c>
      <c r="AK50" s="191">
        <f t="shared" si="45"/>
        <v>0</v>
      </c>
      <c r="AL50" s="191">
        <f t="shared" si="45"/>
        <v>0</v>
      </c>
      <c r="AM50" s="191">
        <f t="shared" si="45"/>
        <v>0</v>
      </c>
      <c r="AN50" s="191">
        <f t="shared" si="45"/>
        <v>0</v>
      </c>
      <c r="AO50" s="191">
        <f t="shared" si="45"/>
        <v>0</v>
      </c>
      <c r="AP50" s="191">
        <f t="shared" si="45"/>
        <v>0</v>
      </c>
      <c r="AQ50" s="191">
        <f t="shared" si="45"/>
        <v>0</v>
      </c>
      <c r="AR50" s="191">
        <f t="shared" si="45"/>
        <v>0</v>
      </c>
      <c r="AS50" s="191">
        <f t="shared" si="45"/>
        <v>0</v>
      </c>
      <c r="AT50" s="191">
        <f t="shared" si="45"/>
        <v>0</v>
      </c>
      <c r="AU50" s="191">
        <f t="shared" si="45"/>
        <v>0</v>
      </c>
      <c r="AV50" s="191">
        <f t="shared" si="45"/>
        <v>0</v>
      </c>
      <c r="AW50" s="191">
        <f t="shared" si="45"/>
        <v>0</v>
      </c>
      <c r="AX50" s="191">
        <f t="shared" si="45"/>
        <v>0</v>
      </c>
      <c r="AY50" s="191">
        <f t="shared" si="45"/>
        <v>0</v>
      </c>
      <c r="AZ50" s="191">
        <f t="shared" si="45"/>
        <v>0</v>
      </c>
      <c r="BA50" s="191">
        <f t="shared" si="45"/>
        <v>0</v>
      </c>
      <c r="BB50" s="191">
        <f t="shared" si="45"/>
        <v>0</v>
      </c>
      <c r="BC50" s="191">
        <f t="shared" si="45"/>
        <v>0</v>
      </c>
      <c r="BD50" s="191">
        <f t="shared" si="45"/>
        <v>0</v>
      </c>
      <c r="BF50" s="21" t="s">
        <v>46</v>
      </c>
      <c r="BG50" s="22"/>
      <c r="BH50" s="214">
        <f>($S19-$R19)*(BH$38-$R$7)/($S$7-$R$7)+$R19</f>
        <v>0</v>
      </c>
      <c r="BI50" s="210">
        <f t="shared" ref="BI50:BQ50" si="46">($S19-$R19)*(BI$38-$R$7)/($S$7-$R$7)+$R19</f>
        <v>0</v>
      </c>
      <c r="BJ50" s="210">
        <f t="shared" si="46"/>
        <v>0</v>
      </c>
      <c r="BK50" s="210">
        <f t="shared" si="46"/>
        <v>0</v>
      </c>
      <c r="BL50" s="210">
        <f t="shared" si="46"/>
        <v>0</v>
      </c>
      <c r="BM50" s="210">
        <f t="shared" si="46"/>
        <v>0</v>
      </c>
      <c r="BN50" s="210">
        <f t="shared" si="46"/>
        <v>0</v>
      </c>
      <c r="BO50" s="210">
        <f t="shared" si="46"/>
        <v>0</v>
      </c>
      <c r="BP50" s="210">
        <f t="shared" si="46"/>
        <v>0</v>
      </c>
      <c r="BQ50" s="210">
        <f t="shared" si="46"/>
        <v>0</v>
      </c>
      <c r="BR50" s="210">
        <f t="shared" ref="BR50:CF50" si="47">($T19-$S19)*(BR$38-$S$7)/($T$7-$S$7)+$S19</f>
        <v>0</v>
      </c>
      <c r="BS50" s="210">
        <f t="shared" si="47"/>
        <v>0</v>
      </c>
      <c r="BT50" s="210">
        <f t="shared" si="47"/>
        <v>0</v>
      </c>
      <c r="BU50" s="210">
        <f t="shared" si="47"/>
        <v>0</v>
      </c>
      <c r="BV50" s="210">
        <f t="shared" si="47"/>
        <v>0</v>
      </c>
      <c r="BW50" s="210">
        <f t="shared" si="47"/>
        <v>0</v>
      </c>
      <c r="BX50" s="210">
        <f t="shared" si="47"/>
        <v>0</v>
      </c>
      <c r="BY50" s="210">
        <f t="shared" si="47"/>
        <v>0</v>
      </c>
      <c r="BZ50" s="210">
        <f t="shared" si="47"/>
        <v>0</v>
      </c>
      <c r="CA50" s="210">
        <f t="shared" si="47"/>
        <v>0</v>
      </c>
      <c r="CB50" s="210">
        <f t="shared" si="47"/>
        <v>0</v>
      </c>
      <c r="CC50" s="210">
        <f t="shared" si="47"/>
        <v>0</v>
      </c>
      <c r="CD50" s="210">
        <f t="shared" si="47"/>
        <v>0</v>
      </c>
      <c r="CE50" s="210">
        <f t="shared" si="47"/>
        <v>0</v>
      </c>
      <c r="CF50" s="210">
        <f t="shared" si="47"/>
        <v>0</v>
      </c>
    </row>
    <row r="51" spans="2:84">
      <c r="B51" s="24" t="s">
        <v>20</v>
      </c>
      <c r="C51" s="153"/>
      <c r="D51" s="213"/>
      <c r="E51" s="153"/>
      <c r="F51" s="153"/>
      <c r="G51" s="153"/>
      <c r="H51" s="153"/>
      <c r="I51" s="153"/>
      <c r="J51" s="153"/>
      <c r="K51" s="153"/>
      <c r="L51" s="153"/>
      <c r="M51" s="153"/>
      <c r="N51" s="153"/>
      <c r="O51" s="153"/>
      <c r="P51" s="153"/>
      <c r="Q51" s="153"/>
      <c r="R51" s="153"/>
      <c r="S51" s="153"/>
      <c r="T51" s="153"/>
      <c r="U51" s="153"/>
      <c r="V51" s="153"/>
      <c r="W51" s="153"/>
      <c r="X51" s="153"/>
      <c r="Y51" s="153"/>
      <c r="Z51" s="153"/>
      <c r="AA51" s="153"/>
      <c r="AB51" s="153"/>
      <c r="AD51" s="24" t="s">
        <v>20</v>
      </c>
      <c r="AE51" s="191"/>
      <c r="AF51" s="191"/>
      <c r="AG51" s="191"/>
      <c r="AH51" s="191"/>
      <c r="AI51" s="191"/>
      <c r="AJ51" s="191"/>
      <c r="AK51" s="191"/>
      <c r="AL51" s="191"/>
      <c r="AM51" s="191"/>
      <c r="AN51" s="191"/>
      <c r="AO51" s="191"/>
      <c r="AP51" s="191"/>
      <c r="AQ51" s="191"/>
      <c r="AR51" s="191"/>
      <c r="AS51" s="191"/>
      <c r="AT51" s="191"/>
      <c r="AU51" s="191"/>
      <c r="AV51" s="191"/>
      <c r="AW51" s="191"/>
      <c r="AX51" s="191"/>
      <c r="AY51" s="191"/>
      <c r="AZ51" s="191"/>
      <c r="BA51" s="191"/>
      <c r="BB51" s="191"/>
      <c r="BC51" s="191"/>
      <c r="BD51" s="191"/>
      <c r="BF51" s="24" t="s">
        <v>20</v>
      </c>
      <c r="BG51" s="22"/>
      <c r="BH51" s="214"/>
      <c r="BI51" s="149"/>
      <c r="BJ51" s="149"/>
      <c r="BK51" s="149"/>
      <c r="BL51" s="149"/>
      <c r="BM51" s="149"/>
      <c r="BN51" s="149"/>
      <c r="BO51" s="149"/>
      <c r="BP51" s="149"/>
      <c r="BQ51" s="149"/>
      <c r="BR51" s="210"/>
      <c r="BS51" s="149"/>
      <c r="BT51" s="149"/>
      <c r="BU51" s="149"/>
      <c r="BV51" s="149"/>
      <c r="BW51" s="149"/>
      <c r="BX51" s="149"/>
      <c r="BY51" s="149"/>
      <c r="BZ51" s="149"/>
      <c r="CA51" s="149"/>
      <c r="CB51" s="149"/>
      <c r="CC51" s="149"/>
      <c r="CD51" s="149"/>
      <c r="CE51" s="149"/>
      <c r="CF51" s="149"/>
    </row>
    <row r="52" spans="2:84">
      <c r="B52" s="152" t="s">
        <v>51</v>
      </c>
      <c r="C52" s="153"/>
      <c r="D52" s="213">
        <f>(1/$E21-1/$D21)*(D$38-$D$7)/($E$7-$D$7)+1/$D21</f>
        <v>1.0833333333333334E-2</v>
      </c>
      <c r="E52" s="153">
        <f t="shared" ref="E52:M52" si="48">(1/$E21-1/$D21)*(E$38-$D$7)/($E$7-$D$7)+1/$D21</f>
        <v>1.1666666666666667E-2</v>
      </c>
      <c r="F52" s="153">
        <f t="shared" si="48"/>
        <v>1.2500000000000001E-2</v>
      </c>
      <c r="G52" s="153">
        <f t="shared" si="48"/>
        <v>1.3333333333333334E-2</v>
      </c>
      <c r="H52" s="153">
        <f t="shared" si="48"/>
        <v>1.4166666666666668E-2</v>
      </c>
      <c r="I52" s="153">
        <f t="shared" si="48"/>
        <v>1.4999999999999999E-2</v>
      </c>
      <c r="J52" s="153">
        <f t="shared" si="48"/>
        <v>1.5833333333333335E-2</v>
      </c>
      <c r="K52" s="153">
        <f t="shared" si="48"/>
        <v>1.6666666666666666E-2</v>
      </c>
      <c r="L52" s="153">
        <f t="shared" si="48"/>
        <v>1.7500000000000002E-2</v>
      </c>
      <c r="M52" s="153">
        <f t="shared" si="48"/>
        <v>1.8333333333333333E-2</v>
      </c>
      <c r="N52" s="153">
        <f t="shared" ref="N52:AB52" si="49">(1/$F21-1/$E21)*(N$38-$E$7)/($F$7-$E$7)+1/$E21</f>
        <v>0.02</v>
      </c>
      <c r="O52" s="153">
        <f t="shared" si="49"/>
        <v>0.02</v>
      </c>
      <c r="P52" s="153">
        <f t="shared" si="49"/>
        <v>0.02</v>
      </c>
      <c r="Q52" s="153">
        <f t="shared" si="49"/>
        <v>0.02</v>
      </c>
      <c r="R52" s="153">
        <f t="shared" si="49"/>
        <v>0.02</v>
      </c>
      <c r="S52" s="153">
        <f t="shared" si="49"/>
        <v>0.02</v>
      </c>
      <c r="T52" s="153">
        <f t="shared" si="49"/>
        <v>0.02</v>
      </c>
      <c r="U52" s="153">
        <f t="shared" si="49"/>
        <v>0.02</v>
      </c>
      <c r="V52" s="153">
        <f t="shared" si="49"/>
        <v>0.02</v>
      </c>
      <c r="W52" s="153">
        <f t="shared" si="49"/>
        <v>0.02</v>
      </c>
      <c r="X52" s="153">
        <f t="shared" si="49"/>
        <v>0.02</v>
      </c>
      <c r="Y52" s="153">
        <f t="shared" si="49"/>
        <v>0.02</v>
      </c>
      <c r="Z52" s="153">
        <f t="shared" si="49"/>
        <v>0.02</v>
      </c>
      <c r="AA52" s="153">
        <f t="shared" si="49"/>
        <v>0.02</v>
      </c>
      <c r="AB52" s="153">
        <f t="shared" si="49"/>
        <v>0.02</v>
      </c>
      <c r="AD52" s="194" t="s">
        <v>51</v>
      </c>
      <c r="AE52" s="191"/>
      <c r="AF52" s="191">
        <f>(1/$L21-1/$K21)*(AF$38-$K$7)/($L$7-$K$7)+1/$K21</f>
        <v>9.0000000000000011E-3</v>
      </c>
      <c r="AG52" s="191">
        <f t="shared" ref="AG52:AO52" si="50">(1/$L21-1/$K21)*(AG$38-$K$7)/($L$7-$K$7)+1/$K21</f>
        <v>0.01</v>
      </c>
      <c r="AH52" s="191">
        <f t="shared" si="50"/>
        <v>1.0999999999999999E-2</v>
      </c>
      <c r="AI52" s="191">
        <f t="shared" si="50"/>
        <v>1.2E-2</v>
      </c>
      <c r="AJ52" s="191">
        <f t="shared" si="50"/>
        <v>1.3000000000000001E-2</v>
      </c>
      <c r="AK52" s="191">
        <f t="shared" si="50"/>
        <v>1.4E-2</v>
      </c>
      <c r="AL52" s="191">
        <f t="shared" si="50"/>
        <v>1.4999999999999999E-2</v>
      </c>
      <c r="AM52" s="191">
        <f t="shared" si="50"/>
        <v>1.6E-2</v>
      </c>
      <c r="AN52" s="191">
        <f t="shared" si="50"/>
        <v>1.7000000000000001E-2</v>
      </c>
      <c r="AO52" s="191">
        <f t="shared" si="50"/>
        <v>1.8000000000000002E-2</v>
      </c>
      <c r="AP52" s="191">
        <f t="shared" ref="AP52:BD52" si="51">(1/$M21-1/$L21)*(AP$38-$L$7)/($M$7-$L$7)+1/$L21</f>
        <v>0.02</v>
      </c>
      <c r="AQ52" s="191">
        <f t="shared" si="51"/>
        <v>0.02</v>
      </c>
      <c r="AR52" s="191">
        <f t="shared" si="51"/>
        <v>0.02</v>
      </c>
      <c r="AS52" s="191">
        <f t="shared" si="51"/>
        <v>0.02</v>
      </c>
      <c r="AT52" s="191">
        <f t="shared" si="51"/>
        <v>0.02</v>
      </c>
      <c r="AU52" s="191">
        <f t="shared" si="51"/>
        <v>0.02</v>
      </c>
      <c r="AV52" s="191">
        <f t="shared" si="51"/>
        <v>0.02</v>
      </c>
      <c r="AW52" s="191">
        <f t="shared" si="51"/>
        <v>0.02</v>
      </c>
      <c r="AX52" s="191">
        <f t="shared" si="51"/>
        <v>0.02</v>
      </c>
      <c r="AY52" s="191">
        <f t="shared" si="51"/>
        <v>0.02</v>
      </c>
      <c r="AZ52" s="191">
        <f t="shared" si="51"/>
        <v>0.02</v>
      </c>
      <c r="BA52" s="191">
        <f t="shared" si="51"/>
        <v>0.02</v>
      </c>
      <c r="BB52" s="191">
        <f t="shared" si="51"/>
        <v>0.02</v>
      </c>
      <c r="BC52" s="191">
        <f t="shared" si="51"/>
        <v>0.02</v>
      </c>
      <c r="BD52" s="191">
        <f t="shared" si="51"/>
        <v>0.02</v>
      </c>
      <c r="BF52" s="21" t="s">
        <v>51</v>
      </c>
      <c r="BG52" s="22"/>
      <c r="BH52" s="214">
        <f>(1/$S21-1/$R21)*(BH$38-$R$7)/($S$7-$R$7)+1/$R21</f>
        <v>9.0000000000000011E-3</v>
      </c>
      <c r="BI52" s="210">
        <f t="shared" ref="BI52:BQ52" si="52">(1/$S21-1/$R21)*(BI$38-$R$7)/($S$7-$R$7)+1/$R21</f>
        <v>0.01</v>
      </c>
      <c r="BJ52" s="210">
        <f t="shared" si="52"/>
        <v>1.0999999999999999E-2</v>
      </c>
      <c r="BK52" s="210">
        <f t="shared" si="52"/>
        <v>1.2E-2</v>
      </c>
      <c r="BL52" s="210">
        <f t="shared" si="52"/>
        <v>1.3000000000000001E-2</v>
      </c>
      <c r="BM52" s="210">
        <f t="shared" si="52"/>
        <v>1.4E-2</v>
      </c>
      <c r="BN52" s="210">
        <f t="shared" si="52"/>
        <v>1.4999999999999999E-2</v>
      </c>
      <c r="BO52" s="210">
        <f t="shared" si="52"/>
        <v>1.6E-2</v>
      </c>
      <c r="BP52" s="210">
        <f t="shared" si="52"/>
        <v>1.7000000000000001E-2</v>
      </c>
      <c r="BQ52" s="210">
        <f t="shared" si="52"/>
        <v>1.8000000000000002E-2</v>
      </c>
      <c r="BR52" s="89">
        <f t="shared" ref="BR52:CF52" si="53">(1/$T21-1/$S21)*(BR$38-$S$7)/($T$7-$S$7)+1/$S21</f>
        <v>0.02</v>
      </c>
      <c r="BS52" s="89">
        <f t="shared" si="53"/>
        <v>0.02</v>
      </c>
      <c r="BT52" s="89">
        <f t="shared" si="53"/>
        <v>0.02</v>
      </c>
      <c r="BU52" s="89">
        <f t="shared" si="53"/>
        <v>0.02</v>
      </c>
      <c r="BV52" s="89">
        <f t="shared" si="53"/>
        <v>0.02</v>
      </c>
      <c r="BW52" s="89">
        <f t="shared" si="53"/>
        <v>0.02</v>
      </c>
      <c r="BX52" s="89">
        <f t="shared" si="53"/>
        <v>0.02</v>
      </c>
      <c r="BY52" s="89">
        <f t="shared" si="53"/>
        <v>0.02</v>
      </c>
      <c r="BZ52" s="89">
        <f t="shared" si="53"/>
        <v>0.02</v>
      </c>
      <c r="CA52" s="89">
        <f t="shared" si="53"/>
        <v>0.02</v>
      </c>
      <c r="CB52" s="89">
        <f t="shared" si="53"/>
        <v>0.02</v>
      </c>
      <c r="CC52" s="89">
        <f t="shared" si="53"/>
        <v>0.02</v>
      </c>
      <c r="CD52" s="89">
        <f t="shared" si="53"/>
        <v>0.02</v>
      </c>
      <c r="CE52" s="89">
        <f t="shared" si="53"/>
        <v>0.02</v>
      </c>
      <c r="CF52" s="89">
        <f t="shared" si="53"/>
        <v>0.02</v>
      </c>
    </row>
    <row r="53" spans="2:84">
      <c r="B53" s="21" t="s">
        <v>22</v>
      </c>
      <c r="C53" s="153"/>
      <c r="D53" s="213">
        <f t="shared" ref="D53:M53" si="54">($E22-$D22)*(D$38-$D$7)/($E$7-$D$7)+$D22</f>
        <v>0</v>
      </c>
      <c r="E53" s="153">
        <f t="shared" si="54"/>
        <v>0</v>
      </c>
      <c r="F53" s="153">
        <f t="shared" si="54"/>
        <v>0</v>
      </c>
      <c r="G53" s="153">
        <f t="shared" si="54"/>
        <v>0</v>
      </c>
      <c r="H53" s="153">
        <f t="shared" si="54"/>
        <v>0</v>
      </c>
      <c r="I53" s="153">
        <f t="shared" si="54"/>
        <v>0</v>
      </c>
      <c r="J53" s="153">
        <f t="shared" si="54"/>
        <v>0</v>
      </c>
      <c r="K53" s="153">
        <f t="shared" si="54"/>
        <v>0</v>
      </c>
      <c r="L53" s="153">
        <f t="shared" si="54"/>
        <v>0</v>
      </c>
      <c r="M53" s="153">
        <f t="shared" si="54"/>
        <v>0</v>
      </c>
      <c r="N53" s="153">
        <f t="shared" ref="N53:AB53" si="55">($F22-$E22)*(N$38-$E$7)/($F$7-$E$7)+$E22</f>
        <v>0</v>
      </c>
      <c r="O53" s="153">
        <f t="shared" si="55"/>
        <v>0</v>
      </c>
      <c r="P53" s="153">
        <f t="shared" si="55"/>
        <v>0</v>
      </c>
      <c r="Q53" s="153">
        <f t="shared" si="55"/>
        <v>0</v>
      </c>
      <c r="R53" s="153">
        <f t="shared" si="55"/>
        <v>0</v>
      </c>
      <c r="S53" s="153">
        <f t="shared" si="55"/>
        <v>0</v>
      </c>
      <c r="T53" s="153">
        <f t="shared" si="55"/>
        <v>0</v>
      </c>
      <c r="U53" s="153">
        <f t="shared" si="55"/>
        <v>0</v>
      </c>
      <c r="V53" s="153">
        <f t="shared" si="55"/>
        <v>0</v>
      </c>
      <c r="W53" s="153">
        <f t="shared" si="55"/>
        <v>0</v>
      </c>
      <c r="X53" s="153">
        <f t="shared" si="55"/>
        <v>0</v>
      </c>
      <c r="Y53" s="153">
        <f t="shared" si="55"/>
        <v>0</v>
      </c>
      <c r="Z53" s="153">
        <f t="shared" si="55"/>
        <v>0</v>
      </c>
      <c r="AA53" s="153">
        <f t="shared" si="55"/>
        <v>0</v>
      </c>
      <c r="AB53" s="153">
        <f t="shared" si="55"/>
        <v>0</v>
      </c>
      <c r="AD53" s="21" t="s">
        <v>22</v>
      </c>
      <c r="AE53" s="191"/>
      <c r="AF53" s="191">
        <f t="shared" ref="AF53:AO54" si="56">($L22-$K22)*(AF$38-$K$7)/($L$7-$K$7)+$K22</f>
        <v>-0.19726027397260101</v>
      </c>
      <c r="AG53" s="191">
        <f t="shared" si="56"/>
        <v>-0.19726027397260101</v>
      </c>
      <c r="AH53" s="191">
        <f t="shared" si="56"/>
        <v>-0.19726027397260101</v>
      </c>
      <c r="AI53" s="191">
        <f t="shared" si="56"/>
        <v>-0.19726027397260101</v>
      </c>
      <c r="AJ53" s="191">
        <f t="shared" si="56"/>
        <v>-0.19726027397260101</v>
      </c>
      <c r="AK53" s="191">
        <f t="shared" si="56"/>
        <v>-0.19726027397260101</v>
      </c>
      <c r="AL53" s="191">
        <f t="shared" si="56"/>
        <v>-0.19726027397260101</v>
      </c>
      <c r="AM53" s="191">
        <f t="shared" si="56"/>
        <v>-0.19726027397260101</v>
      </c>
      <c r="AN53" s="191">
        <f t="shared" si="56"/>
        <v>-0.19726027397260101</v>
      </c>
      <c r="AO53" s="191">
        <f t="shared" si="56"/>
        <v>-0.19726027397260101</v>
      </c>
      <c r="AP53" s="191">
        <f t="shared" ref="AP53:BD53" si="57">($M22-$L22)*(AP$38-$L$7)/($M$7-$L$7)+$L22</f>
        <v>-0.19726027397260101</v>
      </c>
      <c r="AQ53" s="191">
        <f t="shared" si="57"/>
        <v>-0.19726027397260101</v>
      </c>
      <c r="AR53" s="191">
        <f t="shared" si="57"/>
        <v>-0.19726027397260101</v>
      </c>
      <c r="AS53" s="191">
        <f t="shared" si="57"/>
        <v>-0.19726027397260101</v>
      </c>
      <c r="AT53" s="191">
        <f t="shared" si="57"/>
        <v>-0.19726027397260101</v>
      </c>
      <c r="AU53" s="191">
        <f t="shared" si="57"/>
        <v>-0.19726027397260101</v>
      </c>
      <c r="AV53" s="191">
        <f t="shared" si="57"/>
        <v>-0.19726027397260101</v>
      </c>
      <c r="AW53" s="191">
        <f t="shared" si="57"/>
        <v>-0.19726027397260101</v>
      </c>
      <c r="AX53" s="191">
        <f t="shared" si="57"/>
        <v>-0.19726027397260101</v>
      </c>
      <c r="AY53" s="191">
        <f t="shared" si="57"/>
        <v>-0.19726027397260101</v>
      </c>
      <c r="AZ53" s="191">
        <f t="shared" si="57"/>
        <v>-0.19726027397260101</v>
      </c>
      <c r="BA53" s="191">
        <f t="shared" si="57"/>
        <v>-0.19726027397260101</v>
      </c>
      <c r="BB53" s="191">
        <f t="shared" si="57"/>
        <v>-0.19726027397260101</v>
      </c>
      <c r="BC53" s="191">
        <f t="shared" si="57"/>
        <v>-0.19726027397260101</v>
      </c>
      <c r="BD53" s="191">
        <f t="shared" si="57"/>
        <v>-0.19726027397260101</v>
      </c>
      <c r="BF53" s="21" t="s">
        <v>22</v>
      </c>
      <c r="BG53" s="22"/>
      <c r="BH53" s="214">
        <f>($S22-$R22)*(BH$38-$R$7)/($S$7-$R$7)+$R22</f>
        <v>-0.295890410958913</v>
      </c>
      <c r="BI53" s="210">
        <f t="shared" ref="BI53:BQ54" si="58">($S22-$R22)*(BI$38-$R$7)/($S$7-$R$7)+$R22</f>
        <v>-0.295890410958913</v>
      </c>
      <c r="BJ53" s="210">
        <f t="shared" si="58"/>
        <v>-0.295890410958913</v>
      </c>
      <c r="BK53" s="210">
        <f t="shared" si="58"/>
        <v>-0.295890410958913</v>
      </c>
      <c r="BL53" s="210">
        <f t="shared" si="58"/>
        <v>-0.295890410958913</v>
      </c>
      <c r="BM53" s="210">
        <f t="shared" si="58"/>
        <v>-0.295890410958913</v>
      </c>
      <c r="BN53" s="210">
        <f t="shared" si="58"/>
        <v>-0.295890410958913</v>
      </c>
      <c r="BO53" s="210">
        <f t="shared" si="58"/>
        <v>-0.295890410958913</v>
      </c>
      <c r="BP53" s="210">
        <f t="shared" si="58"/>
        <v>-0.295890410958913</v>
      </c>
      <c r="BQ53" s="210">
        <f t="shared" si="58"/>
        <v>-0.295890410958913</v>
      </c>
      <c r="BR53" s="210">
        <f t="shared" ref="BR53:CF53" si="59">($T22-$S22)*(BR$38-$S$7)/($T$7-$S$7)+$S22</f>
        <v>-0.295890410958913</v>
      </c>
      <c r="BS53" s="210">
        <f t="shared" si="59"/>
        <v>-0.295890410958913</v>
      </c>
      <c r="BT53" s="210">
        <f t="shared" si="59"/>
        <v>-0.295890410958913</v>
      </c>
      <c r="BU53" s="210">
        <f t="shared" si="59"/>
        <v>-0.295890410958913</v>
      </c>
      <c r="BV53" s="210">
        <f t="shared" si="59"/>
        <v>-0.295890410958913</v>
      </c>
      <c r="BW53" s="210">
        <f t="shared" si="59"/>
        <v>-0.295890410958913</v>
      </c>
      <c r="BX53" s="210">
        <f t="shared" si="59"/>
        <v>-0.295890410958913</v>
      </c>
      <c r="BY53" s="210">
        <f t="shared" si="59"/>
        <v>-0.295890410958913</v>
      </c>
      <c r="BZ53" s="210">
        <f t="shared" si="59"/>
        <v>-0.295890410958913</v>
      </c>
      <c r="CA53" s="210">
        <f t="shared" si="59"/>
        <v>-0.295890410958913</v>
      </c>
      <c r="CB53" s="210">
        <f t="shared" si="59"/>
        <v>-0.295890410958913</v>
      </c>
      <c r="CC53" s="210">
        <f t="shared" si="59"/>
        <v>-0.295890410958913</v>
      </c>
      <c r="CD53" s="210">
        <f t="shared" si="59"/>
        <v>-0.295890410958913</v>
      </c>
      <c r="CE53" s="210">
        <f t="shared" si="59"/>
        <v>-0.295890410958913</v>
      </c>
      <c r="CF53" s="210">
        <f t="shared" si="59"/>
        <v>-0.295890410958913</v>
      </c>
    </row>
    <row r="54" spans="2:84">
      <c r="B54" s="145" t="s">
        <v>184</v>
      </c>
      <c r="C54" s="153"/>
      <c r="D54" s="213">
        <f t="shared" ref="D54:M54" si="60">($E23-$D23)*(D$38-$D$7)/($E$7-$D$7)+$D23</f>
        <v>0</v>
      </c>
      <c r="E54" s="153">
        <f t="shared" si="60"/>
        <v>0</v>
      </c>
      <c r="F54" s="153">
        <f t="shared" si="60"/>
        <v>0</v>
      </c>
      <c r="G54" s="153">
        <f t="shared" si="60"/>
        <v>0</v>
      </c>
      <c r="H54" s="153">
        <f t="shared" si="60"/>
        <v>0</v>
      </c>
      <c r="I54" s="153">
        <f t="shared" si="60"/>
        <v>0</v>
      </c>
      <c r="J54" s="153">
        <f t="shared" si="60"/>
        <v>0</v>
      </c>
      <c r="K54" s="153">
        <f t="shared" si="60"/>
        <v>0</v>
      </c>
      <c r="L54" s="153">
        <f t="shared" si="60"/>
        <v>0</v>
      </c>
      <c r="M54" s="153">
        <f t="shared" si="60"/>
        <v>0</v>
      </c>
      <c r="N54" s="153">
        <f t="shared" ref="N54:AB54" si="61">($F23-$E23)*(N$38-$E$7)/($F$7-$E$7)+$E23</f>
        <v>0</v>
      </c>
      <c r="O54" s="153">
        <f t="shared" si="61"/>
        <v>0</v>
      </c>
      <c r="P54" s="153">
        <f t="shared" si="61"/>
        <v>0</v>
      </c>
      <c r="Q54" s="153">
        <f t="shared" si="61"/>
        <v>0</v>
      </c>
      <c r="R54" s="153">
        <f t="shared" si="61"/>
        <v>0</v>
      </c>
      <c r="S54" s="153">
        <f t="shared" si="61"/>
        <v>0</v>
      </c>
      <c r="T54" s="153">
        <f t="shared" si="61"/>
        <v>0</v>
      </c>
      <c r="U54" s="153">
        <f t="shared" si="61"/>
        <v>0</v>
      </c>
      <c r="V54" s="153">
        <f t="shared" si="61"/>
        <v>0</v>
      </c>
      <c r="W54" s="153">
        <f t="shared" si="61"/>
        <v>0</v>
      </c>
      <c r="X54" s="153">
        <f t="shared" si="61"/>
        <v>0</v>
      </c>
      <c r="Y54" s="153">
        <f t="shared" si="61"/>
        <v>0</v>
      </c>
      <c r="Z54" s="153">
        <f t="shared" si="61"/>
        <v>0</v>
      </c>
      <c r="AA54" s="153">
        <f t="shared" si="61"/>
        <v>0</v>
      </c>
      <c r="AB54" s="153">
        <f t="shared" si="61"/>
        <v>0</v>
      </c>
      <c r="AD54" s="145" t="s">
        <v>184</v>
      </c>
      <c r="AE54" s="191"/>
      <c r="AF54" s="191">
        <f t="shared" si="56"/>
        <v>-0.29589041095889801</v>
      </c>
      <c r="AG54" s="191">
        <f t="shared" si="56"/>
        <v>-0.29589041095889801</v>
      </c>
      <c r="AH54" s="191">
        <f t="shared" si="56"/>
        <v>-0.29589041095889801</v>
      </c>
      <c r="AI54" s="191">
        <f t="shared" si="56"/>
        <v>-0.29589041095889801</v>
      </c>
      <c r="AJ54" s="191">
        <f t="shared" si="56"/>
        <v>-0.29589041095889801</v>
      </c>
      <c r="AK54" s="191">
        <f t="shared" si="56"/>
        <v>-0.29589041095889801</v>
      </c>
      <c r="AL54" s="191">
        <f t="shared" si="56"/>
        <v>-0.29589041095889801</v>
      </c>
      <c r="AM54" s="191">
        <f t="shared" si="56"/>
        <v>-0.29589041095889801</v>
      </c>
      <c r="AN54" s="191">
        <f t="shared" si="56"/>
        <v>-0.29589041095889801</v>
      </c>
      <c r="AO54" s="191">
        <f t="shared" si="56"/>
        <v>-0.29589041095889801</v>
      </c>
      <c r="AP54" s="191">
        <f t="shared" ref="AP54:BD54" si="62">($M23-$L23)*(AP$38-$L$7)/($M$7-$L$7)+$L23</f>
        <v>-0.29589041095889801</v>
      </c>
      <c r="AQ54" s="191">
        <f t="shared" si="62"/>
        <v>-0.29589041095889801</v>
      </c>
      <c r="AR54" s="191">
        <f t="shared" si="62"/>
        <v>-0.29589041095889801</v>
      </c>
      <c r="AS54" s="191">
        <f t="shared" si="62"/>
        <v>-0.29589041095889801</v>
      </c>
      <c r="AT54" s="191">
        <f t="shared" si="62"/>
        <v>-0.29589041095889801</v>
      </c>
      <c r="AU54" s="191">
        <f t="shared" si="62"/>
        <v>-0.29589041095889801</v>
      </c>
      <c r="AV54" s="191">
        <f t="shared" si="62"/>
        <v>-0.29589041095889801</v>
      </c>
      <c r="AW54" s="191">
        <f t="shared" si="62"/>
        <v>-0.29589041095889801</v>
      </c>
      <c r="AX54" s="191">
        <f t="shared" si="62"/>
        <v>-0.29589041095889801</v>
      </c>
      <c r="AY54" s="191">
        <f t="shared" si="62"/>
        <v>-0.29589041095889801</v>
      </c>
      <c r="AZ54" s="191">
        <f t="shared" si="62"/>
        <v>-0.29589041095889801</v>
      </c>
      <c r="BA54" s="191">
        <f t="shared" si="62"/>
        <v>-0.29589041095889801</v>
      </c>
      <c r="BB54" s="191">
        <f t="shared" si="62"/>
        <v>-0.29589041095889801</v>
      </c>
      <c r="BC54" s="191">
        <f t="shared" si="62"/>
        <v>-0.29589041095889801</v>
      </c>
      <c r="BD54" s="191">
        <f t="shared" si="62"/>
        <v>-0.29589041095889801</v>
      </c>
      <c r="BF54" s="145" t="s">
        <v>184</v>
      </c>
      <c r="BG54" s="22"/>
      <c r="BH54" s="214">
        <f>($S23-$R23)*(BH$38-$R$7)/($S$7-$R$7)+$R23</f>
        <v>-104.45849518972602</v>
      </c>
      <c r="BI54" s="210">
        <f t="shared" si="58"/>
        <v>-0.32054794520547197</v>
      </c>
      <c r="BJ54" s="210">
        <f t="shared" si="58"/>
        <v>103.81739929931507</v>
      </c>
      <c r="BK54" s="210">
        <f t="shared" si="58"/>
        <v>207.95534654383562</v>
      </c>
      <c r="BL54" s="210">
        <f t="shared" si="58"/>
        <v>312.09329378835616</v>
      </c>
      <c r="BM54" s="210">
        <f t="shared" si="58"/>
        <v>416.23124103287671</v>
      </c>
      <c r="BN54" s="210">
        <f t="shared" si="58"/>
        <v>520.36918827739726</v>
      </c>
      <c r="BO54" s="210">
        <f t="shared" si="58"/>
        <v>624.5071355219178</v>
      </c>
      <c r="BP54" s="210">
        <f t="shared" si="58"/>
        <v>728.64508276643835</v>
      </c>
      <c r="BQ54" s="210">
        <f t="shared" si="58"/>
        <v>832.7830300109589</v>
      </c>
      <c r="BR54" s="210">
        <f t="shared" ref="BR54:CF54" si="63">($T23-$S23)*(BR$38-$S$7)/($T$7-$S$7)+$S23</f>
        <v>1041.0589245000001</v>
      </c>
      <c r="BS54" s="210">
        <f t="shared" si="63"/>
        <v>1041.0589245000001</v>
      </c>
      <c r="BT54" s="210">
        <f t="shared" si="63"/>
        <v>1041.0589245000001</v>
      </c>
      <c r="BU54" s="210">
        <f t="shared" si="63"/>
        <v>1041.0589245000001</v>
      </c>
      <c r="BV54" s="210">
        <f t="shared" si="63"/>
        <v>1041.0589245000001</v>
      </c>
      <c r="BW54" s="210">
        <f t="shared" si="63"/>
        <v>1041.0589245000001</v>
      </c>
      <c r="BX54" s="210">
        <f t="shared" si="63"/>
        <v>1041.0589245000001</v>
      </c>
      <c r="BY54" s="210">
        <f t="shared" si="63"/>
        <v>1041.0589245000001</v>
      </c>
      <c r="BZ54" s="210">
        <f t="shared" si="63"/>
        <v>1041.0589245000001</v>
      </c>
      <c r="CA54" s="210">
        <f t="shared" si="63"/>
        <v>1041.0589245000001</v>
      </c>
      <c r="CB54" s="210">
        <f t="shared" si="63"/>
        <v>1041.0589245000001</v>
      </c>
      <c r="CC54" s="210">
        <f t="shared" si="63"/>
        <v>1041.0589245000001</v>
      </c>
      <c r="CD54" s="210">
        <f t="shared" si="63"/>
        <v>1041.0589245000001</v>
      </c>
      <c r="CE54" s="210">
        <f t="shared" si="63"/>
        <v>1041.0589245000001</v>
      </c>
      <c r="CF54" s="210">
        <f t="shared" si="63"/>
        <v>1041.0589245000001</v>
      </c>
    </row>
    <row r="55" spans="2:84">
      <c r="B55" s="21" t="s">
        <v>45</v>
      </c>
      <c r="C55" s="153"/>
      <c r="D55" s="213">
        <f t="shared" ref="D55:M55" si="64">($E24-$D24)*(D$38-$D$7)/($E$7-$D$7)+$D24</f>
        <v>0</v>
      </c>
      <c r="E55" s="153">
        <f t="shared" si="64"/>
        <v>0</v>
      </c>
      <c r="F55" s="153">
        <f t="shared" si="64"/>
        <v>0</v>
      </c>
      <c r="G55" s="153">
        <f t="shared" si="64"/>
        <v>0</v>
      </c>
      <c r="H55" s="153">
        <f t="shared" si="64"/>
        <v>0</v>
      </c>
      <c r="I55" s="153">
        <f t="shared" si="64"/>
        <v>0</v>
      </c>
      <c r="J55" s="153">
        <f t="shared" si="64"/>
        <v>0</v>
      </c>
      <c r="K55" s="153">
        <f t="shared" si="64"/>
        <v>0</v>
      </c>
      <c r="L55" s="153">
        <f t="shared" si="64"/>
        <v>0</v>
      </c>
      <c r="M55" s="153">
        <f t="shared" si="64"/>
        <v>0</v>
      </c>
      <c r="N55" s="153">
        <f t="shared" ref="N55:AB55" si="65">($F24-$E24)*(N$38-$E$7)/($F$7-$E$7)+$E24</f>
        <v>0</v>
      </c>
      <c r="O55" s="153">
        <f t="shared" si="65"/>
        <v>0</v>
      </c>
      <c r="P55" s="153">
        <f t="shared" si="65"/>
        <v>0</v>
      </c>
      <c r="Q55" s="153">
        <f t="shared" si="65"/>
        <v>0</v>
      </c>
      <c r="R55" s="153">
        <f t="shared" si="65"/>
        <v>0</v>
      </c>
      <c r="S55" s="153">
        <f t="shared" si="65"/>
        <v>0</v>
      </c>
      <c r="T55" s="153">
        <f t="shared" si="65"/>
        <v>0</v>
      </c>
      <c r="U55" s="153">
        <f t="shared" si="65"/>
        <v>0</v>
      </c>
      <c r="V55" s="153">
        <f t="shared" si="65"/>
        <v>0</v>
      </c>
      <c r="W55" s="153">
        <f t="shared" si="65"/>
        <v>0</v>
      </c>
      <c r="X55" s="153">
        <f t="shared" si="65"/>
        <v>0</v>
      </c>
      <c r="Y55" s="153">
        <f t="shared" si="65"/>
        <v>0</v>
      </c>
      <c r="Z55" s="153">
        <f t="shared" si="65"/>
        <v>0</v>
      </c>
      <c r="AA55" s="153">
        <f t="shared" si="65"/>
        <v>0</v>
      </c>
      <c r="AB55" s="153">
        <f t="shared" si="65"/>
        <v>0</v>
      </c>
      <c r="AD55" s="21" t="s">
        <v>45</v>
      </c>
      <c r="AE55" s="191"/>
      <c r="AF55" s="191">
        <f t="shared" ref="AF55:AO55" si="66">($L24-$K24)*(AF$38-$K$7)/($L$7-$K$7)+$K24</f>
        <v>1041.0589245000001</v>
      </c>
      <c r="AG55" s="191">
        <f t="shared" si="66"/>
        <v>1041.0589245000001</v>
      </c>
      <c r="AH55" s="191">
        <f t="shared" si="66"/>
        <v>1041.0589245000001</v>
      </c>
      <c r="AI55" s="191">
        <f t="shared" si="66"/>
        <v>1041.0589245000001</v>
      </c>
      <c r="AJ55" s="191">
        <f t="shared" si="66"/>
        <v>1041.0589245000001</v>
      </c>
      <c r="AK55" s="191">
        <f t="shared" si="66"/>
        <v>1041.0589245000001</v>
      </c>
      <c r="AL55" s="191">
        <f t="shared" si="66"/>
        <v>1041.0589245000001</v>
      </c>
      <c r="AM55" s="191">
        <f t="shared" si="66"/>
        <v>1041.0589245000001</v>
      </c>
      <c r="AN55" s="191">
        <f t="shared" si="66"/>
        <v>1041.0589245000001</v>
      </c>
      <c r="AO55" s="191">
        <f t="shared" si="66"/>
        <v>1041.0589245000001</v>
      </c>
      <c r="AP55" s="191">
        <f t="shared" ref="AP55:BD55" si="67">($M24-$L24)*(AP$38-$L$7)/($M$7-$L$7)+$L24</f>
        <v>1041.0589245000001</v>
      </c>
      <c r="AQ55" s="191">
        <f t="shared" si="67"/>
        <v>1041.0589245000001</v>
      </c>
      <c r="AR55" s="191">
        <f t="shared" si="67"/>
        <v>1041.0589245000001</v>
      </c>
      <c r="AS55" s="191">
        <f t="shared" si="67"/>
        <v>1041.0589245000001</v>
      </c>
      <c r="AT55" s="191">
        <f t="shared" si="67"/>
        <v>1041.0589245000001</v>
      </c>
      <c r="AU55" s="191">
        <f t="shared" si="67"/>
        <v>1041.0589245000001</v>
      </c>
      <c r="AV55" s="191">
        <f t="shared" si="67"/>
        <v>1041.0589245000001</v>
      </c>
      <c r="AW55" s="191">
        <f t="shared" si="67"/>
        <v>1041.0589245000001</v>
      </c>
      <c r="AX55" s="191">
        <f t="shared" si="67"/>
        <v>1041.0589245000001</v>
      </c>
      <c r="AY55" s="191">
        <f t="shared" si="67"/>
        <v>1041.0589245000001</v>
      </c>
      <c r="AZ55" s="191">
        <f t="shared" si="67"/>
        <v>1041.0589245000001</v>
      </c>
      <c r="BA55" s="191">
        <f t="shared" si="67"/>
        <v>1041.0589245000001</v>
      </c>
      <c r="BB55" s="191">
        <f t="shared" si="67"/>
        <v>1041.0589245000001</v>
      </c>
      <c r="BC55" s="191">
        <f t="shared" si="67"/>
        <v>1041.0589245000001</v>
      </c>
      <c r="BD55" s="191">
        <f t="shared" si="67"/>
        <v>1041.0589245000001</v>
      </c>
      <c r="BF55" s="21" t="s">
        <v>45</v>
      </c>
      <c r="BG55" s="22"/>
      <c r="BH55" s="214">
        <f>($S24-$R24)*(BH$38-$R$7)/($S$7-$R$7)+$R24</f>
        <v>1041.0589245000001</v>
      </c>
      <c r="BI55" s="210">
        <f t="shared" ref="BI55:BQ55" si="68">($S24-$R24)*(BI$38-$R$7)/($S$7-$R$7)+$R24</f>
        <v>1041.0589245000001</v>
      </c>
      <c r="BJ55" s="210">
        <f t="shared" si="68"/>
        <v>1041.0589245000001</v>
      </c>
      <c r="BK55" s="210">
        <f t="shared" si="68"/>
        <v>1041.0589245000001</v>
      </c>
      <c r="BL55" s="210">
        <f t="shared" si="68"/>
        <v>1041.0589245000001</v>
      </c>
      <c r="BM55" s="210">
        <f t="shared" si="68"/>
        <v>1041.0589245000001</v>
      </c>
      <c r="BN55" s="210">
        <f t="shared" si="68"/>
        <v>1041.0589245000001</v>
      </c>
      <c r="BO55" s="210">
        <f t="shared" si="68"/>
        <v>1041.0589245000001</v>
      </c>
      <c r="BP55" s="210">
        <f t="shared" si="68"/>
        <v>1041.0589245000001</v>
      </c>
      <c r="BQ55" s="210">
        <f t="shared" si="68"/>
        <v>1041.0589245000001</v>
      </c>
      <c r="BR55" s="210">
        <f t="shared" ref="BR55:CF55" si="69">($T24-$S24)*(BR$38-$S$7)/($T$7-$S$7)+$S24</f>
        <v>1041.0589245000001</v>
      </c>
      <c r="BS55" s="210">
        <f t="shared" si="69"/>
        <v>1041.0589245000001</v>
      </c>
      <c r="BT55" s="210">
        <f t="shared" si="69"/>
        <v>1041.0589245000001</v>
      </c>
      <c r="BU55" s="210">
        <f t="shared" si="69"/>
        <v>1041.0589245000001</v>
      </c>
      <c r="BV55" s="210">
        <f t="shared" si="69"/>
        <v>1041.0589245000001</v>
      </c>
      <c r="BW55" s="210">
        <f t="shared" si="69"/>
        <v>1041.0589245000001</v>
      </c>
      <c r="BX55" s="210">
        <f t="shared" si="69"/>
        <v>1041.0589245000001</v>
      </c>
      <c r="BY55" s="210">
        <f t="shared" si="69"/>
        <v>1041.0589245000001</v>
      </c>
      <c r="BZ55" s="210">
        <f t="shared" si="69"/>
        <v>1041.0589245000001</v>
      </c>
      <c r="CA55" s="210">
        <f t="shared" si="69"/>
        <v>1041.0589245000001</v>
      </c>
      <c r="CB55" s="210">
        <f t="shared" si="69"/>
        <v>1041.0589245000001</v>
      </c>
      <c r="CC55" s="210">
        <f t="shared" si="69"/>
        <v>1041.0589245000001</v>
      </c>
      <c r="CD55" s="210">
        <f t="shared" si="69"/>
        <v>1041.0589245000001</v>
      </c>
      <c r="CE55" s="210">
        <f t="shared" si="69"/>
        <v>1041.0589245000001</v>
      </c>
      <c r="CF55" s="210">
        <f t="shared" si="69"/>
        <v>1041.0589245000001</v>
      </c>
    </row>
    <row r="56" spans="2:84">
      <c r="B56" s="21" t="s">
        <v>46</v>
      </c>
      <c r="C56" s="153"/>
      <c r="D56" s="213">
        <f t="shared" ref="D56:M56" si="70">($E25-$D25)*(D$38-$D$7)/($E$7-$D$7)+$D25</f>
        <v>0</v>
      </c>
      <c r="E56" s="153">
        <f t="shared" si="70"/>
        <v>0</v>
      </c>
      <c r="F56" s="153">
        <f t="shared" si="70"/>
        <v>0</v>
      </c>
      <c r="G56" s="153">
        <f t="shared" si="70"/>
        <v>0</v>
      </c>
      <c r="H56" s="153">
        <f t="shared" si="70"/>
        <v>0</v>
      </c>
      <c r="I56" s="153">
        <f t="shared" si="70"/>
        <v>0</v>
      </c>
      <c r="J56" s="153">
        <f t="shared" si="70"/>
        <v>0</v>
      </c>
      <c r="K56" s="153">
        <f t="shared" si="70"/>
        <v>0</v>
      </c>
      <c r="L56" s="153">
        <f t="shared" si="70"/>
        <v>0</v>
      </c>
      <c r="M56" s="153">
        <f t="shared" si="70"/>
        <v>0</v>
      </c>
      <c r="N56" s="153">
        <f t="shared" ref="N56:AB56" si="71">($F25-$E25)*(N$38-$E$7)/($F$7-$E$7)+$E25</f>
        <v>0</v>
      </c>
      <c r="O56" s="153">
        <f t="shared" si="71"/>
        <v>0</v>
      </c>
      <c r="P56" s="153">
        <f t="shared" si="71"/>
        <v>0</v>
      </c>
      <c r="Q56" s="153">
        <f t="shared" si="71"/>
        <v>0</v>
      </c>
      <c r="R56" s="153">
        <f t="shared" si="71"/>
        <v>0</v>
      </c>
      <c r="S56" s="153">
        <f t="shared" si="71"/>
        <v>0</v>
      </c>
      <c r="T56" s="153">
        <f t="shared" si="71"/>
        <v>0</v>
      </c>
      <c r="U56" s="153">
        <f t="shared" si="71"/>
        <v>0</v>
      </c>
      <c r="V56" s="153">
        <f t="shared" si="71"/>
        <v>0</v>
      </c>
      <c r="W56" s="153">
        <f t="shared" si="71"/>
        <v>0</v>
      </c>
      <c r="X56" s="153">
        <f t="shared" si="71"/>
        <v>0</v>
      </c>
      <c r="Y56" s="153">
        <f t="shared" si="71"/>
        <v>0</v>
      </c>
      <c r="Z56" s="153">
        <f t="shared" si="71"/>
        <v>0</v>
      </c>
      <c r="AA56" s="153">
        <f t="shared" si="71"/>
        <v>0</v>
      </c>
      <c r="AB56" s="153">
        <f t="shared" si="71"/>
        <v>0</v>
      </c>
      <c r="AD56" s="21" t="s">
        <v>46</v>
      </c>
      <c r="AE56" s="191"/>
      <c r="AF56" s="191">
        <f t="shared" ref="AF56:AO56" si="72">($L25-$K25)*(AF$38-$K$7)/($L$7-$K$7)+$K25</f>
        <v>0</v>
      </c>
      <c r="AG56" s="191">
        <f t="shared" si="72"/>
        <v>0</v>
      </c>
      <c r="AH56" s="191">
        <f t="shared" si="72"/>
        <v>0</v>
      </c>
      <c r="AI56" s="191">
        <f t="shared" si="72"/>
        <v>0</v>
      </c>
      <c r="AJ56" s="191">
        <f t="shared" si="72"/>
        <v>0</v>
      </c>
      <c r="AK56" s="191">
        <f t="shared" si="72"/>
        <v>0</v>
      </c>
      <c r="AL56" s="191">
        <f t="shared" si="72"/>
        <v>0</v>
      </c>
      <c r="AM56" s="191">
        <f t="shared" si="72"/>
        <v>0</v>
      </c>
      <c r="AN56" s="191">
        <f t="shared" si="72"/>
        <v>0</v>
      </c>
      <c r="AO56" s="191">
        <f t="shared" si="72"/>
        <v>0</v>
      </c>
      <c r="AP56" s="191">
        <f t="shared" ref="AP56:BD56" si="73">($M25-$L25)*(AP$38-$L$7)/($M$7-$L$7)+$L25</f>
        <v>0</v>
      </c>
      <c r="AQ56" s="191">
        <f t="shared" si="73"/>
        <v>0</v>
      </c>
      <c r="AR56" s="191">
        <f t="shared" si="73"/>
        <v>0</v>
      </c>
      <c r="AS56" s="191">
        <f t="shared" si="73"/>
        <v>0</v>
      </c>
      <c r="AT56" s="191">
        <f t="shared" si="73"/>
        <v>0</v>
      </c>
      <c r="AU56" s="191">
        <f t="shared" si="73"/>
        <v>0</v>
      </c>
      <c r="AV56" s="191">
        <f t="shared" si="73"/>
        <v>0</v>
      </c>
      <c r="AW56" s="191">
        <f t="shared" si="73"/>
        <v>0</v>
      </c>
      <c r="AX56" s="191">
        <f t="shared" si="73"/>
        <v>0</v>
      </c>
      <c r="AY56" s="191">
        <f t="shared" si="73"/>
        <v>0</v>
      </c>
      <c r="AZ56" s="191">
        <f t="shared" si="73"/>
        <v>0</v>
      </c>
      <c r="BA56" s="191">
        <f t="shared" si="73"/>
        <v>0</v>
      </c>
      <c r="BB56" s="191">
        <f t="shared" si="73"/>
        <v>0</v>
      </c>
      <c r="BC56" s="191">
        <f t="shared" si="73"/>
        <v>0</v>
      </c>
      <c r="BD56" s="191">
        <f t="shared" si="73"/>
        <v>0</v>
      </c>
      <c r="BF56" s="21" t="s">
        <v>46</v>
      </c>
      <c r="BG56" s="22"/>
      <c r="BH56" s="214">
        <f>($S25-$R25)*(BH$38-$R$7)/($S$7-$R$7)+$R25</f>
        <v>0</v>
      </c>
      <c r="BI56" s="210">
        <f t="shared" ref="BI56:BQ56" si="74">($S25-$R25)*(BI$38-$R$7)/($S$7-$R$7)+$R25</f>
        <v>0</v>
      </c>
      <c r="BJ56" s="210">
        <f t="shared" si="74"/>
        <v>0</v>
      </c>
      <c r="BK56" s="210">
        <f t="shared" si="74"/>
        <v>0</v>
      </c>
      <c r="BL56" s="210">
        <f t="shared" si="74"/>
        <v>0</v>
      </c>
      <c r="BM56" s="210">
        <f t="shared" si="74"/>
        <v>0</v>
      </c>
      <c r="BN56" s="210">
        <f t="shared" si="74"/>
        <v>0</v>
      </c>
      <c r="BO56" s="210">
        <f t="shared" si="74"/>
        <v>0</v>
      </c>
      <c r="BP56" s="210">
        <f t="shared" si="74"/>
        <v>0</v>
      </c>
      <c r="BQ56" s="210">
        <f t="shared" si="74"/>
        <v>0</v>
      </c>
      <c r="BR56" s="210">
        <f t="shared" ref="BR56:CF56" si="75">($T25-$S25)*(BR$38-$S$7)/($T$7-$S$7)+$S25</f>
        <v>0</v>
      </c>
      <c r="BS56" s="210">
        <f t="shared" si="75"/>
        <v>0</v>
      </c>
      <c r="BT56" s="210">
        <f t="shared" si="75"/>
        <v>0</v>
      </c>
      <c r="BU56" s="210">
        <f t="shared" si="75"/>
        <v>0</v>
      </c>
      <c r="BV56" s="210">
        <f t="shared" si="75"/>
        <v>0</v>
      </c>
      <c r="BW56" s="210">
        <f t="shared" si="75"/>
        <v>0</v>
      </c>
      <c r="BX56" s="210">
        <f t="shared" si="75"/>
        <v>0</v>
      </c>
      <c r="BY56" s="210">
        <f t="shared" si="75"/>
        <v>0</v>
      </c>
      <c r="BZ56" s="210">
        <f t="shared" si="75"/>
        <v>0</v>
      </c>
      <c r="CA56" s="210">
        <f t="shared" si="75"/>
        <v>0</v>
      </c>
      <c r="CB56" s="210">
        <f t="shared" si="75"/>
        <v>0</v>
      </c>
      <c r="CC56" s="210">
        <f t="shared" si="75"/>
        <v>0</v>
      </c>
      <c r="CD56" s="210">
        <f t="shared" si="75"/>
        <v>0</v>
      </c>
      <c r="CE56" s="210">
        <f t="shared" si="75"/>
        <v>0</v>
      </c>
      <c r="CF56" s="210">
        <f t="shared" si="75"/>
        <v>0</v>
      </c>
    </row>
    <row r="57" spans="2:84">
      <c r="B57" s="24" t="s">
        <v>21</v>
      </c>
      <c r="C57" s="153"/>
      <c r="D57" s="213"/>
      <c r="E57" s="153"/>
      <c r="F57" s="153"/>
      <c r="G57" s="153"/>
      <c r="H57" s="153"/>
      <c r="I57" s="153"/>
      <c r="J57" s="153"/>
      <c r="K57" s="153"/>
      <c r="L57" s="153"/>
      <c r="M57" s="153"/>
      <c r="N57" s="153"/>
      <c r="O57" s="153"/>
      <c r="P57" s="153"/>
      <c r="Q57" s="153"/>
      <c r="R57" s="153"/>
      <c r="S57" s="153"/>
      <c r="T57" s="153"/>
      <c r="U57" s="153"/>
      <c r="V57" s="153"/>
      <c r="W57" s="153"/>
      <c r="X57" s="153"/>
      <c r="Y57" s="153"/>
      <c r="Z57" s="153"/>
      <c r="AA57" s="153"/>
      <c r="AB57" s="153"/>
      <c r="AD57" s="24" t="s">
        <v>21</v>
      </c>
      <c r="AE57" s="191"/>
      <c r="AF57" s="191"/>
      <c r="AG57" s="191"/>
      <c r="AH57" s="191"/>
      <c r="AI57" s="191"/>
      <c r="AJ57" s="191"/>
      <c r="AK57" s="191"/>
      <c r="AL57" s="191"/>
      <c r="AM57" s="191"/>
      <c r="AN57" s="191"/>
      <c r="AO57" s="191"/>
      <c r="AP57" s="191"/>
      <c r="AQ57" s="191"/>
      <c r="AR57" s="191"/>
      <c r="AS57" s="191"/>
      <c r="AT57" s="191"/>
      <c r="AU57" s="191"/>
      <c r="AV57" s="191"/>
      <c r="AW57" s="191"/>
      <c r="AX57" s="191"/>
      <c r="AY57" s="191"/>
      <c r="AZ57" s="191"/>
      <c r="BA57" s="191"/>
      <c r="BB57" s="191"/>
      <c r="BC57" s="191"/>
      <c r="BD57" s="191"/>
      <c r="BF57" s="24" t="s">
        <v>21</v>
      </c>
      <c r="BG57" s="22"/>
      <c r="BH57" s="214"/>
      <c r="BI57" s="149"/>
      <c r="BJ57" s="149"/>
      <c r="BK57" s="149"/>
      <c r="BL57" s="149"/>
      <c r="BM57" s="149"/>
      <c r="BN57" s="149"/>
      <c r="BO57" s="149"/>
      <c r="BP57" s="149"/>
      <c r="BQ57" s="149"/>
      <c r="BR57" s="210"/>
      <c r="BS57" s="149"/>
      <c r="BT57" s="149"/>
      <c r="BU57" s="149"/>
      <c r="BV57" s="149"/>
      <c r="BW57" s="149"/>
      <c r="BX57" s="149"/>
      <c r="BY57" s="149"/>
      <c r="BZ57" s="149"/>
      <c r="CA57" s="149"/>
      <c r="CB57" s="149"/>
      <c r="CC57" s="149"/>
      <c r="CD57" s="149"/>
      <c r="CE57" s="149"/>
      <c r="CF57" s="149"/>
    </row>
    <row r="58" spans="2:84">
      <c r="B58" s="152" t="s">
        <v>51</v>
      </c>
      <c r="C58" s="153"/>
      <c r="D58" s="213">
        <f>(1/$E27-1/$D27)*(D$38-$D$7)/($E$7-$D$7)+1/$D27</f>
        <v>1.0833333333333333E-3</v>
      </c>
      <c r="E58" s="153">
        <f t="shared" ref="E58:M58" si="76">(1/$E27-1/$D27)*(E$38-$D$7)/($E$7-$D$7)+1/$D27</f>
        <v>1.1666666666666668E-3</v>
      </c>
      <c r="F58" s="153">
        <f t="shared" si="76"/>
        <v>1.25E-3</v>
      </c>
      <c r="G58" s="153">
        <f t="shared" si="76"/>
        <v>1.3333333333333333E-3</v>
      </c>
      <c r="H58" s="153">
        <f t="shared" si="76"/>
        <v>1.4166666666666668E-3</v>
      </c>
      <c r="I58" s="153">
        <f t="shared" si="76"/>
        <v>1.5E-3</v>
      </c>
      <c r="J58" s="153">
        <f t="shared" si="76"/>
        <v>1.5833333333333333E-3</v>
      </c>
      <c r="K58" s="153">
        <f t="shared" si="76"/>
        <v>1.6666666666666666E-3</v>
      </c>
      <c r="L58" s="153">
        <f t="shared" si="76"/>
        <v>1.7500000000000003E-3</v>
      </c>
      <c r="M58" s="153">
        <f t="shared" si="76"/>
        <v>1.8333333333333335E-3</v>
      </c>
      <c r="N58" s="153">
        <f t="shared" ref="N58:AB58" si="77">(1/$F27-1/$E27)*(N$38-$E$7)/($F$7-$E$7)+1/$E27</f>
        <v>2E-3</v>
      </c>
      <c r="O58" s="153">
        <f t="shared" si="77"/>
        <v>2E-3</v>
      </c>
      <c r="P58" s="153">
        <f t="shared" si="77"/>
        <v>2E-3</v>
      </c>
      <c r="Q58" s="153">
        <f t="shared" si="77"/>
        <v>2E-3</v>
      </c>
      <c r="R58" s="153">
        <f t="shared" si="77"/>
        <v>2E-3</v>
      </c>
      <c r="S58" s="153">
        <f t="shared" si="77"/>
        <v>2E-3</v>
      </c>
      <c r="T58" s="153">
        <f t="shared" si="77"/>
        <v>2E-3</v>
      </c>
      <c r="U58" s="153">
        <f t="shared" si="77"/>
        <v>2E-3</v>
      </c>
      <c r="V58" s="153">
        <f t="shared" si="77"/>
        <v>2E-3</v>
      </c>
      <c r="W58" s="153">
        <f t="shared" si="77"/>
        <v>2E-3</v>
      </c>
      <c r="X58" s="153">
        <f t="shared" si="77"/>
        <v>2E-3</v>
      </c>
      <c r="Y58" s="153">
        <f t="shared" si="77"/>
        <v>2E-3</v>
      </c>
      <c r="Z58" s="153">
        <f t="shared" si="77"/>
        <v>2E-3</v>
      </c>
      <c r="AA58" s="153">
        <f t="shared" si="77"/>
        <v>2E-3</v>
      </c>
      <c r="AB58" s="153">
        <f t="shared" si="77"/>
        <v>2E-3</v>
      </c>
      <c r="AD58" s="194" t="s">
        <v>51</v>
      </c>
      <c r="AE58" s="191"/>
      <c r="AF58" s="191">
        <f>(1/$L27-1/$K27)*(AF$38-$K$7)/($L$7-$K$7)+1/$K27</f>
        <v>8.9999999999999998E-4</v>
      </c>
      <c r="AG58" s="191">
        <f t="shared" ref="AG58:AO58" si="78">(1/$L27-1/$K27)*(AG$38-$K$7)/($L$7-$K$7)+1/$K27</f>
        <v>1E-3</v>
      </c>
      <c r="AH58" s="191">
        <f t="shared" si="78"/>
        <v>1.1000000000000001E-3</v>
      </c>
      <c r="AI58" s="191">
        <f t="shared" si="78"/>
        <v>1.2000000000000001E-3</v>
      </c>
      <c r="AJ58" s="191">
        <f t="shared" si="78"/>
        <v>1.2999999999999999E-3</v>
      </c>
      <c r="AK58" s="191">
        <f t="shared" si="78"/>
        <v>1.4E-3</v>
      </c>
      <c r="AL58" s="191">
        <f t="shared" si="78"/>
        <v>1.5E-3</v>
      </c>
      <c r="AM58" s="191">
        <f t="shared" si="78"/>
        <v>1.6000000000000001E-3</v>
      </c>
      <c r="AN58" s="191">
        <f t="shared" si="78"/>
        <v>1.7000000000000001E-3</v>
      </c>
      <c r="AO58" s="191">
        <f t="shared" si="78"/>
        <v>1.8E-3</v>
      </c>
      <c r="AP58" s="191">
        <f t="shared" ref="AP58:BD58" si="79">(1/$M27-1/$L27)*(AP$38-$L$7)/($M$7-$L$7)+1/$L27</f>
        <v>2E-3</v>
      </c>
      <c r="AQ58" s="191">
        <f t="shared" si="79"/>
        <v>2E-3</v>
      </c>
      <c r="AR58" s="191">
        <f t="shared" si="79"/>
        <v>2E-3</v>
      </c>
      <c r="AS58" s="191">
        <f t="shared" si="79"/>
        <v>2E-3</v>
      </c>
      <c r="AT58" s="191">
        <f t="shared" si="79"/>
        <v>2E-3</v>
      </c>
      <c r="AU58" s="191">
        <f t="shared" si="79"/>
        <v>2E-3</v>
      </c>
      <c r="AV58" s="191">
        <f t="shared" si="79"/>
        <v>2E-3</v>
      </c>
      <c r="AW58" s="191">
        <f t="shared" si="79"/>
        <v>2E-3</v>
      </c>
      <c r="AX58" s="191">
        <f t="shared" si="79"/>
        <v>2E-3</v>
      </c>
      <c r="AY58" s="191">
        <f t="shared" si="79"/>
        <v>2E-3</v>
      </c>
      <c r="AZ58" s="191">
        <f t="shared" si="79"/>
        <v>2E-3</v>
      </c>
      <c r="BA58" s="191">
        <f t="shared" si="79"/>
        <v>2E-3</v>
      </c>
      <c r="BB58" s="191">
        <f t="shared" si="79"/>
        <v>2E-3</v>
      </c>
      <c r="BC58" s="191">
        <f t="shared" si="79"/>
        <v>2E-3</v>
      </c>
      <c r="BD58" s="191">
        <f t="shared" si="79"/>
        <v>2E-3</v>
      </c>
      <c r="BF58" s="21" t="s">
        <v>51</v>
      </c>
      <c r="BG58" s="22"/>
      <c r="BH58" s="214">
        <f t="shared" ref="BH58:BQ58" si="80">(1/$S27-1/$R27)*(R$38-$R$7)/($S$7-$R$7)+1/$R27</f>
        <v>2.3E-3</v>
      </c>
      <c r="BI58" s="210">
        <f t="shared" si="80"/>
        <v>2.4000000000000002E-3</v>
      </c>
      <c r="BJ58" s="210">
        <f t="shared" si="80"/>
        <v>2.5000000000000001E-3</v>
      </c>
      <c r="BK58" s="210">
        <f t="shared" si="80"/>
        <v>2.5999999999999999E-3</v>
      </c>
      <c r="BL58" s="210">
        <f t="shared" si="80"/>
        <v>2.7000000000000001E-3</v>
      </c>
      <c r="BM58" s="210">
        <f t="shared" si="80"/>
        <v>2.8000000000000004E-3</v>
      </c>
      <c r="BN58" s="210">
        <f t="shared" si="80"/>
        <v>2.8999999999999998E-3</v>
      </c>
      <c r="BO58" s="210">
        <f t="shared" si="80"/>
        <v>3.0000000000000001E-3</v>
      </c>
      <c r="BP58" s="210">
        <f t="shared" si="80"/>
        <v>3.1000000000000003E-3</v>
      </c>
      <c r="BQ58" s="210">
        <f t="shared" si="80"/>
        <v>3.1999999999999997E-3</v>
      </c>
      <c r="BR58" s="88">
        <f t="shared" ref="BR58:CF58" si="81">(1/$T27-1/$S27)*(BR$38-$S$7)/($T$7-$S$7)+1/$S27</f>
        <v>2E-3</v>
      </c>
      <c r="BS58" s="88">
        <f t="shared" si="81"/>
        <v>2E-3</v>
      </c>
      <c r="BT58" s="88">
        <f t="shared" si="81"/>
        <v>2E-3</v>
      </c>
      <c r="BU58" s="88">
        <f t="shared" si="81"/>
        <v>2E-3</v>
      </c>
      <c r="BV58" s="88">
        <f t="shared" si="81"/>
        <v>2E-3</v>
      </c>
      <c r="BW58" s="88">
        <f t="shared" si="81"/>
        <v>2E-3</v>
      </c>
      <c r="BX58" s="88">
        <f t="shared" si="81"/>
        <v>2E-3</v>
      </c>
      <c r="BY58" s="88">
        <f t="shared" si="81"/>
        <v>2E-3</v>
      </c>
      <c r="BZ58" s="88">
        <f t="shared" si="81"/>
        <v>2E-3</v>
      </c>
      <c r="CA58" s="88">
        <f t="shared" si="81"/>
        <v>2E-3</v>
      </c>
      <c r="CB58" s="88">
        <f t="shared" si="81"/>
        <v>2E-3</v>
      </c>
      <c r="CC58" s="88">
        <f t="shared" si="81"/>
        <v>2E-3</v>
      </c>
      <c r="CD58" s="88">
        <f t="shared" si="81"/>
        <v>2E-3</v>
      </c>
      <c r="CE58" s="88">
        <f t="shared" si="81"/>
        <v>2E-3</v>
      </c>
      <c r="CF58" s="88">
        <f t="shared" si="81"/>
        <v>2E-3</v>
      </c>
    </row>
    <row r="59" spans="2:84">
      <c r="B59" s="21" t="s">
        <v>22</v>
      </c>
      <c r="C59" s="153"/>
      <c r="D59" s="213">
        <f t="shared" ref="D59:M59" si="82">($E28-$D28)*(D$38-$D$7)/($E$7-$D$7)+$D28</f>
        <v>0</v>
      </c>
      <c r="E59" s="153">
        <f t="shared" si="82"/>
        <v>0</v>
      </c>
      <c r="F59" s="153">
        <f t="shared" si="82"/>
        <v>0</v>
      </c>
      <c r="G59" s="153">
        <f t="shared" si="82"/>
        <v>0</v>
      </c>
      <c r="H59" s="153">
        <f t="shared" si="82"/>
        <v>0</v>
      </c>
      <c r="I59" s="153">
        <f t="shared" si="82"/>
        <v>0</v>
      </c>
      <c r="J59" s="153">
        <f t="shared" si="82"/>
        <v>0</v>
      </c>
      <c r="K59" s="153">
        <f t="shared" si="82"/>
        <v>0</v>
      </c>
      <c r="L59" s="153">
        <f t="shared" si="82"/>
        <v>0</v>
      </c>
      <c r="M59" s="153">
        <f t="shared" si="82"/>
        <v>0</v>
      </c>
      <c r="N59" s="153">
        <f t="shared" ref="N59:AB59" si="83">($F28-$E28)*(N$38-$E$7)/($F$7-$E$7)+$E28</f>
        <v>0</v>
      </c>
      <c r="O59" s="153">
        <f t="shared" si="83"/>
        <v>0</v>
      </c>
      <c r="P59" s="153">
        <f t="shared" si="83"/>
        <v>0</v>
      </c>
      <c r="Q59" s="153">
        <f t="shared" si="83"/>
        <v>0</v>
      </c>
      <c r="R59" s="153">
        <f t="shared" si="83"/>
        <v>0</v>
      </c>
      <c r="S59" s="153">
        <f t="shared" si="83"/>
        <v>0</v>
      </c>
      <c r="T59" s="153">
        <f t="shared" si="83"/>
        <v>0</v>
      </c>
      <c r="U59" s="153">
        <f t="shared" si="83"/>
        <v>0</v>
      </c>
      <c r="V59" s="153">
        <f t="shared" si="83"/>
        <v>0</v>
      </c>
      <c r="W59" s="153">
        <f t="shared" si="83"/>
        <v>0</v>
      </c>
      <c r="X59" s="153">
        <f t="shared" si="83"/>
        <v>0</v>
      </c>
      <c r="Y59" s="153">
        <f t="shared" si="83"/>
        <v>0</v>
      </c>
      <c r="Z59" s="153">
        <f t="shared" si="83"/>
        <v>0</v>
      </c>
      <c r="AA59" s="153">
        <f t="shared" si="83"/>
        <v>0</v>
      </c>
      <c r="AB59" s="153">
        <f t="shared" si="83"/>
        <v>0</v>
      </c>
      <c r="AD59" s="21" t="s">
        <v>22</v>
      </c>
      <c r="AE59" s="191"/>
      <c r="AF59" s="191">
        <f>($L28-$K28)*(AF$38-$K$7)/($L$7-$K$7)+$K28</f>
        <v>-5.1780821917812199E-2</v>
      </c>
      <c r="AG59" s="191">
        <f t="shared" ref="AG59:AO60" si="84">($L28-$K28)*(AG$38-$K$7)/($L$7-$K$7)+$K28</f>
        <v>-5.1780821917812199E-2</v>
      </c>
      <c r="AH59" s="191">
        <f t="shared" si="84"/>
        <v>-5.1780821917812199E-2</v>
      </c>
      <c r="AI59" s="191">
        <f t="shared" si="84"/>
        <v>-5.1780821917812199E-2</v>
      </c>
      <c r="AJ59" s="191">
        <f t="shared" si="84"/>
        <v>-5.1780821917812199E-2</v>
      </c>
      <c r="AK59" s="191">
        <f t="shared" si="84"/>
        <v>-5.1780821917812199E-2</v>
      </c>
      <c r="AL59" s="191">
        <f t="shared" si="84"/>
        <v>-5.1780821917812199E-2</v>
      </c>
      <c r="AM59" s="191">
        <f t="shared" si="84"/>
        <v>-5.1780821917812199E-2</v>
      </c>
      <c r="AN59" s="191">
        <f t="shared" si="84"/>
        <v>-5.1780821917812199E-2</v>
      </c>
      <c r="AO59" s="191">
        <f t="shared" si="84"/>
        <v>-5.1780821917812199E-2</v>
      </c>
      <c r="AP59" s="191">
        <f t="shared" ref="AP59:BD59" si="85">($M28-$L28)*(AP$38-$L$7)/($M$7-$L$7)+$L28</f>
        <v>-5.1780821917812199E-2</v>
      </c>
      <c r="AQ59" s="191">
        <f t="shared" si="85"/>
        <v>-5.1780821917812199E-2</v>
      </c>
      <c r="AR59" s="191">
        <f t="shared" si="85"/>
        <v>-5.1780821917812199E-2</v>
      </c>
      <c r="AS59" s="191">
        <f t="shared" si="85"/>
        <v>-5.1780821917812199E-2</v>
      </c>
      <c r="AT59" s="191">
        <f t="shared" si="85"/>
        <v>-5.1780821917812199E-2</v>
      </c>
      <c r="AU59" s="191">
        <f t="shared" si="85"/>
        <v>-5.1780821917812199E-2</v>
      </c>
      <c r="AV59" s="191">
        <f t="shared" si="85"/>
        <v>-5.1780821917812199E-2</v>
      </c>
      <c r="AW59" s="191">
        <f t="shared" si="85"/>
        <v>-5.1780821917812199E-2</v>
      </c>
      <c r="AX59" s="191">
        <f t="shared" si="85"/>
        <v>-5.1780821917812199E-2</v>
      </c>
      <c r="AY59" s="191">
        <f t="shared" si="85"/>
        <v>-5.1780821917812199E-2</v>
      </c>
      <c r="AZ59" s="191">
        <f t="shared" si="85"/>
        <v>-5.1780821917812199E-2</v>
      </c>
      <c r="BA59" s="191">
        <f t="shared" si="85"/>
        <v>-5.1780821917812199E-2</v>
      </c>
      <c r="BB59" s="191">
        <f t="shared" si="85"/>
        <v>-5.1780821917812199E-2</v>
      </c>
      <c r="BC59" s="191">
        <f t="shared" si="85"/>
        <v>-5.1780821917812199E-2</v>
      </c>
      <c r="BD59" s="191">
        <f t="shared" si="85"/>
        <v>-5.1780821917812199E-2</v>
      </c>
      <c r="BF59" s="21" t="s">
        <v>22</v>
      </c>
      <c r="BG59" s="22"/>
      <c r="BH59" s="214">
        <f>($S28-$R28)*(BH$38-$R$7)/($S$7-$R$7)+$R28</f>
        <v>-7.3972602739728402E-2</v>
      </c>
      <c r="BI59" s="210">
        <f t="shared" ref="BI59:BQ60" si="86">($S28-$R28)*(BI$38-$R$7)/($S$7-$R$7)+$R28</f>
        <v>-7.3972602739728402E-2</v>
      </c>
      <c r="BJ59" s="210">
        <f t="shared" si="86"/>
        <v>-7.3972602739728402E-2</v>
      </c>
      <c r="BK59" s="210">
        <f t="shared" si="86"/>
        <v>-7.3972602739728402E-2</v>
      </c>
      <c r="BL59" s="210">
        <f t="shared" si="86"/>
        <v>-7.3972602739728402E-2</v>
      </c>
      <c r="BM59" s="210">
        <f t="shared" si="86"/>
        <v>-7.3972602739728402E-2</v>
      </c>
      <c r="BN59" s="210">
        <f t="shared" si="86"/>
        <v>-7.3972602739728402E-2</v>
      </c>
      <c r="BO59" s="210">
        <f t="shared" si="86"/>
        <v>-7.3972602739728402E-2</v>
      </c>
      <c r="BP59" s="210">
        <f t="shared" si="86"/>
        <v>-7.3972602739728402E-2</v>
      </c>
      <c r="BQ59" s="210">
        <f t="shared" si="86"/>
        <v>-7.3972602739728402E-2</v>
      </c>
      <c r="BR59" s="210">
        <f t="shared" ref="BR59:CF59" si="87">($T28-$S28)*(BR$38-$S$7)/($T$7-$S$7)+$S28</f>
        <v>-7.3972602739728402E-2</v>
      </c>
      <c r="BS59" s="210">
        <f t="shared" si="87"/>
        <v>-7.3972602739728402E-2</v>
      </c>
      <c r="BT59" s="210">
        <f t="shared" si="87"/>
        <v>-7.3972602739728402E-2</v>
      </c>
      <c r="BU59" s="210">
        <f t="shared" si="87"/>
        <v>-7.3972602739728402E-2</v>
      </c>
      <c r="BV59" s="210">
        <f t="shared" si="87"/>
        <v>-7.3972602739728402E-2</v>
      </c>
      <c r="BW59" s="210">
        <f t="shared" si="87"/>
        <v>-7.3972602739728402E-2</v>
      </c>
      <c r="BX59" s="210">
        <f t="shared" si="87"/>
        <v>-7.3972602739728402E-2</v>
      </c>
      <c r="BY59" s="210">
        <f t="shared" si="87"/>
        <v>-7.3972602739728402E-2</v>
      </c>
      <c r="BZ59" s="210">
        <f t="shared" si="87"/>
        <v>-7.3972602739728402E-2</v>
      </c>
      <c r="CA59" s="210">
        <f t="shared" si="87"/>
        <v>-7.3972602739728402E-2</v>
      </c>
      <c r="CB59" s="210">
        <f t="shared" si="87"/>
        <v>-7.3972602739728402E-2</v>
      </c>
      <c r="CC59" s="210">
        <f t="shared" si="87"/>
        <v>-7.3972602739728402E-2</v>
      </c>
      <c r="CD59" s="210">
        <f t="shared" si="87"/>
        <v>-7.3972602739728402E-2</v>
      </c>
      <c r="CE59" s="210">
        <f t="shared" si="87"/>
        <v>-7.3972602739728402E-2</v>
      </c>
      <c r="CF59" s="210">
        <f t="shared" si="87"/>
        <v>-7.3972602739728402E-2</v>
      </c>
    </row>
    <row r="60" spans="2:84">
      <c r="B60" s="145" t="s">
        <v>184</v>
      </c>
      <c r="C60" s="153"/>
      <c r="D60" s="213">
        <f t="shared" ref="D60:M60" si="88">($E29-$D29)*(D$38-$D$7)/($E$7-$D$7)+$D29</f>
        <v>0</v>
      </c>
      <c r="E60" s="153">
        <f t="shared" si="88"/>
        <v>0</v>
      </c>
      <c r="F60" s="153">
        <f t="shared" si="88"/>
        <v>0</v>
      </c>
      <c r="G60" s="153">
        <f t="shared" si="88"/>
        <v>0</v>
      </c>
      <c r="H60" s="153">
        <f t="shared" si="88"/>
        <v>0</v>
      </c>
      <c r="I60" s="153">
        <f t="shared" si="88"/>
        <v>0</v>
      </c>
      <c r="J60" s="153">
        <f t="shared" si="88"/>
        <v>0</v>
      </c>
      <c r="K60" s="153">
        <f t="shared" si="88"/>
        <v>0</v>
      </c>
      <c r="L60" s="153">
        <f t="shared" si="88"/>
        <v>0</v>
      </c>
      <c r="M60" s="153">
        <f t="shared" si="88"/>
        <v>0</v>
      </c>
      <c r="N60" s="153">
        <f t="shared" ref="N60:AB60" si="89">($F29-$E29)*(N$38-$E$7)/($F$7-$E$7)+$E29</f>
        <v>0</v>
      </c>
      <c r="O60" s="153">
        <f t="shared" si="89"/>
        <v>0</v>
      </c>
      <c r="P60" s="153">
        <f t="shared" si="89"/>
        <v>0</v>
      </c>
      <c r="Q60" s="153">
        <f t="shared" si="89"/>
        <v>0</v>
      </c>
      <c r="R60" s="153">
        <f t="shared" si="89"/>
        <v>0</v>
      </c>
      <c r="S60" s="153">
        <f t="shared" si="89"/>
        <v>0</v>
      </c>
      <c r="T60" s="153">
        <f t="shared" si="89"/>
        <v>0</v>
      </c>
      <c r="U60" s="153">
        <f t="shared" si="89"/>
        <v>0</v>
      </c>
      <c r="V60" s="153">
        <f t="shared" si="89"/>
        <v>0</v>
      </c>
      <c r="W60" s="153">
        <f t="shared" si="89"/>
        <v>0</v>
      </c>
      <c r="X60" s="153">
        <f t="shared" si="89"/>
        <v>0</v>
      </c>
      <c r="Y60" s="153">
        <f t="shared" si="89"/>
        <v>0</v>
      </c>
      <c r="Z60" s="153">
        <f t="shared" si="89"/>
        <v>0</v>
      </c>
      <c r="AA60" s="153">
        <f t="shared" si="89"/>
        <v>0</v>
      </c>
      <c r="AB60" s="153">
        <f t="shared" si="89"/>
        <v>0</v>
      </c>
      <c r="AD60" s="145" t="s">
        <v>184</v>
      </c>
      <c r="AE60" s="191"/>
      <c r="AF60" s="191">
        <f>($L29-$K29)*(AF$38-$K$7)/($L$7-$K$7)+$K29</f>
        <v>-7.3972602739719506E-2</v>
      </c>
      <c r="AG60" s="191">
        <f t="shared" si="84"/>
        <v>-7.3972602739719506E-2</v>
      </c>
      <c r="AH60" s="191">
        <f t="shared" si="84"/>
        <v>-7.3972602739719506E-2</v>
      </c>
      <c r="AI60" s="191">
        <f t="shared" si="84"/>
        <v>-7.3972602739719506E-2</v>
      </c>
      <c r="AJ60" s="191">
        <f t="shared" si="84"/>
        <v>-7.3972602739719506E-2</v>
      </c>
      <c r="AK60" s="191">
        <f t="shared" si="84"/>
        <v>-7.3972602739719506E-2</v>
      </c>
      <c r="AL60" s="191">
        <f t="shared" si="84"/>
        <v>-7.3972602739719506E-2</v>
      </c>
      <c r="AM60" s="191">
        <f t="shared" si="84"/>
        <v>-7.3972602739719506E-2</v>
      </c>
      <c r="AN60" s="191">
        <f t="shared" si="84"/>
        <v>-7.3972602739719506E-2</v>
      </c>
      <c r="AO60" s="191">
        <f t="shared" si="84"/>
        <v>-7.3972602739719506E-2</v>
      </c>
      <c r="AP60" s="191">
        <f t="shared" ref="AP60:BD60" si="90">($M29-$L29)*(AP$38-$L$7)/($M$7-$L$7)+$L29</f>
        <v>-7.3972602739719506E-2</v>
      </c>
      <c r="AQ60" s="191">
        <f t="shared" si="90"/>
        <v>-7.3972602739719506E-2</v>
      </c>
      <c r="AR60" s="191">
        <f t="shared" si="90"/>
        <v>-7.3972602739719506E-2</v>
      </c>
      <c r="AS60" s="191">
        <f t="shared" si="90"/>
        <v>-7.3972602739719506E-2</v>
      </c>
      <c r="AT60" s="191">
        <f t="shared" si="90"/>
        <v>-7.3972602739719506E-2</v>
      </c>
      <c r="AU60" s="191">
        <f t="shared" si="90"/>
        <v>-7.3972602739719506E-2</v>
      </c>
      <c r="AV60" s="191">
        <f t="shared" si="90"/>
        <v>-7.3972602739719506E-2</v>
      </c>
      <c r="AW60" s="191">
        <f t="shared" si="90"/>
        <v>-7.3972602739719506E-2</v>
      </c>
      <c r="AX60" s="191">
        <f t="shared" si="90"/>
        <v>-7.3972602739719506E-2</v>
      </c>
      <c r="AY60" s="191">
        <f t="shared" si="90"/>
        <v>-7.3972602739719506E-2</v>
      </c>
      <c r="AZ60" s="191">
        <f t="shared" si="90"/>
        <v>-7.3972602739719506E-2</v>
      </c>
      <c r="BA60" s="191">
        <f t="shared" si="90"/>
        <v>-7.3972602739719506E-2</v>
      </c>
      <c r="BB60" s="191">
        <f t="shared" si="90"/>
        <v>-7.3972602739719506E-2</v>
      </c>
      <c r="BC60" s="191">
        <f t="shared" si="90"/>
        <v>-7.3972602739719506E-2</v>
      </c>
      <c r="BD60" s="191">
        <f t="shared" si="90"/>
        <v>-7.3972602739719506E-2</v>
      </c>
      <c r="BF60" s="145" t="s">
        <v>184</v>
      </c>
      <c r="BG60" s="22"/>
      <c r="BH60" s="214">
        <f>($S29-$R29)*(BH$38-$R$7)/($S$7-$R$7)+$R29</f>
        <v>-163.68041220616442</v>
      </c>
      <c r="BI60" s="210">
        <f t="shared" si="86"/>
        <v>-7.7671232876701496E-2</v>
      </c>
      <c r="BJ60" s="210">
        <f t="shared" si="86"/>
        <v>163.52506974041103</v>
      </c>
      <c r="BK60" s="210">
        <f t="shared" si="86"/>
        <v>327.12781071369875</v>
      </c>
      <c r="BL60" s="210">
        <f t="shared" si="86"/>
        <v>490.73055168698647</v>
      </c>
      <c r="BM60" s="210">
        <f t="shared" si="86"/>
        <v>654.3332926602742</v>
      </c>
      <c r="BN60" s="210">
        <f t="shared" si="86"/>
        <v>817.93603363356192</v>
      </c>
      <c r="BO60" s="210">
        <f t="shared" si="86"/>
        <v>981.53877460684964</v>
      </c>
      <c r="BP60" s="210">
        <f t="shared" si="86"/>
        <v>1145.1415155801374</v>
      </c>
      <c r="BQ60" s="210">
        <f t="shared" si="86"/>
        <v>1308.744256553425</v>
      </c>
      <c r="BR60" s="210">
        <f t="shared" ref="BR60:CF60" si="91">($T29-$S29)*(BR$38-$S$7)/($T$7-$S$7)+$S29</f>
        <v>1635.9497385000004</v>
      </c>
      <c r="BS60" s="210">
        <f t="shared" si="91"/>
        <v>1635.9497385000004</v>
      </c>
      <c r="BT60" s="210">
        <f t="shared" si="91"/>
        <v>1635.9497385000004</v>
      </c>
      <c r="BU60" s="210">
        <f t="shared" si="91"/>
        <v>1635.9497385000004</v>
      </c>
      <c r="BV60" s="210">
        <f t="shared" si="91"/>
        <v>1635.9497385000004</v>
      </c>
      <c r="BW60" s="210">
        <f t="shared" si="91"/>
        <v>1635.9497385000004</v>
      </c>
      <c r="BX60" s="210">
        <f t="shared" si="91"/>
        <v>1635.9497385000004</v>
      </c>
      <c r="BY60" s="210">
        <f t="shared" si="91"/>
        <v>1635.9497385000004</v>
      </c>
      <c r="BZ60" s="210">
        <f t="shared" si="91"/>
        <v>1635.9497385000004</v>
      </c>
      <c r="CA60" s="210">
        <f t="shared" si="91"/>
        <v>1635.9497385000004</v>
      </c>
      <c r="CB60" s="210">
        <f t="shared" si="91"/>
        <v>1635.9497385000004</v>
      </c>
      <c r="CC60" s="210">
        <f t="shared" si="91"/>
        <v>1635.9497385000004</v>
      </c>
      <c r="CD60" s="210">
        <f t="shared" si="91"/>
        <v>1635.9497385000004</v>
      </c>
      <c r="CE60" s="210">
        <f t="shared" si="91"/>
        <v>1635.9497385000004</v>
      </c>
      <c r="CF60" s="210">
        <f t="shared" si="91"/>
        <v>1635.9497385000004</v>
      </c>
    </row>
    <row r="61" spans="2:84">
      <c r="B61" s="21" t="s">
        <v>45</v>
      </c>
      <c r="C61" s="153"/>
      <c r="D61" s="213">
        <f t="shared" ref="D61:M61" si="92">($E30-$D30)*(D$38-$D$7)/($E$7-$D$7)+$D30</f>
        <v>0</v>
      </c>
      <c r="E61" s="153">
        <f t="shared" si="92"/>
        <v>0</v>
      </c>
      <c r="F61" s="153">
        <f t="shared" si="92"/>
        <v>0</v>
      </c>
      <c r="G61" s="153">
        <f t="shared" si="92"/>
        <v>0</v>
      </c>
      <c r="H61" s="153">
        <f t="shared" si="92"/>
        <v>0</v>
      </c>
      <c r="I61" s="153">
        <f t="shared" si="92"/>
        <v>0</v>
      </c>
      <c r="J61" s="153">
        <f t="shared" si="92"/>
        <v>0</v>
      </c>
      <c r="K61" s="153">
        <f t="shared" si="92"/>
        <v>0</v>
      </c>
      <c r="L61" s="153">
        <f t="shared" si="92"/>
        <v>0</v>
      </c>
      <c r="M61" s="153">
        <f t="shared" si="92"/>
        <v>0</v>
      </c>
      <c r="N61" s="153">
        <f t="shared" ref="N61:AB61" si="93">($F30-$E30)*(N$38-$E$7)/($F$7-$E$7)+$E30</f>
        <v>0</v>
      </c>
      <c r="O61" s="153">
        <f t="shared" si="93"/>
        <v>0</v>
      </c>
      <c r="P61" s="153">
        <f t="shared" si="93"/>
        <v>0</v>
      </c>
      <c r="Q61" s="153">
        <f t="shared" si="93"/>
        <v>0</v>
      </c>
      <c r="R61" s="153">
        <f t="shared" si="93"/>
        <v>0</v>
      </c>
      <c r="S61" s="153">
        <f t="shared" si="93"/>
        <v>0</v>
      </c>
      <c r="T61" s="153">
        <f t="shared" si="93"/>
        <v>0</v>
      </c>
      <c r="U61" s="153">
        <f t="shared" si="93"/>
        <v>0</v>
      </c>
      <c r="V61" s="153">
        <f t="shared" si="93"/>
        <v>0</v>
      </c>
      <c r="W61" s="153">
        <f t="shared" si="93"/>
        <v>0</v>
      </c>
      <c r="X61" s="153">
        <f t="shared" si="93"/>
        <v>0</v>
      </c>
      <c r="Y61" s="153">
        <f t="shared" si="93"/>
        <v>0</v>
      </c>
      <c r="Z61" s="153">
        <f t="shared" si="93"/>
        <v>0</v>
      </c>
      <c r="AA61" s="153">
        <f t="shared" si="93"/>
        <v>0</v>
      </c>
      <c r="AB61" s="153">
        <f t="shared" si="93"/>
        <v>0</v>
      </c>
      <c r="AD61" s="21" t="s">
        <v>45</v>
      </c>
      <c r="AE61" s="191"/>
      <c r="AF61" s="191">
        <f t="shared" ref="AF61:AO61" si="94">($L30-$K30)*(AF$38-$K$7)/($L$7-$K$7)+$K30</f>
        <v>1635.9497385000004</v>
      </c>
      <c r="AG61" s="191">
        <f t="shared" si="94"/>
        <v>1635.9497385000004</v>
      </c>
      <c r="AH61" s="191">
        <f t="shared" si="94"/>
        <v>1635.9497385000004</v>
      </c>
      <c r="AI61" s="191">
        <f t="shared" si="94"/>
        <v>1635.9497385000004</v>
      </c>
      <c r="AJ61" s="191">
        <f t="shared" si="94"/>
        <v>1635.9497385000004</v>
      </c>
      <c r="AK61" s="191">
        <f t="shared" si="94"/>
        <v>1635.9497385000004</v>
      </c>
      <c r="AL61" s="191">
        <f t="shared" si="94"/>
        <v>1635.9497385000004</v>
      </c>
      <c r="AM61" s="191">
        <f t="shared" si="94"/>
        <v>1635.9497385000004</v>
      </c>
      <c r="AN61" s="191">
        <f t="shared" si="94"/>
        <v>1635.9497385000004</v>
      </c>
      <c r="AO61" s="191">
        <f t="shared" si="94"/>
        <v>1635.9497385000004</v>
      </c>
      <c r="AP61" s="191">
        <f t="shared" ref="AP61:BD61" si="95">($M30-$L30)*(AP$38-$L$7)/($M$7-$L$7)+$L30</f>
        <v>1635.9497385000004</v>
      </c>
      <c r="AQ61" s="191">
        <f t="shared" si="95"/>
        <v>1635.9497385000004</v>
      </c>
      <c r="AR61" s="191">
        <f t="shared" si="95"/>
        <v>1635.9497385000004</v>
      </c>
      <c r="AS61" s="191">
        <f t="shared" si="95"/>
        <v>1635.9497385000004</v>
      </c>
      <c r="AT61" s="191">
        <f t="shared" si="95"/>
        <v>1635.9497385000004</v>
      </c>
      <c r="AU61" s="191">
        <f t="shared" si="95"/>
        <v>1635.9497385000004</v>
      </c>
      <c r="AV61" s="191">
        <f t="shared" si="95"/>
        <v>1635.9497385000004</v>
      </c>
      <c r="AW61" s="191">
        <f t="shared" si="95"/>
        <v>1635.9497385000004</v>
      </c>
      <c r="AX61" s="191">
        <f t="shared" si="95"/>
        <v>1635.9497385000004</v>
      </c>
      <c r="AY61" s="191">
        <f t="shared" si="95"/>
        <v>1635.9497385000004</v>
      </c>
      <c r="AZ61" s="191">
        <f t="shared" si="95"/>
        <v>1635.9497385000004</v>
      </c>
      <c r="BA61" s="191">
        <f t="shared" si="95"/>
        <v>1635.9497385000004</v>
      </c>
      <c r="BB61" s="191">
        <f t="shared" si="95"/>
        <v>1635.9497385000004</v>
      </c>
      <c r="BC61" s="191">
        <f t="shared" si="95"/>
        <v>1635.9497385000004</v>
      </c>
      <c r="BD61" s="191">
        <f t="shared" si="95"/>
        <v>1635.9497385000004</v>
      </c>
      <c r="BF61" s="21" t="s">
        <v>45</v>
      </c>
      <c r="BG61" s="22"/>
      <c r="BH61" s="214">
        <f>($S30-$R30)*(BH$38-$R$7)/($S$7-$R$7)+$R30</f>
        <v>1635.9497385000004</v>
      </c>
      <c r="BI61" s="210">
        <f t="shared" ref="BI61:BQ61" si="96">($S30-$R30)*(BI$38-$R$7)/($S$7-$R$7)+$R30</f>
        <v>1635.9497385000004</v>
      </c>
      <c r="BJ61" s="210">
        <f t="shared" si="96"/>
        <v>1635.9497385000004</v>
      </c>
      <c r="BK61" s="210">
        <f t="shared" si="96"/>
        <v>1635.9497385000004</v>
      </c>
      <c r="BL61" s="210">
        <f t="shared" si="96"/>
        <v>1635.9497385000004</v>
      </c>
      <c r="BM61" s="210">
        <f t="shared" si="96"/>
        <v>1635.9497385000004</v>
      </c>
      <c r="BN61" s="210">
        <f t="shared" si="96"/>
        <v>1635.9497385000004</v>
      </c>
      <c r="BO61" s="210">
        <f t="shared" si="96"/>
        <v>1635.9497385000004</v>
      </c>
      <c r="BP61" s="210">
        <f t="shared" si="96"/>
        <v>1635.9497385000004</v>
      </c>
      <c r="BQ61" s="210">
        <f t="shared" si="96"/>
        <v>1635.9497385000004</v>
      </c>
      <c r="BR61" s="210">
        <f t="shared" ref="BR61:CF61" si="97">($T30-$S30)*(BR$38-$S$7)/($T$7-$S$7)+$S30</f>
        <v>1635.9497385000004</v>
      </c>
      <c r="BS61" s="210">
        <f t="shared" si="97"/>
        <v>1635.9497385000004</v>
      </c>
      <c r="BT61" s="210">
        <f t="shared" si="97"/>
        <v>1635.9497385000004</v>
      </c>
      <c r="BU61" s="210">
        <f t="shared" si="97"/>
        <v>1635.9497385000004</v>
      </c>
      <c r="BV61" s="210">
        <f t="shared" si="97"/>
        <v>1635.9497385000004</v>
      </c>
      <c r="BW61" s="210">
        <f t="shared" si="97"/>
        <v>1635.9497385000004</v>
      </c>
      <c r="BX61" s="210">
        <f t="shared" si="97"/>
        <v>1635.9497385000004</v>
      </c>
      <c r="BY61" s="210">
        <f t="shared" si="97"/>
        <v>1635.9497385000004</v>
      </c>
      <c r="BZ61" s="210">
        <f t="shared" si="97"/>
        <v>1635.9497385000004</v>
      </c>
      <c r="CA61" s="210">
        <f t="shared" si="97"/>
        <v>1635.9497385000004</v>
      </c>
      <c r="CB61" s="210">
        <f t="shared" si="97"/>
        <v>1635.9497385000004</v>
      </c>
      <c r="CC61" s="210">
        <f t="shared" si="97"/>
        <v>1635.9497385000004</v>
      </c>
      <c r="CD61" s="210">
        <f t="shared" si="97"/>
        <v>1635.9497385000004</v>
      </c>
      <c r="CE61" s="210">
        <f t="shared" si="97"/>
        <v>1635.9497385000004</v>
      </c>
      <c r="CF61" s="210">
        <f t="shared" si="97"/>
        <v>1635.9497385000004</v>
      </c>
    </row>
    <row r="62" spans="2:84" ht="15" thickBot="1">
      <c r="B62" s="33" t="s">
        <v>46</v>
      </c>
      <c r="C62" s="156"/>
      <c r="D62" s="218">
        <f t="shared" ref="D62:M62" si="98">($E31-$D31)*(D$38-$D$7)/($E$7-$D$7)+$D31</f>
        <v>0</v>
      </c>
      <c r="E62" s="156">
        <f t="shared" si="98"/>
        <v>0</v>
      </c>
      <c r="F62" s="156">
        <f t="shared" si="98"/>
        <v>0</v>
      </c>
      <c r="G62" s="156">
        <f t="shared" si="98"/>
        <v>0</v>
      </c>
      <c r="H62" s="156">
        <f t="shared" si="98"/>
        <v>0</v>
      </c>
      <c r="I62" s="156">
        <f t="shared" si="98"/>
        <v>0</v>
      </c>
      <c r="J62" s="156">
        <f t="shared" si="98"/>
        <v>0</v>
      </c>
      <c r="K62" s="156">
        <f t="shared" si="98"/>
        <v>0</v>
      </c>
      <c r="L62" s="156">
        <f t="shared" si="98"/>
        <v>0</v>
      </c>
      <c r="M62" s="156">
        <f t="shared" si="98"/>
        <v>0</v>
      </c>
      <c r="N62" s="156">
        <f t="shared" ref="N62:AB62" si="99">($F31-$E31)*(N$38-$E$7)/($F$7-$E$7)+$E31</f>
        <v>0</v>
      </c>
      <c r="O62" s="156">
        <f t="shared" si="99"/>
        <v>0</v>
      </c>
      <c r="P62" s="156">
        <f t="shared" si="99"/>
        <v>0</v>
      </c>
      <c r="Q62" s="156">
        <f t="shared" si="99"/>
        <v>0</v>
      </c>
      <c r="R62" s="156">
        <f t="shared" si="99"/>
        <v>0</v>
      </c>
      <c r="S62" s="156">
        <f t="shared" si="99"/>
        <v>0</v>
      </c>
      <c r="T62" s="156">
        <f t="shared" si="99"/>
        <v>0</v>
      </c>
      <c r="U62" s="156">
        <f t="shared" si="99"/>
        <v>0</v>
      </c>
      <c r="V62" s="156">
        <f t="shared" si="99"/>
        <v>0</v>
      </c>
      <c r="W62" s="156">
        <f t="shared" si="99"/>
        <v>0</v>
      </c>
      <c r="X62" s="156">
        <f t="shared" si="99"/>
        <v>0</v>
      </c>
      <c r="Y62" s="156">
        <f t="shared" si="99"/>
        <v>0</v>
      </c>
      <c r="Z62" s="156">
        <f t="shared" si="99"/>
        <v>0</v>
      </c>
      <c r="AA62" s="156">
        <f t="shared" si="99"/>
        <v>0</v>
      </c>
      <c r="AB62" s="156">
        <f t="shared" si="99"/>
        <v>0</v>
      </c>
      <c r="AD62" s="33" t="s">
        <v>46</v>
      </c>
      <c r="AE62" s="195"/>
      <c r="AF62" s="191">
        <f t="shared" ref="AF62:AO62" si="100">($L31-$K31)*(AF$38-$K$7)/($L$7-$K$7)+$K31</f>
        <v>0</v>
      </c>
      <c r="AG62" s="191">
        <f t="shared" si="100"/>
        <v>0</v>
      </c>
      <c r="AH62" s="191">
        <f t="shared" si="100"/>
        <v>0</v>
      </c>
      <c r="AI62" s="191">
        <f t="shared" si="100"/>
        <v>0</v>
      </c>
      <c r="AJ62" s="191">
        <f t="shared" si="100"/>
        <v>0</v>
      </c>
      <c r="AK62" s="191">
        <f t="shared" si="100"/>
        <v>0</v>
      </c>
      <c r="AL62" s="191">
        <f t="shared" si="100"/>
        <v>0</v>
      </c>
      <c r="AM62" s="191">
        <f t="shared" si="100"/>
        <v>0</v>
      </c>
      <c r="AN62" s="191">
        <f t="shared" si="100"/>
        <v>0</v>
      </c>
      <c r="AO62" s="191">
        <f t="shared" si="100"/>
        <v>0</v>
      </c>
      <c r="AP62" s="191">
        <f t="shared" ref="AP62:BD62" si="101">($M31-$L31)*(AP$38-$L$7)/($M$7-$L$7)+$L31</f>
        <v>0</v>
      </c>
      <c r="AQ62" s="191">
        <f t="shared" si="101"/>
        <v>0</v>
      </c>
      <c r="AR62" s="191">
        <f t="shared" si="101"/>
        <v>0</v>
      </c>
      <c r="AS62" s="191">
        <f t="shared" si="101"/>
        <v>0</v>
      </c>
      <c r="AT62" s="191">
        <f t="shared" si="101"/>
        <v>0</v>
      </c>
      <c r="AU62" s="191">
        <f t="shared" si="101"/>
        <v>0</v>
      </c>
      <c r="AV62" s="191">
        <f t="shared" si="101"/>
        <v>0</v>
      </c>
      <c r="AW62" s="191">
        <f t="shared" si="101"/>
        <v>0</v>
      </c>
      <c r="AX62" s="191">
        <f t="shared" si="101"/>
        <v>0</v>
      </c>
      <c r="AY62" s="191">
        <f t="shared" si="101"/>
        <v>0</v>
      </c>
      <c r="AZ62" s="191">
        <f t="shared" si="101"/>
        <v>0</v>
      </c>
      <c r="BA62" s="191">
        <f t="shared" si="101"/>
        <v>0</v>
      </c>
      <c r="BB62" s="191">
        <f t="shared" si="101"/>
        <v>0</v>
      </c>
      <c r="BC62" s="191">
        <f t="shared" si="101"/>
        <v>0</v>
      </c>
      <c r="BD62" s="191">
        <f t="shared" si="101"/>
        <v>0</v>
      </c>
      <c r="BF62" s="33" t="s">
        <v>46</v>
      </c>
      <c r="BG62" s="34"/>
      <c r="BH62" s="214">
        <f>($S31-$R31)*(BH$38-$R$7)/($S$7-$R$7)+$R31</f>
        <v>0</v>
      </c>
      <c r="BI62" s="210">
        <f t="shared" ref="BI62:BQ62" si="102">($S31-$R31)*(BI$38-$R$7)/($S$7-$R$7)+$R31</f>
        <v>0</v>
      </c>
      <c r="BJ62" s="210">
        <f t="shared" si="102"/>
        <v>0</v>
      </c>
      <c r="BK62" s="210">
        <f t="shared" si="102"/>
        <v>0</v>
      </c>
      <c r="BL62" s="210">
        <f t="shared" si="102"/>
        <v>0</v>
      </c>
      <c r="BM62" s="210">
        <f t="shared" si="102"/>
        <v>0</v>
      </c>
      <c r="BN62" s="210">
        <f t="shared" si="102"/>
        <v>0</v>
      </c>
      <c r="BO62" s="210">
        <f t="shared" si="102"/>
        <v>0</v>
      </c>
      <c r="BP62" s="210">
        <f t="shared" si="102"/>
        <v>0</v>
      </c>
      <c r="BQ62" s="210">
        <f t="shared" si="102"/>
        <v>0</v>
      </c>
      <c r="BR62" s="210">
        <f t="shared" ref="BR62:CF62" si="103">($T31-$S31)*(BR$38-$S$7)/($T$7-$S$7)+$S31</f>
        <v>0</v>
      </c>
      <c r="BS62" s="210">
        <f t="shared" si="103"/>
        <v>0</v>
      </c>
      <c r="BT62" s="210">
        <f t="shared" si="103"/>
        <v>0</v>
      </c>
      <c r="BU62" s="210">
        <f t="shared" si="103"/>
        <v>0</v>
      </c>
      <c r="BV62" s="210">
        <f t="shared" si="103"/>
        <v>0</v>
      </c>
      <c r="BW62" s="210">
        <f t="shared" si="103"/>
        <v>0</v>
      </c>
      <c r="BX62" s="210">
        <f t="shared" si="103"/>
        <v>0</v>
      </c>
      <c r="BY62" s="210">
        <f t="shared" si="103"/>
        <v>0</v>
      </c>
      <c r="BZ62" s="210">
        <f t="shared" si="103"/>
        <v>0</v>
      </c>
      <c r="CA62" s="210">
        <f t="shared" si="103"/>
        <v>0</v>
      </c>
      <c r="CB62" s="210">
        <f t="shared" si="103"/>
        <v>0</v>
      </c>
      <c r="CC62" s="210">
        <f t="shared" si="103"/>
        <v>0</v>
      </c>
      <c r="CD62" s="210">
        <f t="shared" si="103"/>
        <v>0</v>
      </c>
      <c r="CE62" s="210">
        <f t="shared" si="103"/>
        <v>0</v>
      </c>
      <c r="CF62" s="210">
        <f t="shared" si="103"/>
        <v>0</v>
      </c>
    </row>
    <row r="63" spans="2:84">
      <c r="D63" s="9"/>
      <c r="E63" s="9"/>
      <c r="F63" s="9"/>
      <c r="G63" s="9"/>
      <c r="H63" s="9"/>
      <c r="I63" s="9"/>
      <c r="J63" s="9"/>
      <c r="K63" s="9"/>
      <c r="L63" s="9"/>
      <c r="M63" s="9"/>
      <c r="N63" s="9"/>
      <c r="O63" s="9"/>
      <c r="P63" s="9"/>
      <c r="Q63" s="9"/>
      <c r="R63" s="9"/>
      <c r="S63" s="9"/>
      <c r="T63" s="9"/>
      <c r="U63" s="9"/>
      <c r="V63" s="9"/>
      <c r="W63" s="9"/>
      <c r="X63" s="9"/>
      <c r="Y63" s="9"/>
      <c r="Z63" s="9"/>
      <c r="AA63" s="9"/>
      <c r="AB63" s="9"/>
    </row>
    <row r="64" spans="2:84" ht="15" thickBot="1">
      <c r="D64" s="9"/>
      <c r="E64" s="9"/>
      <c r="F64" s="9"/>
      <c r="G64" s="9"/>
      <c r="H64" s="9"/>
      <c r="I64" s="9"/>
      <c r="J64" s="9"/>
      <c r="K64" s="9"/>
      <c r="L64" s="9"/>
      <c r="M64" s="9"/>
      <c r="N64" s="9"/>
      <c r="O64" s="9"/>
      <c r="P64" s="9"/>
      <c r="Q64" s="9"/>
      <c r="R64" s="9"/>
      <c r="S64" s="9"/>
      <c r="T64" s="9"/>
      <c r="U64" s="9"/>
      <c r="V64" s="9"/>
      <c r="W64" s="9"/>
      <c r="X64" s="9"/>
      <c r="Y64" s="9"/>
      <c r="Z64" s="9"/>
      <c r="AA64" s="9"/>
      <c r="AB64" s="9"/>
      <c r="AE64" t="s">
        <v>122</v>
      </c>
      <c r="BQ64" t="s">
        <v>122</v>
      </c>
      <c r="BR64" t="s">
        <v>122</v>
      </c>
    </row>
    <row r="65" spans="2:84">
      <c r="B65" s="39" t="s">
        <v>37</v>
      </c>
      <c r="C65" s="19"/>
      <c r="D65" s="157"/>
      <c r="E65" s="157"/>
      <c r="F65" s="157"/>
      <c r="G65" s="157"/>
      <c r="H65" s="157"/>
      <c r="I65" s="157"/>
      <c r="J65" s="157"/>
      <c r="K65" s="157"/>
      <c r="L65" s="157"/>
      <c r="M65" s="157"/>
      <c r="N65" s="157"/>
      <c r="O65" s="157"/>
      <c r="P65" s="157"/>
      <c r="Q65" s="157"/>
      <c r="R65" s="157"/>
      <c r="S65" s="157"/>
      <c r="T65" s="157"/>
      <c r="U65" s="157"/>
      <c r="V65" s="157"/>
      <c r="W65" s="157"/>
      <c r="X65" s="157"/>
      <c r="Y65" s="157"/>
      <c r="Z65" s="157"/>
      <c r="AA65" s="157"/>
      <c r="AB65" s="157"/>
      <c r="AD65" s="39" t="s">
        <v>37</v>
      </c>
      <c r="AE65" s="19"/>
      <c r="AF65" s="157"/>
      <c r="AG65" s="157"/>
      <c r="AH65" s="157"/>
      <c r="AI65" s="157"/>
      <c r="AJ65" s="157"/>
      <c r="AK65" s="157"/>
      <c r="AL65" s="157"/>
      <c r="AM65" s="157"/>
      <c r="AN65" s="157"/>
      <c r="AO65" s="157"/>
      <c r="AP65" s="157"/>
      <c r="AQ65" s="157"/>
      <c r="AR65" s="157"/>
      <c r="AS65" s="157"/>
      <c r="AT65" s="157"/>
      <c r="AU65" s="157"/>
      <c r="AV65" s="157"/>
      <c r="AW65" s="157"/>
      <c r="AX65" s="157"/>
      <c r="AY65" s="157"/>
      <c r="AZ65" s="157"/>
      <c r="BA65" s="157"/>
      <c r="BB65" s="157"/>
      <c r="BC65" s="157"/>
      <c r="BD65" s="157"/>
      <c r="BF65" s="39" t="s">
        <v>37</v>
      </c>
      <c r="BG65" s="19"/>
      <c r="BH65" s="157"/>
      <c r="BI65" s="157"/>
      <c r="BJ65" s="157"/>
      <c r="BK65" s="157"/>
      <c r="BL65" s="157"/>
      <c r="BM65" s="157"/>
      <c r="BN65" s="157"/>
      <c r="BO65" s="157"/>
      <c r="BP65" s="157"/>
      <c r="BQ65" s="157"/>
      <c r="BR65" s="157"/>
      <c r="BS65" s="157"/>
      <c r="BT65" s="157"/>
      <c r="BU65" s="157"/>
      <c r="BV65" s="157"/>
      <c r="BW65" s="157"/>
      <c r="BX65" s="157"/>
      <c r="BY65" s="157"/>
      <c r="BZ65" s="157"/>
      <c r="CA65" s="157"/>
      <c r="CB65" s="157"/>
      <c r="CC65" s="157"/>
      <c r="CD65" s="157"/>
      <c r="CE65" s="157"/>
      <c r="CF65" s="157"/>
    </row>
    <row r="66" spans="2:84">
      <c r="B66" s="158" t="s">
        <v>47</v>
      </c>
      <c r="C66" s="22"/>
      <c r="D66" s="159"/>
      <c r="E66" s="159"/>
      <c r="F66" s="159"/>
      <c r="G66" s="159"/>
      <c r="H66" s="159"/>
      <c r="I66" s="159"/>
      <c r="J66" s="159"/>
      <c r="K66" s="159"/>
      <c r="L66" s="159"/>
      <c r="M66" s="159"/>
      <c r="N66" s="159"/>
      <c r="O66" s="159"/>
      <c r="P66" s="159"/>
      <c r="Q66" s="159"/>
      <c r="R66" s="159"/>
      <c r="S66" s="159"/>
      <c r="T66" s="159"/>
      <c r="U66" s="159"/>
      <c r="V66" s="159"/>
      <c r="W66" s="159"/>
      <c r="X66" s="159"/>
      <c r="Y66" s="159"/>
      <c r="Z66" s="159"/>
      <c r="AA66" s="159"/>
      <c r="AB66" s="159"/>
      <c r="AD66" s="158" t="s">
        <v>47</v>
      </c>
      <c r="AF66" s="159"/>
      <c r="AG66" s="159"/>
      <c r="AH66" s="159"/>
      <c r="AI66" s="159"/>
      <c r="AJ66" s="159"/>
      <c r="AK66" s="159"/>
      <c r="AL66" s="159"/>
      <c r="AM66" s="159"/>
      <c r="AN66" s="159"/>
      <c r="AO66" s="159"/>
      <c r="AP66" s="159"/>
      <c r="AQ66" s="159"/>
      <c r="AR66" s="159"/>
      <c r="AS66" s="159"/>
      <c r="AT66" s="159"/>
      <c r="AU66" s="159"/>
      <c r="AV66" s="159"/>
      <c r="AW66" s="159"/>
      <c r="AX66" s="159"/>
      <c r="AY66" s="159"/>
      <c r="AZ66" s="159"/>
      <c r="BA66" s="159"/>
      <c r="BB66" s="159"/>
      <c r="BC66" s="159"/>
      <c r="BD66" s="159"/>
      <c r="BF66" s="158" t="s">
        <v>47</v>
      </c>
      <c r="BG66" s="22"/>
      <c r="BH66" s="159"/>
      <c r="BI66" s="159"/>
      <c r="BJ66" s="159"/>
      <c r="BK66" s="159"/>
      <c r="BL66" s="159"/>
      <c r="BM66" s="159"/>
      <c r="BN66" s="159"/>
      <c r="BO66" s="159"/>
      <c r="BP66" s="159"/>
      <c r="BQ66" s="159"/>
      <c r="BR66" s="159"/>
      <c r="BS66" s="159"/>
      <c r="BT66" s="159"/>
      <c r="BU66" s="159"/>
      <c r="BV66" s="159"/>
      <c r="BW66" s="159"/>
      <c r="BX66" s="159"/>
      <c r="BY66" s="159"/>
      <c r="BZ66" s="159"/>
      <c r="CA66" s="159"/>
      <c r="CB66" s="159"/>
      <c r="CC66" s="159"/>
      <c r="CD66" s="159"/>
      <c r="CE66" s="159"/>
      <c r="CF66" s="159"/>
    </row>
    <row r="67" spans="2:84">
      <c r="B67" s="151" t="s">
        <v>44</v>
      </c>
      <c r="C67" s="22"/>
      <c r="D67" s="159"/>
      <c r="E67" s="159"/>
      <c r="F67" s="159"/>
      <c r="G67" s="159"/>
      <c r="H67" s="159"/>
      <c r="I67" s="159"/>
      <c r="J67" s="159"/>
      <c r="K67" s="159"/>
      <c r="L67" s="159"/>
      <c r="M67" s="159"/>
      <c r="N67" s="159"/>
      <c r="O67" s="159"/>
      <c r="P67" s="159"/>
      <c r="Q67" s="159"/>
      <c r="R67" s="159"/>
      <c r="S67" s="159"/>
      <c r="T67" s="159"/>
      <c r="U67" s="159"/>
      <c r="V67" s="159"/>
      <c r="W67" s="159"/>
      <c r="X67" s="159"/>
      <c r="Y67" s="159"/>
      <c r="Z67" s="159"/>
      <c r="AA67" s="159"/>
      <c r="AB67" s="159"/>
      <c r="AD67" s="151" t="s">
        <v>44</v>
      </c>
      <c r="AF67" s="159"/>
      <c r="AG67" s="159"/>
      <c r="AH67" s="159"/>
      <c r="AI67" s="159"/>
      <c r="AJ67" s="159"/>
      <c r="AK67" s="159"/>
      <c r="AL67" s="159"/>
      <c r="AM67" s="159"/>
      <c r="AN67" s="159"/>
      <c r="AO67" s="159"/>
      <c r="AP67" s="159"/>
      <c r="AQ67" s="159"/>
      <c r="AR67" s="159"/>
      <c r="AS67" s="159"/>
      <c r="AT67" s="159"/>
      <c r="AU67" s="159"/>
      <c r="AV67" s="159"/>
      <c r="AW67" s="159"/>
      <c r="AX67" s="159"/>
      <c r="AY67" s="159"/>
      <c r="AZ67" s="159"/>
      <c r="BA67" s="159"/>
      <c r="BB67" s="159"/>
      <c r="BC67" s="159"/>
      <c r="BD67" s="159"/>
      <c r="BF67" s="151" t="s">
        <v>44</v>
      </c>
      <c r="BG67" s="22"/>
      <c r="BH67" s="159"/>
      <c r="BI67" s="159"/>
      <c r="BJ67" s="159"/>
      <c r="BK67" s="159"/>
      <c r="BL67" s="159"/>
      <c r="BM67" s="159"/>
      <c r="BN67" s="159"/>
      <c r="BO67" s="159"/>
      <c r="BP67" s="159"/>
      <c r="BQ67" s="159"/>
      <c r="BR67" s="159"/>
      <c r="BS67" s="159"/>
      <c r="BT67" s="159"/>
      <c r="BU67" s="159"/>
      <c r="BV67" s="159"/>
      <c r="BW67" s="159"/>
      <c r="BX67" s="159"/>
      <c r="BY67" s="159"/>
      <c r="BZ67" s="159"/>
      <c r="CA67" s="159"/>
      <c r="CB67" s="159"/>
      <c r="CC67" s="159"/>
      <c r="CD67" s="159"/>
      <c r="CE67" s="159"/>
      <c r="CF67" s="159"/>
    </row>
    <row r="68" spans="2:84">
      <c r="B68" s="151"/>
      <c r="C68" s="22"/>
      <c r="D68" s="159"/>
      <c r="E68" s="159"/>
      <c r="F68" s="159"/>
      <c r="G68" s="159"/>
      <c r="H68" s="159"/>
      <c r="I68" s="159"/>
      <c r="J68" s="159"/>
      <c r="K68" s="159"/>
      <c r="L68" s="159"/>
      <c r="M68" s="159"/>
      <c r="N68" s="159"/>
      <c r="O68" s="159"/>
      <c r="P68" s="159"/>
      <c r="Q68" s="159"/>
      <c r="R68" s="159"/>
      <c r="S68" s="159"/>
      <c r="T68" s="159"/>
      <c r="U68" s="159"/>
      <c r="V68" s="159"/>
      <c r="W68" s="159"/>
      <c r="X68" s="159"/>
      <c r="Y68" s="159"/>
      <c r="Z68" s="159"/>
      <c r="AA68" s="159"/>
      <c r="AB68" s="159"/>
      <c r="AD68" s="151"/>
      <c r="AF68" s="159"/>
      <c r="AG68" s="159"/>
      <c r="AH68" s="159"/>
      <c r="AI68" s="159"/>
      <c r="AJ68" s="159"/>
      <c r="AK68" s="159"/>
      <c r="AL68" s="159"/>
      <c r="AM68" s="159"/>
      <c r="AN68" s="159"/>
      <c r="AO68" s="159"/>
      <c r="AP68" s="159"/>
      <c r="AQ68" s="159"/>
      <c r="AR68" s="159"/>
      <c r="AS68" s="159"/>
      <c r="AT68" s="159"/>
      <c r="AU68" s="159"/>
      <c r="AV68" s="159"/>
      <c r="AW68" s="159"/>
      <c r="AX68" s="159"/>
      <c r="AY68" s="159"/>
      <c r="AZ68" s="159"/>
      <c r="BA68" s="159"/>
      <c r="BB68" s="159"/>
      <c r="BC68" s="159"/>
      <c r="BD68" s="159"/>
      <c r="BF68" s="151"/>
      <c r="BG68" s="22"/>
      <c r="BH68" s="159"/>
      <c r="BI68" s="159"/>
      <c r="BJ68" s="159"/>
      <c r="BK68" s="159"/>
      <c r="BL68" s="159"/>
      <c r="BM68" s="159"/>
      <c r="BN68" s="159"/>
      <c r="BO68" s="159"/>
      <c r="BP68" s="159"/>
      <c r="BQ68" s="159"/>
      <c r="BR68" s="159"/>
      <c r="BS68" s="159"/>
      <c r="BT68" s="159"/>
      <c r="BU68" s="159"/>
      <c r="BV68" s="159"/>
      <c r="BW68" s="159"/>
      <c r="BX68" s="159"/>
      <c r="BY68" s="159"/>
      <c r="BZ68" s="159"/>
      <c r="CA68" s="159"/>
      <c r="CB68" s="159"/>
      <c r="CC68" s="159"/>
      <c r="CD68" s="159"/>
      <c r="CE68" s="159"/>
      <c r="CF68" s="159"/>
    </row>
    <row r="69" spans="2:84">
      <c r="B69" s="90" t="s">
        <v>185</v>
      </c>
      <c r="C69" s="58"/>
      <c r="D69" s="58">
        <f t="shared" ref="D69:AB69" si="104">D$58*D59+(D$52-D$58)*D53+(D$46-D$52)*D47+(D$40-D$46)*D41</f>
        <v>0</v>
      </c>
      <c r="E69" s="58">
        <f t="shared" si="104"/>
        <v>0</v>
      </c>
      <c r="F69" s="58">
        <f t="shared" si="104"/>
        <v>0</v>
      </c>
      <c r="G69" s="58">
        <f t="shared" si="104"/>
        <v>0</v>
      </c>
      <c r="H69" s="58">
        <f t="shared" si="104"/>
        <v>0</v>
      </c>
      <c r="I69" s="58">
        <f t="shared" si="104"/>
        <v>0</v>
      </c>
      <c r="J69" s="58">
        <f t="shared" si="104"/>
        <v>0</v>
      </c>
      <c r="K69" s="58">
        <f t="shared" si="104"/>
        <v>0</v>
      </c>
      <c r="L69" s="58">
        <f t="shared" si="104"/>
        <v>0</v>
      </c>
      <c r="M69" s="58">
        <f t="shared" si="104"/>
        <v>0</v>
      </c>
      <c r="N69" s="58">
        <f t="shared" si="104"/>
        <v>0</v>
      </c>
      <c r="O69" s="58">
        <f t="shared" si="104"/>
        <v>0</v>
      </c>
      <c r="P69" s="58">
        <f t="shared" si="104"/>
        <v>0</v>
      </c>
      <c r="Q69" s="58">
        <f t="shared" si="104"/>
        <v>0</v>
      </c>
      <c r="R69" s="58">
        <f t="shared" si="104"/>
        <v>0</v>
      </c>
      <c r="S69" s="58">
        <f t="shared" si="104"/>
        <v>0</v>
      </c>
      <c r="T69" s="58">
        <f t="shared" si="104"/>
        <v>0</v>
      </c>
      <c r="U69" s="58">
        <f t="shared" si="104"/>
        <v>0</v>
      </c>
      <c r="V69" s="58">
        <f t="shared" si="104"/>
        <v>0</v>
      </c>
      <c r="W69" s="58">
        <f t="shared" si="104"/>
        <v>0</v>
      </c>
      <c r="X69" s="58">
        <f t="shared" si="104"/>
        <v>0</v>
      </c>
      <c r="Y69" s="58">
        <f t="shared" si="104"/>
        <v>0</v>
      </c>
      <c r="Z69" s="58">
        <f t="shared" si="104"/>
        <v>0</v>
      </c>
      <c r="AA69" s="58">
        <f t="shared" si="104"/>
        <v>0</v>
      </c>
      <c r="AB69" s="58">
        <f t="shared" si="104"/>
        <v>0</v>
      </c>
      <c r="AD69" s="90" t="s">
        <v>48</v>
      </c>
      <c r="AE69" s="58"/>
      <c r="AF69" s="58">
        <f t="shared" ref="AF69:BD69" si="105">AF$58*AF59+(AF$52-AF$58)*AF53+(AF$46-AF$52)*AF47+(AF$40-AF$46)*AF41</f>
        <v>-4.1589616438355854E-2</v>
      </c>
      <c r="AG69" s="58">
        <f t="shared" si="105"/>
        <v>-4.6210684931506492E-2</v>
      </c>
      <c r="AH69" s="58">
        <f t="shared" si="105"/>
        <v>-5.0831753424657143E-2</v>
      </c>
      <c r="AI69" s="58">
        <f t="shared" si="105"/>
        <v>-5.5452821917807794E-2</v>
      </c>
      <c r="AJ69" s="58">
        <f t="shared" si="105"/>
        <v>-6.0073890410958439E-2</v>
      </c>
      <c r="AK69" s="58">
        <f t="shared" si="105"/>
        <v>-6.469495890410909E-2</v>
      </c>
      <c r="AL69" s="58">
        <f t="shared" si="105"/>
        <v>-6.9316027397259741E-2</v>
      </c>
      <c r="AM69" s="58">
        <f t="shared" si="105"/>
        <v>-7.3937095890410393E-2</v>
      </c>
      <c r="AN69" s="58">
        <f t="shared" si="105"/>
        <v>-7.8558164383561044E-2</v>
      </c>
      <c r="AO69" s="58">
        <f t="shared" si="105"/>
        <v>-8.3179232876711681E-2</v>
      </c>
      <c r="AP69" s="58">
        <f t="shared" si="105"/>
        <v>-9.2421369863012984E-2</v>
      </c>
      <c r="AQ69" s="58">
        <f t="shared" si="105"/>
        <v>-9.2421369863012984E-2</v>
      </c>
      <c r="AR69" s="58">
        <f t="shared" si="105"/>
        <v>-9.2421369863012984E-2</v>
      </c>
      <c r="AS69" s="58">
        <f t="shared" si="105"/>
        <v>-9.2421369863012984E-2</v>
      </c>
      <c r="AT69" s="58">
        <f t="shared" si="105"/>
        <v>-9.2421369863012984E-2</v>
      </c>
      <c r="AU69" s="58">
        <f t="shared" si="105"/>
        <v>-9.2421369863012984E-2</v>
      </c>
      <c r="AV69" s="58">
        <f t="shared" si="105"/>
        <v>-9.2421369863012984E-2</v>
      </c>
      <c r="AW69" s="58">
        <f t="shared" si="105"/>
        <v>-9.2421369863012984E-2</v>
      </c>
      <c r="AX69" s="58">
        <f t="shared" si="105"/>
        <v>-9.2421369863012984E-2</v>
      </c>
      <c r="AY69" s="58">
        <f t="shared" si="105"/>
        <v>-9.2421369863012984E-2</v>
      </c>
      <c r="AZ69" s="58">
        <f t="shared" si="105"/>
        <v>-9.2421369863012984E-2</v>
      </c>
      <c r="BA69" s="58">
        <f t="shared" si="105"/>
        <v>-9.2421369863012984E-2</v>
      </c>
      <c r="BB69" s="58">
        <f t="shared" si="105"/>
        <v>-9.2421369863012984E-2</v>
      </c>
      <c r="BC69" s="58">
        <f t="shared" si="105"/>
        <v>-9.2421369863012984E-2</v>
      </c>
      <c r="BD69" s="58">
        <f t="shared" si="105"/>
        <v>-9.2421369863012984E-2</v>
      </c>
      <c r="BF69" s="90" t="s">
        <v>48</v>
      </c>
      <c r="BG69" s="58"/>
      <c r="BH69" s="58">
        <f t="shared" ref="BH69:CF69" si="106">BH$58*BH59+(BH$52-BH$58)*BH53+(BH$46-BH$52)*BH47+(BH$40-BH$46)*BH41</f>
        <v>-6.207041095890424E-2</v>
      </c>
      <c r="BI69" s="58">
        <f t="shared" si="106"/>
        <v>-6.9001643835616591E-2</v>
      </c>
      <c r="BJ69" s="58">
        <f t="shared" si="106"/>
        <v>-7.5932876712328914E-2</v>
      </c>
      <c r="BK69" s="58">
        <f t="shared" si="106"/>
        <v>-8.2864109589041279E-2</v>
      </c>
      <c r="BL69" s="58">
        <f t="shared" si="106"/>
        <v>-8.9795342465753603E-2</v>
      </c>
      <c r="BM69" s="58">
        <f t="shared" si="106"/>
        <v>-9.6726575342465954E-2</v>
      </c>
      <c r="BN69" s="58">
        <f t="shared" si="106"/>
        <v>-0.10365780821917829</v>
      </c>
      <c r="BO69" s="58">
        <f t="shared" si="106"/>
        <v>-0.11058904109589066</v>
      </c>
      <c r="BP69" s="58">
        <f t="shared" si="106"/>
        <v>-0.11752027397260301</v>
      </c>
      <c r="BQ69" s="58">
        <f t="shared" si="106"/>
        <v>-0.1244515068493153</v>
      </c>
      <c r="BR69" s="58">
        <f t="shared" si="106"/>
        <v>-0.13862465753424688</v>
      </c>
      <c r="BS69" s="58">
        <f t="shared" si="106"/>
        <v>-0.13862465753424688</v>
      </c>
      <c r="BT69" s="58">
        <f t="shared" si="106"/>
        <v>-0.13862465753424688</v>
      </c>
      <c r="BU69" s="58">
        <f t="shared" si="106"/>
        <v>-0.13862465753424688</v>
      </c>
      <c r="BV69" s="58">
        <f t="shared" si="106"/>
        <v>-0.13862465753424688</v>
      </c>
      <c r="BW69" s="58">
        <f t="shared" si="106"/>
        <v>-0.13862465753424688</v>
      </c>
      <c r="BX69" s="58">
        <f t="shared" si="106"/>
        <v>-0.13862465753424688</v>
      </c>
      <c r="BY69" s="58">
        <f t="shared" si="106"/>
        <v>-0.13862465753424688</v>
      </c>
      <c r="BZ69" s="58">
        <f t="shared" si="106"/>
        <v>-0.13862465753424688</v>
      </c>
      <c r="CA69" s="58">
        <f t="shared" si="106"/>
        <v>-0.13862465753424688</v>
      </c>
      <c r="CB69" s="58">
        <f t="shared" si="106"/>
        <v>-0.13862465753424688</v>
      </c>
      <c r="CC69" s="58">
        <f t="shared" si="106"/>
        <v>-0.13862465753424688</v>
      </c>
      <c r="CD69" s="58">
        <f t="shared" si="106"/>
        <v>-0.13862465753424688</v>
      </c>
      <c r="CE69" s="58">
        <f t="shared" si="106"/>
        <v>-0.13862465753424688</v>
      </c>
      <c r="CF69" s="58">
        <f t="shared" si="106"/>
        <v>-0.13862465753424688</v>
      </c>
    </row>
    <row r="70" spans="2:84">
      <c r="B70" s="90" t="s">
        <v>186</v>
      </c>
      <c r="C70" s="58"/>
      <c r="D70" s="58">
        <f t="shared" ref="D70:AB70" si="107">D$58*D60+(D$52-D$58)*D54+(D$46-D$52)*D48+(D$40-D$46)*D42</f>
        <v>0</v>
      </c>
      <c r="E70" s="58">
        <f t="shared" si="107"/>
        <v>0</v>
      </c>
      <c r="F70" s="58">
        <f t="shared" si="107"/>
        <v>0</v>
      </c>
      <c r="G70" s="58">
        <f t="shared" si="107"/>
        <v>0</v>
      </c>
      <c r="H70" s="58">
        <f t="shared" si="107"/>
        <v>0</v>
      </c>
      <c r="I70" s="58">
        <f t="shared" si="107"/>
        <v>0</v>
      </c>
      <c r="J70" s="58">
        <f t="shared" si="107"/>
        <v>0</v>
      </c>
      <c r="K70" s="58">
        <f t="shared" si="107"/>
        <v>0</v>
      </c>
      <c r="L70" s="58">
        <f t="shared" si="107"/>
        <v>0</v>
      </c>
      <c r="M70" s="58">
        <f t="shared" si="107"/>
        <v>0</v>
      </c>
      <c r="N70" s="58">
        <f t="shared" si="107"/>
        <v>0</v>
      </c>
      <c r="O70" s="58">
        <f t="shared" si="107"/>
        <v>0</v>
      </c>
      <c r="P70" s="58">
        <f t="shared" si="107"/>
        <v>0</v>
      </c>
      <c r="Q70" s="58">
        <f t="shared" si="107"/>
        <v>0</v>
      </c>
      <c r="R70" s="58">
        <f t="shared" si="107"/>
        <v>0</v>
      </c>
      <c r="S70" s="58">
        <f t="shared" si="107"/>
        <v>0</v>
      </c>
      <c r="T70" s="58">
        <f t="shared" si="107"/>
        <v>0</v>
      </c>
      <c r="U70" s="58">
        <f t="shared" si="107"/>
        <v>0</v>
      </c>
      <c r="V70" s="58">
        <f t="shared" si="107"/>
        <v>0</v>
      </c>
      <c r="W70" s="58">
        <f t="shared" si="107"/>
        <v>0</v>
      </c>
      <c r="X70" s="58">
        <f t="shared" si="107"/>
        <v>0</v>
      </c>
      <c r="Y70" s="58">
        <f t="shared" si="107"/>
        <v>0</v>
      </c>
      <c r="Z70" s="58">
        <f t="shared" si="107"/>
        <v>0</v>
      </c>
      <c r="AA70" s="58">
        <f t="shared" si="107"/>
        <v>0</v>
      </c>
      <c r="AB70" s="58">
        <f t="shared" si="107"/>
        <v>0</v>
      </c>
      <c r="AD70" s="90" t="s">
        <v>186</v>
      </c>
      <c r="AE70" s="58"/>
      <c r="AF70" s="58">
        <f t="shared" ref="AF70:BD70" si="108">AF$58*AF60+(AF$52-AF$58)*AF54+(AF$46-AF$52)*AF48+(AF$40-AF$46)*AF42</f>
        <v>-6.2381095890410569E-2</v>
      </c>
      <c r="AG70" s="58">
        <f t="shared" si="108"/>
        <v>-6.9312328767122844E-2</v>
      </c>
      <c r="AH70" s="58">
        <f t="shared" si="108"/>
        <v>-7.6243561643835139E-2</v>
      </c>
      <c r="AI70" s="58">
        <f t="shared" si="108"/>
        <v>-8.3174794520547421E-2</v>
      </c>
      <c r="AJ70" s="58">
        <f t="shared" si="108"/>
        <v>-9.0106027397259703E-2</v>
      </c>
      <c r="AK70" s="58">
        <f t="shared" si="108"/>
        <v>-9.7037260273971984E-2</v>
      </c>
      <c r="AL70" s="58">
        <f t="shared" si="108"/>
        <v>-0.10396849315068428</v>
      </c>
      <c r="AM70" s="58">
        <f t="shared" si="108"/>
        <v>-0.11089972602739656</v>
      </c>
      <c r="AN70" s="58">
        <f t="shared" si="108"/>
        <v>-0.11783095890410886</v>
      </c>
      <c r="AO70" s="58">
        <f t="shared" si="108"/>
        <v>-0.1247621917808211</v>
      </c>
      <c r="AP70" s="58">
        <f t="shared" si="108"/>
        <v>-0.13862465753424569</v>
      </c>
      <c r="AQ70" s="58">
        <f t="shared" si="108"/>
        <v>-0.13862465753424569</v>
      </c>
      <c r="AR70" s="58">
        <f t="shared" si="108"/>
        <v>-0.13862465753424569</v>
      </c>
      <c r="AS70" s="58">
        <f t="shared" si="108"/>
        <v>-0.13862465753424569</v>
      </c>
      <c r="AT70" s="58">
        <f t="shared" si="108"/>
        <v>-0.13862465753424569</v>
      </c>
      <c r="AU70" s="58">
        <f t="shared" si="108"/>
        <v>-0.13862465753424569</v>
      </c>
      <c r="AV70" s="58">
        <f t="shared" si="108"/>
        <v>-0.13862465753424569</v>
      </c>
      <c r="AW70" s="58">
        <f t="shared" si="108"/>
        <v>-0.13862465753424569</v>
      </c>
      <c r="AX70" s="58">
        <f t="shared" si="108"/>
        <v>-0.13862465753424569</v>
      </c>
      <c r="AY70" s="58">
        <f t="shared" si="108"/>
        <v>-0.13862465753424569</v>
      </c>
      <c r="AZ70" s="58">
        <f t="shared" si="108"/>
        <v>-0.13862465753424569</v>
      </c>
      <c r="BA70" s="58">
        <f t="shared" si="108"/>
        <v>-0.13862465753424569</v>
      </c>
      <c r="BB70" s="58">
        <f t="shared" si="108"/>
        <v>-0.13862465753424569</v>
      </c>
      <c r="BC70" s="58">
        <f t="shared" si="108"/>
        <v>-0.13862465753424569</v>
      </c>
      <c r="BD70" s="58">
        <f t="shared" si="108"/>
        <v>-0.13862465753424569</v>
      </c>
      <c r="BF70" s="90" t="s">
        <v>186</v>
      </c>
      <c r="BG70" s="58"/>
      <c r="BH70" s="58">
        <f t="shared" ref="BH70:CF70" si="109">BH$58*BH60+(BH$52-BH$58)*BH54+(BH$46-BH$52)*BH48+(BH$40-BH$46)*BH42</f>
        <v>-5.9718469797932912</v>
      </c>
      <c r="BI70" s="58">
        <f t="shared" si="109"/>
        <v>-8.0293808219178461E-2</v>
      </c>
      <c r="BJ70" s="58">
        <f t="shared" si="109"/>
        <v>7.1037851064472628</v>
      </c>
      <c r="BK70" s="58">
        <f t="shared" si="109"/>
        <v>15.580389764206034</v>
      </c>
      <c r="BL70" s="58">
        <f t="shared" si="109"/>
        <v>25.349520165057136</v>
      </c>
      <c r="BM70" s="58">
        <f t="shared" si="109"/>
        <v>36.411176309000567</v>
      </c>
      <c r="BN70" s="58">
        <f t="shared" si="109"/>
        <v>48.765358196036317</v>
      </c>
      <c r="BO70" s="58">
        <f t="shared" si="109"/>
        <v>62.412065826164408</v>
      </c>
      <c r="BP70" s="58">
        <f t="shared" si="109"/>
        <v>77.35129919938484</v>
      </c>
      <c r="BQ70" s="58">
        <f t="shared" si="109"/>
        <v>93.583058315697571</v>
      </c>
      <c r="BR70" s="58">
        <f t="shared" si="109"/>
        <v>129.09130663800005</v>
      </c>
      <c r="BS70" s="58">
        <f t="shared" si="109"/>
        <v>129.09130663800005</v>
      </c>
      <c r="BT70" s="58">
        <f t="shared" si="109"/>
        <v>129.09130663800005</v>
      </c>
      <c r="BU70" s="58">
        <f t="shared" si="109"/>
        <v>129.09130663800005</v>
      </c>
      <c r="BV70" s="58">
        <f t="shared" si="109"/>
        <v>129.09130663800005</v>
      </c>
      <c r="BW70" s="58">
        <f t="shared" si="109"/>
        <v>129.09130663800005</v>
      </c>
      <c r="BX70" s="58">
        <f t="shared" si="109"/>
        <v>129.09130663800005</v>
      </c>
      <c r="BY70" s="58">
        <f t="shared" si="109"/>
        <v>129.09130663800005</v>
      </c>
      <c r="BZ70" s="58">
        <f t="shared" si="109"/>
        <v>129.09130663800005</v>
      </c>
      <c r="CA70" s="58">
        <f t="shared" si="109"/>
        <v>129.09130663800005</v>
      </c>
      <c r="CB70" s="58">
        <f t="shared" si="109"/>
        <v>129.09130663800005</v>
      </c>
      <c r="CC70" s="58">
        <f t="shared" si="109"/>
        <v>129.09130663800005</v>
      </c>
      <c r="CD70" s="58">
        <f t="shared" si="109"/>
        <v>129.09130663800005</v>
      </c>
      <c r="CE70" s="58">
        <f t="shared" si="109"/>
        <v>129.09130663800005</v>
      </c>
      <c r="CF70" s="58">
        <f t="shared" si="109"/>
        <v>129.09130663800005</v>
      </c>
    </row>
    <row r="71" spans="2:84">
      <c r="B71" s="21" t="s">
        <v>49</v>
      </c>
      <c r="C71" s="22"/>
      <c r="D71" s="213">
        <f t="shared" ref="D71:AB71" si="110">D$58*D61+(D$52-D$58)*D55+(D$46-D$52)*D49+(D$40-D$46)*D43</f>
        <v>0</v>
      </c>
      <c r="E71" s="27">
        <f t="shared" si="110"/>
        <v>0</v>
      </c>
      <c r="F71" s="27">
        <f t="shared" si="110"/>
        <v>0</v>
      </c>
      <c r="G71" s="27">
        <f t="shared" si="110"/>
        <v>0</v>
      </c>
      <c r="H71" s="27">
        <f t="shared" si="110"/>
        <v>0</v>
      </c>
      <c r="I71" s="27">
        <f t="shared" si="110"/>
        <v>0</v>
      </c>
      <c r="J71" s="27">
        <f t="shared" si="110"/>
        <v>0</v>
      </c>
      <c r="K71" s="27">
        <f t="shared" si="110"/>
        <v>0</v>
      </c>
      <c r="L71" s="27">
        <f t="shared" si="110"/>
        <v>0</v>
      </c>
      <c r="M71" s="27">
        <f t="shared" si="110"/>
        <v>0</v>
      </c>
      <c r="N71" s="27">
        <f t="shared" si="110"/>
        <v>0</v>
      </c>
      <c r="O71" s="27">
        <f t="shared" si="110"/>
        <v>0</v>
      </c>
      <c r="P71" s="27">
        <f t="shared" si="110"/>
        <v>0</v>
      </c>
      <c r="Q71" s="27">
        <f t="shared" si="110"/>
        <v>0</v>
      </c>
      <c r="R71" s="27">
        <f t="shared" si="110"/>
        <v>0</v>
      </c>
      <c r="S71" s="27">
        <f t="shared" si="110"/>
        <v>0</v>
      </c>
      <c r="T71" s="27">
        <f t="shared" si="110"/>
        <v>0</v>
      </c>
      <c r="U71" s="27">
        <f t="shared" si="110"/>
        <v>0</v>
      </c>
      <c r="V71" s="27">
        <f t="shared" si="110"/>
        <v>0</v>
      </c>
      <c r="W71" s="27">
        <f t="shared" si="110"/>
        <v>0</v>
      </c>
      <c r="X71" s="27">
        <f t="shared" si="110"/>
        <v>0</v>
      </c>
      <c r="Y71" s="27">
        <f t="shared" si="110"/>
        <v>0</v>
      </c>
      <c r="Z71" s="27">
        <f t="shared" si="110"/>
        <v>0</v>
      </c>
      <c r="AA71" s="27">
        <f t="shared" si="110"/>
        <v>0</v>
      </c>
      <c r="AB71" s="27">
        <f t="shared" si="110"/>
        <v>0</v>
      </c>
      <c r="AD71" s="21" t="s">
        <v>49</v>
      </c>
      <c r="AF71" s="27">
        <f t="shared" ref="AF71" si="111">AF$58*AF61+(AF$52-AF$58)*AF55+(AF$46-AF$52)*AF49+(AF$40-AF$46)*AF43</f>
        <v>58.091087987100025</v>
      </c>
      <c r="AG71" s="27">
        <f t="shared" ref="AG71:BD71" si="112">AG$58*AG61+(AG$52-AG$58)*AG55+(AG$46-AG$52)*AG49+(AG$40-AG$46)*AG43</f>
        <v>64.545653319000024</v>
      </c>
      <c r="AH71" s="27">
        <f t="shared" si="112"/>
        <v>71.000218650900024</v>
      </c>
      <c r="AI71" s="27">
        <f t="shared" si="112"/>
        <v>77.454783982800024</v>
      </c>
      <c r="AJ71" s="27">
        <f t="shared" si="112"/>
        <v>83.909349314700037</v>
      </c>
      <c r="AK71" s="27">
        <f t="shared" si="112"/>
        <v>90.363914646600023</v>
      </c>
      <c r="AL71" s="27">
        <f t="shared" si="112"/>
        <v>96.818479978500022</v>
      </c>
      <c r="AM71" s="27">
        <f t="shared" si="112"/>
        <v>103.27304531040005</v>
      </c>
      <c r="AN71" s="27">
        <f t="shared" si="112"/>
        <v>109.72761064230005</v>
      </c>
      <c r="AO71" s="27">
        <f t="shared" si="112"/>
        <v>116.18217597420002</v>
      </c>
      <c r="AP71" s="27">
        <f t="shared" si="112"/>
        <v>129.09130663800005</v>
      </c>
      <c r="AQ71" s="27">
        <f t="shared" si="112"/>
        <v>129.09130663800005</v>
      </c>
      <c r="AR71" s="27">
        <f t="shared" si="112"/>
        <v>129.09130663800005</v>
      </c>
      <c r="AS71" s="27">
        <f t="shared" si="112"/>
        <v>129.09130663800005</v>
      </c>
      <c r="AT71" s="27">
        <f t="shared" si="112"/>
        <v>129.09130663800005</v>
      </c>
      <c r="AU71" s="27">
        <f t="shared" si="112"/>
        <v>129.09130663800005</v>
      </c>
      <c r="AV71" s="27">
        <f t="shared" si="112"/>
        <v>129.09130663800005</v>
      </c>
      <c r="AW71" s="27">
        <f t="shared" si="112"/>
        <v>129.09130663800005</v>
      </c>
      <c r="AX71" s="27">
        <f t="shared" si="112"/>
        <v>129.09130663800005</v>
      </c>
      <c r="AY71" s="27">
        <f t="shared" si="112"/>
        <v>129.09130663800005</v>
      </c>
      <c r="AZ71" s="27">
        <f t="shared" si="112"/>
        <v>129.09130663800005</v>
      </c>
      <c r="BA71" s="27">
        <f t="shared" si="112"/>
        <v>129.09130663800005</v>
      </c>
      <c r="BB71" s="27">
        <f t="shared" si="112"/>
        <v>129.09130663800005</v>
      </c>
      <c r="BC71" s="27">
        <f t="shared" si="112"/>
        <v>129.09130663800005</v>
      </c>
      <c r="BD71" s="27">
        <f t="shared" si="112"/>
        <v>129.09130663800005</v>
      </c>
      <c r="BF71" s="21" t="s">
        <v>49</v>
      </c>
      <c r="BG71" s="22"/>
      <c r="BH71" s="213">
        <f t="shared" ref="BH71:CF71" si="113">BH$58*BH61+(BH$52-BH$58)*BH55+(BH$46-BH$52)*BH49+(BH$40-BH$46)*BH43</f>
        <v>58.92393512670003</v>
      </c>
      <c r="BI71" s="27">
        <f t="shared" si="113"/>
        <v>65.37850045860003</v>
      </c>
      <c r="BJ71" s="27">
        <f t="shared" si="113"/>
        <v>71.833065790500029</v>
      </c>
      <c r="BK71" s="27">
        <f t="shared" si="113"/>
        <v>78.287631122400029</v>
      </c>
      <c r="BL71" s="27">
        <f t="shared" si="113"/>
        <v>84.742196454300029</v>
      </c>
      <c r="BM71" s="27">
        <f t="shared" si="113"/>
        <v>91.196761786200028</v>
      </c>
      <c r="BN71" s="27">
        <f t="shared" si="113"/>
        <v>97.651327118100028</v>
      </c>
      <c r="BO71" s="27">
        <f t="shared" si="113"/>
        <v>104.10589245000006</v>
      </c>
      <c r="BP71" s="27">
        <f t="shared" si="113"/>
        <v>110.56045778190006</v>
      </c>
      <c r="BQ71" s="27">
        <f t="shared" si="113"/>
        <v>117.01502311380003</v>
      </c>
      <c r="BR71" s="27">
        <f t="shared" si="113"/>
        <v>129.09130663800005</v>
      </c>
      <c r="BS71" s="27">
        <f t="shared" si="113"/>
        <v>129.09130663800005</v>
      </c>
      <c r="BT71" s="27">
        <f t="shared" si="113"/>
        <v>129.09130663800005</v>
      </c>
      <c r="BU71" s="27">
        <f t="shared" si="113"/>
        <v>129.09130663800005</v>
      </c>
      <c r="BV71" s="27">
        <f t="shared" si="113"/>
        <v>129.09130663800005</v>
      </c>
      <c r="BW71" s="27">
        <f t="shared" si="113"/>
        <v>129.09130663800005</v>
      </c>
      <c r="BX71" s="27">
        <f t="shared" si="113"/>
        <v>129.09130663800005</v>
      </c>
      <c r="BY71" s="27">
        <f t="shared" si="113"/>
        <v>129.09130663800005</v>
      </c>
      <c r="BZ71" s="27">
        <f t="shared" si="113"/>
        <v>129.09130663800005</v>
      </c>
      <c r="CA71" s="27">
        <f t="shared" si="113"/>
        <v>129.09130663800005</v>
      </c>
      <c r="CB71" s="27">
        <f t="shared" si="113"/>
        <v>129.09130663800005</v>
      </c>
      <c r="CC71" s="27">
        <f t="shared" si="113"/>
        <v>129.09130663800005</v>
      </c>
      <c r="CD71" s="27">
        <f t="shared" si="113"/>
        <v>129.09130663800005</v>
      </c>
      <c r="CE71" s="27">
        <f t="shared" si="113"/>
        <v>129.09130663800005</v>
      </c>
      <c r="CF71" s="27">
        <f t="shared" si="113"/>
        <v>129.09130663800005</v>
      </c>
    </row>
    <row r="72" spans="2:84" ht="15" thickBot="1">
      <c r="B72" s="33" t="s">
        <v>50</v>
      </c>
      <c r="C72" s="34"/>
      <c r="D72" s="36">
        <f t="shared" ref="D72:AB72" si="114">D$58*D62+(D$52-D$58)*D56+(D$46-D$52)*D50+(D$40-D$46)*D44</f>
        <v>0</v>
      </c>
      <c r="E72" s="36">
        <f t="shared" si="114"/>
        <v>0</v>
      </c>
      <c r="F72" s="36">
        <f t="shared" si="114"/>
        <v>0</v>
      </c>
      <c r="G72" s="36">
        <f t="shared" si="114"/>
        <v>0</v>
      </c>
      <c r="H72" s="36">
        <f t="shared" si="114"/>
        <v>0</v>
      </c>
      <c r="I72" s="36">
        <f t="shared" si="114"/>
        <v>0</v>
      </c>
      <c r="J72" s="36">
        <f t="shared" si="114"/>
        <v>0</v>
      </c>
      <c r="K72" s="36">
        <f t="shared" si="114"/>
        <v>0</v>
      </c>
      <c r="L72" s="36">
        <f t="shared" si="114"/>
        <v>0</v>
      </c>
      <c r="M72" s="36">
        <f t="shared" si="114"/>
        <v>0</v>
      </c>
      <c r="N72" s="36">
        <f t="shared" si="114"/>
        <v>0</v>
      </c>
      <c r="O72" s="36">
        <f t="shared" si="114"/>
        <v>0</v>
      </c>
      <c r="P72" s="36">
        <f t="shared" si="114"/>
        <v>0</v>
      </c>
      <c r="Q72" s="36">
        <f t="shared" si="114"/>
        <v>0</v>
      </c>
      <c r="R72" s="36">
        <f t="shared" si="114"/>
        <v>0</v>
      </c>
      <c r="S72" s="36">
        <f t="shared" si="114"/>
        <v>0</v>
      </c>
      <c r="T72" s="36">
        <f t="shared" si="114"/>
        <v>0</v>
      </c>
      <c r="U72" s="36">
        <f t="shared" si="114"/>
        <v>0</v>
      </c>
      <c r="V72" s="36">
        <f t="shared" si="114"/>
        <v>0</v>
      </c>
      <c r="W72" s="36">
        <f t="shared" si="114"/>
        <v>0</v>
      </c>
      <c r="X72" s="36">
        <f t="shared" si="114"/>
        <v>0</v>
      </c>
      <c r="Y72" s="36">
        <f t="shared" si="114"/>
        <v>0</v>
      </c>
      <c r="Z72" s="36">
        <f t="shared" si="114"/>
        <v>0</v>
      </c>
      <c r="AA72" s="36">
        <f t="shared" si="114"/>
        <v>0</v>
      </c>
      <c r="AB72" s="36">
        <f t="shared" si="114"/>
        <v>0</v>
      </c>
      <c r="AD72" s="33" t="s">
        <v>50</v>
      </c>
      <c r="AE72" s="34"/>
      <c r="AF72" s="36">
        <f>AF$58*AF62+(AF$52-AF$58)*AF56+(AF$46-AF$52)*AF50+(AF$40-AF$46)*AF44</f>
        <v>0</v>
      </c>
      <c r="AG72" s="36">
        <f t="shared" ref="AG72:BD72" si="115">AG$58*AG62+(AG$52-AG$58)*AG56+(AG$46-AG$52)*AG50+(AG$40-AG$46)*AG44</f>
        <v>0</v>
      </c>
      <c r="AH72" s="36">
        <f t="shared" si="115"/>
        <v>0</v>
      </c>
      <c r="AI72" s="36">
        <f t="shared" si="115"/>
        <v>0</v>
      </c>
      <c r="AJ72" s="36">
        <f t="shared" si="115"/>
        <v>0</v>
      </c>
      <c r="AK72" s="36">
        <f t="shared" si="115"/>
        <v>0</v>
      </c>
      <c r="AL72" s="36">
        <f t="shared" si="115"/>
        <v>0</v>
      </c>
      <c r="AM72" s="36">
        <f t="shared" si="115"/>
        <v>0</v>
      </c>
      <c r="AN72" s="36">
        <f t="shared" si="115"/>
        <v>0</v>
      </c>
      <c r="AO72" s="36">
        <f t="shared" si="115"/>
        <v>0</v>
      </c>
      <c r="AP72" s="36">
        <f t="shared" si="115"/>
        <v>0</v>
      </c>
      <c r="AQ72" s="36">
        <f t="shared" si="115"/>
        <v>0</v>
      </c>
      <c r="AR72" s="36">
        <f t="shared" si="115"/>
        <v>0</v>
      </c>
      <c r="AS72" s="36">
        <f t="shared" si="115"/>
        <v>0</v>
      </c>
      <c r="AT72" s="36">
        <f t="shared" si="115"/>
        <v>0</v>
      </c>
      <c r="AU72" s="36">
        <f t="shared" si="115"/>
        <v>0</v>
      </c>
      <c r="AV72" s="36">
        <f t="shared" si="115"/>
        <v>0</v>
      </c>
      <c r="AW72" s="36">
        <f t="shared" si="115"/>
        <v>0</v>
      </c>
      <c r="AX72" s="36">
        <f t="shared" si="115"/>
        <v>0</v>
      </c>
      <c r="AY72" s="36">
        <f t="shared" si="115"/>
        <v>0</v>
      </c>
      <c r="AZ72" s="36">
        <f t="shared" si="115"/>
        <v>0</v>
      </c>
      <c r="BA72" s="36">
        <f t="shared" si="115"/>
        <v>0</v>
      </c>
      <c r="BB72" s="36">
        <f t="shared" si="115"/>
        <v>0</v>
      </c>
      <c r="BC72" s="36">
        <f t="shared" si="115"/>
        <v>0</v>
      </c>
      <c r="BD72" s="36">
        <f t="shared" si="115"/>
        <v>0</v>
      </c>
      <c r="BF72" s="33" t="s">
        <v>50</v>
      </c>
      <c r="BG72" s="34"/>
      <c r="BH72" s="36">
        <f t="shared" ref="BH72:CF72" si="116">BH$58*BH62+(BH$52-BH$58)*BH56+(BH$46-BH$52)*BH50+(BH$40-BH$46)*BH44</f>
        <v>0</v>
      </c>
      <c r="BI72" s="36">
        <f t="shared" si="116"/>
        <v>0</v>
      </c>
      <c r="BJ72" s="36">
        <f t="shared" si="116"/>
        <v>0</v>
      </c>
      <c r="BK72" s="36">
        <f t="shared" si="116"/>
        <v>0</v>
      </c>
      <c r="BL72" s="36">
        <f t="shared" si="116"/>
        <v>0</v>
      </c>
      <c r="BM72" s="36">
        <f t="shared" si="116"/>
        <v>0</v>
      </c>
      <c r="BN72" s="36">
        <f t="shared" si="116"/>
        <v>0</v>
      </c>
      <c r="BO72" s="36">
        <f t="shared" si="116"/>
        <v>0</v>
      </c>
      <c r="BP72" s="36">
        <f t="shared" si="116"/>
        <v>0</v>
      </c>
      <c r="BQ72" s="36">
        <f t="shared" si="116"/>
        <v>0</v>
      </c>
      <c r="BR72" s="36">
        <f t="shared" si="116"/>
        <v>0</v>
      </c>
      <c r="BS72" s="36">
        <f t="shared" si="116"/>
        <v>0</v>
      </c>
      <c r="BT72" s="36">
        <f t="shared" si="116"/>
        <v>0</v>
      </c>
      <c r="BU72" s="36">
        <f t="shared" si="116"/>
        <v>0</v>
      </c>
      <c r="BV72" s="36">
        <f t="shared" si="116"/>
        <v>0</v>
      </c>
      <c r="BW72" s="36">
        <f t="shared" si="116"/>
        <v>0</v>
      </c>
      <c r="BX72" s="36">
        <f t="shared" si="116"/>
        <v>0</v>
      </c>
      <c r="BY72" s="36">
        <f t="shared" si="116"/>
        <v>0</v>
      </c>
      <c r="BZ72" s="36">
        <f t="shared" si="116"/>
        <v>0</v>
      </c>
      <c r="CA72" s="36">
        <f t="shared" si="116"/>
        <v>0</v>
      </c>
      <c r="CB72" s="36">
        <f t="shared" si="116"/>
        <v>0</v>
      </c>
      <c r="CC72" s="36">
        <f t="shared" si="116"/>
        <v>0</v>
      </c>
      <c r="CD72" s="36">
        <f t="shared" si="116"/>
        <v>0</v>
      </c>
      <c r="CE72" s="36">
        <f t="shared" si="116"/>
        <v>0</v>
      </c>
      <c r="CF72" s="36">
        <f t="shared" si="116"/>
        <v>0</v>
      </c>
    </row>
    <row r="73" spans="2:84">
      <c r="D73" s="9"/>
      <c r="E73" s="9"/>
      <c r="F73" s="9"/>
      <c r="G73" s="9"/>
      <c r="H73" s="9"/>
      <c r="I73" s="9"/>
      <c r="J73" s="9"/>
      <c r="K73" s="9"/>
      <c r="L73" s="9"/>
      <c r="M73" s="9"/>
      <c r="N73" s="9"/>
      <c r="O73" s="9"/>
      <c r="P73" s="9"/>
      <c r="Q73" s="9"/>
      <c r="R73" s="9"/>
      <c r="S73" s="9"/>
      <c r="T73" s="9"/>
      <c r="U73" s="9"/>
      <c r="V73" s="9"/>
      <c r="W73" s="9"/>
      <c r="X73" s="9"/>
      <c r="Y73" s="9"/>
      <c r="Z73" s="9"/>
      <c r="AA73" s="9"/>
      <c r="AB73" s="9"/>
    </row>
    <row r="74" spans="2:84">
      <c r="D74" s="9"/>
      <c r="E74" s="9"/>
      <c r="F74" s="9"/>
      <c r="G74" s="9"/>
      <c r="H74" s="9"/>
      <c r="I74" s="9"/>
      <c r="J74" s="9"/>
      <c r="K74" s="9"/>
      <c r="L74" s="9"/>
      <c r="M74" s="9"/>
      <c r="N74" s="9"/>
      <c r="O74" s="9"/>
      <c r="P74" s="9"/>
      <c r="Q74" s="9"/>
      <c r="R74" s="9"/>
      <c r="S74" s="9"/>
      <c r="T74" s="9"/>
      <c r="U74" s="9"/>
      <c r="V74" s="9"/>
      <c r="W74" s="9"/>
      <c r="X74" s="9"/>
      <c r="Y74" s="9"/>
      <c r="Z74" s="9"/>
      <c r="AA74" s="9"/>
      <c r="AB74" s="9"/>
    </row>
    <row r="75" spans="2:84" ht="18.5">
      <c r="B75" s="227" t="str">
        <f>'Climate impacts'!B21</f>
        <v>Disaster 1 -</v>
      </c>
      <c r="C75" s="228"/>
      <c r="D75" s="228"/>
      <c r="E75" s="228"/>
      <c r="F75" s="228"/>
      <c r="G75" s="228"/>
      <c r="H75" s="228"/>
      <c r="I75" s="9"/>
      <c r="J75" s="9"/>
      <c r="K75" s="9"/>
      <c r="L75" s="9"/>
      <c r="M75" s="9"/>
      <c r="N75" s="9"/>
      <c r="O75" s="9"/>
      <c r="P75" s="9"/>
      <c r="Q75" s="9"/>
      <c r="R75" s="9"/>
      <c r="S75" s="9"/>
      <c r="T75" s="9"/>
      <c r="U75" s="9"/>
      <c r="V75" s="9"/>
      <c r="W75" s="9"/>
      <c r="X75" s="9"/>
      <c r="Y75" s="9"/>
      <c r="Z75" s="9"/>
      <c r="AA75" s="9"/>
      <c r="AB75" s="9"/>
      <c r="AD75" s="231" t="str">
        <f>'Climate impacts'!G21</f>
        <v>Disaster 2 - Floods</v>
      </c>
      <c r="AE75" s="231"/>
      <c r="AF75" s="231"/>
      <c r="AG75" s="231"/>
      <c r="AH75" s="231"/>
      <c r="AI75" s="231"/>
      <c r="BF75" s="230" t="str">
        <f>'Climate impacts'!L21</f>
        <v>Disaster 3 - [Landslides]</v>
      </c>
      <c r="BG75" s="230"/>
      <c r="BH75" s="230"/>
      <c r="BI75" s="230"/>
      <c r="BJ75" s="230"/>
      <c r="BK75" s="230"/>
      <c r="BL75" s="230"/>
      <c r="BM75" s="230"/>
      <c r="BN75" s="230"/>
    </row>
    <row r="76" spans="2:84">
      <c r="D76" s="9"/>
      <c r="E76" s="9"/>
      <c r="F76" s="9"/>
      <c r="G76" s="9"/>
      <c r="H76" s="9"/>
      <c r="I76" s="9"/>
      <c r="J76" s="9"/>
      <c r="K76" s="9"/>
      <c r="L76" s="9"/>
      <c r="M76" s="9"/>
      <c r="N76" s="9"/>
      <c r="O76" s="9"/>
      <c r="P76" s="9"/>
      <c r="Q76" s="9"/>
      <c r="R76" s="9"/>
      <c r="S76" s="9"/>
      <c r="T76" s="9"/>
      <c r="U76" s="9"/>
      <c r="V76" s="9"/>
      <c r="W76" s="9"/>
      <c r="X76" s="9"/>
      <c r="Y76" s="9"/>
      <c r="Z76" s="9"/>
      <c r="AA76" s="9"/>
      <c r="AB76" s="9"/>
    </row>
    <row r="77" spans="2:84">
      <c r="D77" s="9"/>
      <c r="E77" s="9"/>
      <c r="F77" s="9"/>
      <c r="G77" s="9"/>
      <c r="H77" s="9"/>
      <c r="I77" s="9"/>
      <c r="J77" s="9"/>
      <c r="K77" s="9"/>
      <c r="L77" s="9"/>
      <c r="M77" s="9"/>
      <c r="N77" s="9"/>
      <c r="O77" s="9"/>
      <c r="P77" s="9"/>
      <c r="Q77" s="9"/>
      <c r="R77" s="9"/>
      <c r="S77" s="9"/>
      <c r="T77" s="9"/>
      <c r="U77" s="9"/>
      <c r="V77" s="9"/>
      <c r="W77" s="9"/>
      <c r="X77" s="9"/>
      <c r="Y77" s="9"/>
      <c r="Z77" s="9"/>
      <c r="AA77" s="9"/>
      <c r="AB77" s="9"/>
    </row>
    <row r="78" spans="2:84">
      <c r="D78" s="9"/>
      <c r="E78" s="9"/>
      <c r="F78" s="9"/>
      <c r="G78" s="9"/>
      <c r="H78" s="9"/>
      <c r="I78" s="9"/>
      <c r="J78" s="9"/>
      <c r="K78" s="9"/>
      <c r="L78" s="9"/>
      <c r="M78" s="9"/>
      <c r="N78" s="9"/>
      <c r="O78" s="9"/>
      <c r="P78" s="9"/>
      <c r="Q78" s="9"/>
      <c r="R78" s="9"/>
      <c r="S78" s="9"/>
      <c r="T78" s="9"/>
      <c r="U78" s="9"/>
      <c r="V78" s="9"/>
      <c r="W78" s="9"/>
      <c r="X78" s="9"/>
      <c r="Y78" s="9"/>
      <c r="Z78" s="9"/>
      <c r="AA78" s="9"/>
      <c r="AB78" s="9"/>
    </row>
    <row r="79" spans="2:84">
      <c r="D79" s="9"/>
      <c r="E79" s="9"/>
      <c r="F79" s="9"/>
      <c r="G79" s="9"/>
      <c r="H79" s="9"/>
      <c r="I79" s="9"/>
      <c r="J79" s="9"/>
      <c r="K79" s="9"/>
      <c r="L79" s="9"/>
      <c r="M79" s="9"/>
      <c r="N79" s="9"/>
      <c r="O79" s="9"/>
      <c r="P79" s="9"/>
      <c r="Q79" s="9"/>
      <c r="R79" s="9"/>
      <c r="S79" s="9"/>
      <c r="T79" s="9"/>
      <c r="U79" s="9"/>
      <c r="V79" s="9"/>
      <c r="W79" s="9"/>
      <c r="X79" s="9"/>
      <c r="Y79" s="9"/>
      <c r="Z79" s="9"/>
      <c r="AA79" s="9"/>
      <c r="AB79" s="9"/>
    </row>
    <row r="80" spans="2:84">
      <c r="D80" s="9"/>
      <c r="E80" s="9"/>
      <c r="F80" s="9"/>
      <c r="G80" s="9"/>
      <c r="H80" s="9"/>
      <c r="I80" s="9"/>
      <c r="J80" s="9"/>
      <c r="K80" s="9"/>
      <c r="L80" s="9"/>
      <c r="M80" s="9"/>
      <c r="N80" s="9"/>
      <c r="O80" s="9"/>
      <c r="P80" s="9"/>
      <c r="Q80" s="9"/>
      <c r="R80" s="9"/>
      <c r="S80" s="9"/>
      <c r="T80" s="9"/>
      <c r="U80" s="9"/>
      <c r="V80" s="9"/>
      <c r="W80" s="9"/>
      <c r="X80" s="9"/>
      <c r="Y80" s="9"/>
      <c r="Z80" s="9"/>
      <c r="AA80" s="9"/>
      <c r="AB80" s="9"/>
    </row>
    <row r="81" spans="4:28">
      <c r="D81" s="9"/>
      <c r="E81" s="9"/>
      <c r="F81" s="9"/>
      <c r="G81" s="9"/>
      <c r="H81" s="9"/>
      <c r="I81" s="9"/>
      <c r="J81" s="9"/>
      <c r="K81" s="9"/>
      <c r="L81" s="9"/>
      <c r="M81" s="9"/>
      <c r="N81" s="9"/>
      <c r="O81" s="9"/>
      <c r="P81" s="9"/>
      <c r="Q81" s="9"/>
      <c r="R81" s="9"/>
      <c r="S81" s="9"/>
      <c r="T81" s="9"/>
      <c r="U81" s="9"/>
      <c r="V81" s="9"/>
      <c r="W81" s="9"/>
      <c r="X81" s="9"/>
      <c r="Y81" s="9"/>
      <c r="Z81" s="9"/>
      <c r="AA81" s="9"/>
      <c r="AB81" s="9"/>
    </row>
    <row r="82" spans="4:28">
      <c r="D82" s="9"/>
      <c r="E82" s="9"/>
      <c r="F82" s="9"/>
      <c r="G82" s="9"/>
      <c r="H82" s="9"/>
      <c r="I82" s="9"/>
      <c r="J82" s="9"/>
      <c r="K82" s="9"/>
      <c r="L82" s="9"/>
      <c r="M82" s="9"/>
      <c r="N82" s="9"/>
      <c r="O82" s="9"/>
      <c r="P82" s="9"/>
      <c r="Q82" s="9"/>
      <c r="R82" s="9"/>
      <c r="S82" s="9"/>
      <c r="T82" s="9"/>
      <c r="U82" s="9"/>
      <c r="V82" s="9"/>
      <c r="W82" s="9"/>
      <c r="X82" s="9"/>
      <c r="Y82" s="9"/>
      <c r="Z82" s="9"/>
      <c r="AA82" s="9"/>
      <c r="AB82" s="9"/>
    </row>
    <row r="83" spans="4:28">
      <c r="D83" s="9"/>
      <c r="E83" s="9"/>
      <c r="F83" s="9"/>
      <c r="G83" s="9"/>
      <c r="H83" s="9"/>
      <c r="I83" s="9"/>
      <c r="J83" s="9"/>
      <c r="K83" s="9"/>
      <c r="L83" s="9"/>
      <c r="M83" s="9"/>
      <c r="N83" s="9"/>
      <c r="O83" s="9"/>
      <c r="P83" s="9"/>
      <c r="Q83" s="9"/>
      <c r="R83" s="9"/>
      <c r="S83" s="9"/>
      <c r="T83" s="9"/>
      <c r="U83" s="9"/>
      <c r="V83" s="9"/>
      <c r="W83" s="9"/>
      <c r="X83" s="9"/>
      <c r="Y83" s="9"/>
      <c r="Z83" s="9"/>
      <c r="AA83" s="9"/>
      <c r="AB83" s="9"/>
    </row>
    <row r="84" spans="4:28">
      <c r="D84" s="9"/>
      <c r="E84" s="9"/>
      <c r="F84" s="9"/>
      <c r="G84" s="9"/>
      <c r="H84" s="9"/>
      <c r="I84" s="9" t="s">
        <v>122</v>
      </c>
      <c r="J84" s="9"/>
      <c r="K84" s="9"/>
      <c r="L84" s="9"/>
      <c r="M84" s="9"/>
      <c r="N84" s="9"/>
      <c r="O84" s="9"/>
      <c r="P84" s="9"/>
      <c r="Q84" s="9"/>
      <c r="R84" s="9"/>
      <c r="S84" s="9"/>
      <c r="T84" s="9"/>
      <c r="U84" s="9"/>
      <c r="V84" s="9"/>
      <c r="W84" s="9"/>
      <c r="X84" s="9"/>
      <c r="Y84" s="9"/>
      <c r="Z84" s="9"/>
      <c r="AA84" s="9"/>
      <c r="AB84" s="9"/>
    </row>
    <row r="85" spans="4:28">
      <c r="D85" s="9"/>
      <c r="E85" s="9"/>
      <c r="F85" s="9"/>
      <c r="G85" s="9"/>
      <c r="H85" s="9"/>
      <c r="I85" s="9"/>
      <c r="J85" s="9"/>
      <c r="K85" s="9"/>
      <c r="L85" s="9"/>
      <c r="M85" s="9"/>
      <c r="N85" s="9"/>
      <c r="O85" s="9"/>
      <c r="P85" s="9"/>
      <c r="Q85" s="9"/>
      <c r="R85" s="9"/>
      <c r="S85" s="9"/>
      <c r="T85" s="9"/>
      <c r="U85" s="9"/>
      <c r="V85" s="9"/>
      <c r="W85" s="9"/>
      <c r="X85" s="9"/>
      <c r="Y85" s="9"/>
      <c r="Z85" s="9"/>
      <c r="AA85" s="9"/>
      <c r="AB85" s="9"/>
    </row>
    <row r="86" spans="4:28">
      <c r="D86" s="9"/>
      <c r="E86" s="9"/>
      <c r="F86" s="9"/>
      <c r="G86" s="9"/>
      <c r="H86" s="9"/>
      <c r="I86" s="9"/>
      <c r="J86" s="9"/>
      <c r="K86" s="9"/>
      <c r="L86" s="9"/>
      <c r="M86" s="9"/>
      <c r="N86" s="9"/>
      <c r="O86" s="9"/>
      <c r="P86" s="9"/>
      <c r="Q86" s="9"/>
      <c r="R86" s="9"/>
      <c r="S86" s="9"/>
      <c r="T86" s="9"/>
      <c r="U86" s="9"/>
      <c r="V86" s="9"/>
      <c r="W86" s="9"/>
      <c r="X86" s="9"/>
      <c r="Y86" s="9"/>
      <c r="Z86" s="9"/>
      <c r="AA86" s="9"/>
      <c r="AB86" s="9"/>
    </row>
    <row r="87" spans="4:28">
      <c r="D87" s="9"/>
      <c r="E87" s="9"/>
      <c r="F87" s="9"/>
      <c r="G87" s="9"/>
      <c r="H87" s="9"/>
      <c r="I87" s="9"/>
      <c r="J87" s="9"/>
      <c r="K87" s="9"/>
      <c r="L87" s="9"/>
      <c r="M87" s="9"/>
      <c r="N87" s="9"/>
      <c r="O87" s="9"/>
      <c r="P87" s="9"/>
      <c r="Q87" s="9"/>
      <c r="R87" s="9"/>
      <c r="S87" s="9"/>
      <c r="T87" s="9"/>
      <c r="U87" s="9"/>
      <c r="V87" s="9"/>
      <c r="W87" s="9"/>
      <c r="X87" s="9"/>
      <c r="Y87" s="9"/>
      <c r="Z87" s="9"/>
      <c r="AA87" s="9"/>
      <c r="AB87" s="9"/>
    </row>
    <row r="88" spans="4:28">
      <c r="D88" s="9"/>
      <c r="E88" s="9"/>
      <c r="F88" s="9"/>
      <c r="G88" s="9"/>
      <c r="H88" s="9"/>
      <c r="I88" s="9"/>
      <c r="J88" s="9"/>
      <c r="K88" s="9"/>
      <c r="L88" s="9"/>
      <c r="M88" s="9"/>
      <c r="N88" s="9"/>
      <c r="O88" s="9"/>
      <c r="P88" s="9"/>
      <c r="Q88" s="9"/>
      <c r="R88" s="9"/>
      <c r="S88" s="9"/>
      <c r="T88" s="9"/>
      <c r="U88" s="9"/>
      <c r="V88" s="9"/>
      <c r="W88" s="9"/>
      <c r="X88" s="9"/>
      <c r="Y88" s="9"/>
      <c r="Z88" s="9"/>
      <c r="AA88" s="9"/>
      <c r="AB88" s="9"/>
    </row>
    <row r="89" spans="4:28">
      <c r="D89" s="9"/>
      <c r="E89" s="9"/>
      <c r="F89" s="9"/>
      <c r="G89" s="9"/>
      <c r="H89" s="9"/>
      <c r="I89" s="9"/>
      <c r="J89" s="9"/>
      <c r="K89" s="9"/>
      <c r="L89" s="9"/>
      <c r="M89" s="9"/>
      <c r="N89" s="9"/>
      <c r="O89" s="9"/>
      <c r="P89" s="9"/>
      <c r="Q89" s="9"/>
      <c r="R89" s="9"/>
      <c r="S89" s="9"/>
      <c r="T89" s="9"/>
      <c r="U89" s="9"/>
      <c r="V89" s="9"/>
      <c r="W89" s="9"/>
      <c r="X89" s="9"/>
      <c r="Y89" s="9"/>
      <c r="Z89" s="9"/>
      <c r="AA89" s="9"/>
      <c r="AB89" s="9"/>
    </row>
    <row r="90" spans="4:28">
      <c r="D90" s="9"/>
      <c r="E90" s="9"/>
      <c r="F90" s="9"/>
      <c r="G90" s="9"/>
      <c r="H90" s="9"/>
      <c r="I90" s="9"/>
      <c r="J90" s="9"/>
      <c r="K90" s="9"/>
      <c r="L90" s="9"/>
      <c r="M90" s="9"/>
      <c r="N90" s="9"/>
      <c r="O90" s="9"/>
      <c r="P90" s="9"/>
      <c r="Q90" s="9"/>
      <c r="R90" s="9"/>
      <c r="S90" s="9"/>
      <c r="T90" s="9"/>
      <c r="U90" s="9"/>
      <c r="V90" s="9"/>
      <c r="W90" s="9"/>
      <c r="X90" s="9"/>
      <c r="Y90" s="9"/>
      <c r="Z90" s="9"/>
      <c r="AA90" s="9"/>
      <c r="AB90" s="9"/>
    </row>
    <row r="91" spans="4:28">
      <c r="D91" s="9"/>
      <c r="E91" s="9"/>
      <c r="F91" s="9"/>
      <c r="G91" s="9"/>
      <c r="H91" s="9"/>
      <c r="I91" s="9"/>
      <c r="J91" s="9"/>
      <c r="K91" s="9"/>
      <c r="L91" s="9"/>
      <c r="M91" s="9"/>
      <c r="N91" s="9"/>
      <c r="O91" s="9"/>
      <c r="P91" s="9"/>
      <c r="Q91" s="9"/>
      <c r="R91" s="9"/>
      <c r="S91" s="9"/>
      <c r="T91" s="9"/>
      <c r="U91" s="9"/>
      <c r="V91" s="9"/>
      <c r="W91" s="9"/>
      <c r="X91" s="9"/>
      <c r="Y91" s="9"/>
      <c r="Z91" s="9"/>
      <c r="AA91" s="9"/>
      <c r="AB91" s="9"/>
    </row>
    <row r="92" spans="4:28">
      <c r="D92" s="9"/>
      <c r="E92" s="9"/>
      <c r="F92" s="9"/>
      <c r="G92" s="9"/>
      <c r="H92" s="9"/>
      <c r="I92" s="9"/>
      <c r="J92" s="9"/>
      <c r="K92" s="9"/>
      <c r="L92" s="9"/>
      <c r="M92" s="9"/>
      <c r="N92" s="9"/>
      <c r="O92" s="9"/>
      <c r="P92" s="9"/>
      <c r="Q92" s="9"/>
      <c r="R92" s="9"/>
      <c r="S92" s="9"/>
      <c r="T92" s="9"/>
      <c r="U92" s="9"/>
      <c r="V92" s="9"/>
      <c r="W92" s="9"/>
      <c r="X92" s="9"/>
      <c r="Y92" s="9"/>
      <c r="Z92" s="9"/>
      <c r="AA92" s="9"/>
      <c r="AB92" s="9"/>
    </row>
    <row r="93" spans="4:28">
      <c r="D93" s="9"/>
      <c r="E93" s="9"/>
      <c r="F93" s="9"/>
      <c r="G93" s="9"/>
      <c r="H93" s="9"/>
      <c r="I93" s="9" t="s">
        <v>122</v>
      </c>
      <c r="J93" s="9"/>
      <c r="K93" s="9"/>
      <c r="L93" s="9"/>
      <c r="M93" s="9"/>
      <c r="N93" s="9"/>
      <c r="O93" s="9"/>
      <c r="P93" s="9"/>
      <c r="Q93" s="9"/>
      <c r="R93" s="9"/>
      <c r="S93" s="9"/>
      <c r="T93" s="9"/>
      <c r="U93" s="9"/>
      <c r="V93" s="9"/>
      <c r="W93" s="9"/>
      <c r="X93" s="9"/>
      <c r="Y93" s="9"/>
      <c r="Z93" s="9"/>
      <c r="AA93" s="9"/>
      <c r="AB93" s="9"/>
    </row>
    <row r="94" spans="4:28">
      <c r="D94" s="9"/>
      <c r="E94" s="9"/>
      <c r="F94" s="9"/>
      <c r="G94" s="9"/>
      <c r="H94" s="9"/>
      <c r="I94" s="9"/>
      <c r="J94" s="9"/>
      <c r="K94" s="9"/>
      <c r="L94" s="9"/>
      <c r="M94" s="9"/>
      <c r="N94" s="9"/>
      <c r="O94" s="9"/>
      <c r="P94" s="9"/>
      <c r="Q94" s="9"/>
      <c r="R94" s="9"/>
      <c r="S94" s="9"/>
      <c r="T94" s="9"/>
      <c r="U94" s="9"/>
      <c r="V94" s="9"/>
      <c r="W94" s="9"/>
      <c r="X94" s="9"/>
      <c r="Y94" s="9"/>
      <c r="Z94" s="9"/>
      <c r="AA94" s="9"/>
      <c r="AB94" s="9"/>
    </row>
    <row r="95" spans="4:28">
      <c r="D95" s="9"/>
      <c r="E95" s="9"/>
      <c r="F95" s="9"/>
      <c r="G95" s="9"/>
      <c r="H95" s="9"/>
      <c r="I95" s="9"/>
      <c r="J95" s="9"/>
      <c r="K95" s="9"/>
      <c r="L95" s="9"/>
      <c r="M95" s="9"/>
      <c r="N95" s="9"/>
      <c r="O95" s="9"/>
      <c r="P95" s="9"/>
      <c r="Q95" s="9"/>
      <c r="R95" s="9"/>
      <c r="S95" s="9"/>
      <c r="T95" s="9"/>
      <c r="U95" s="9"/>
      <c r="V95" s="9"/>
      <c r="W95" s="9"/>
      <c r="X95" s="9"/>
      <c r="Y95" s="9"/>
      <c r="Z95" s="9"/>
      <c r="AA95" s="9"/>
      <c r="AB95" s="9"/>
    </row>
    <row r="96" spans="4:28">
      <c r="D96" s="9"/>
      <c r="E96" s="9"/>
      <c r="F96" s="9"/>
      <c r="G96" s="9"/>
      <c r="H96" s="9"/>
      <c r="I96" s="9"/>
      <c r="J96" s="9"/>
      <c r="K96" s="9"/>
      <c r="L96" s="9"/>
      <c r="M96" s="9"/>
      <c r="N96" s="9"/>
      <c r="O96" s="9"/>
      <c r="P96" s="9"/>
      <c r="Q96" s="9"/>
      <c r="R96" s="9"/>
      <c r="S96" s="9"/>
      <c r="T96" s="9"/>
      <c r="U96" s="9"/>
      <c r="V96" s="9"/>
      <c r="W96" s="9"/>
      <c r="X96" s="9"/>
      <c r="Y96" s="9"/>
      <c r="Z96" s="9"/>
      <c r="AA96" s="9"/>
      <c r="AB96" s="9"/>
    </row>
    <row r="97" spans="4:28">
      <c r="D97" s="9"/>
      <c r="E97" s="9"/>
      <c r="F97" s="9"/>
      <c r="G97" s="9"/>
      <c r="H97" s="9"/>
      <c r="I97" s="9"/>
      <c r="J97" s="9"/>
      <c r="K97" s="9"/>
      <c r="L97" s="9"/>
      <c r="M97" s="9"/>
      <c r="N97" s="9"/>
      <c r="O97" s="9"/>
      <c r="P97" s="9"/>
      <c r="Q97" s="9"/>
      <c r="R97" s="9"/>
      <c r="S97" s="9"/>
      <c r="T97" s="9"/>
      <c r="U97" s="9"/>
      <c r="V97" s="9"/>
      <c r="W97" s="9"/>
      <c r="X97" s="9"/>
      <c r="Y97" s="9"/>
      <c r="Z97" s="9"/>
      <c r="AA97" s="9"/>
      <c r="AB97" s="9"/>
    </row>
    <row r="98" spans="4:28">
      <c r="D98" s="9"/>
      <c r="E98" s="9"/>
      <c r="F98" s="9"/>
      <c r="G98" s="9"/>
      <c r="H98" s="9"/>
      <c r="I98" s="9"/>
      <c r="J98" s="9"/>
      <c r="K98" s="9"/>
      <c r="L98" s="9"/>
      <c r="M98" s="9"/>
      <c r="N98" s="9"/>
      <c r="O98" s="9"/>
      <c r="P98" s="9"/>
      <c r="Q98" s="9"/>
      <c r="R98" s="9"/>
      <c r="S98" s="9"/>
      <c r="T98" s="9"/>
      <c r="U98" s="9"/>
      <c r="V98" s="9"/>
      <c r="W98" s="9"/>
      <c r="X98" s="9"/>
      <c r="Y98" s="9"/>
      <c r="Z98" s="9"/>
      <c r="AA98" s="9"/>
      <c r="AB98" s="9"/>
    </row>
    <row r="99" spans="4:28">
      <c r="D99" s="9"/>
      <c r="E99" s="9"/>
      <c r="F99" s="9"/>
      <c r="G99" s="9"/>
      <c r="H99" s="9"/>
      <c r="I99" s="9"/>
      <c r="J99" s="9"/>
      <c r="K99" s="9"/>
      <c r="L99" s="9"/>
      <c r="M99" s="9"/>
      <c r="N99" s="9"/>
      <c r="O99" s="9"/>
      <c r="P99" s="9"/>
      <c r="Q99" s="9"/>
      <c r="R99" s="9"/>
      <c r="S99" s="9"/>
      <c r="T99" s="9"/>
      <c r="U99" s="9"/>
      <c r="V99" s="9"/>
      <c r="W99" s="9"/>
      <c r="X99" s="9"/>
      <c r="Y99" s="9"/>
      <c r="Z99" s="9"/>
      <c r="AA99" s="9"/>
      <c r="AB99" s="9"/>
    </row>
    <row r="100" spans="4:28">
      <c r="D100" s="9"/>
      <c r="E100" s="9"/>
      <c r="F100" s="9"/>
      <c r="G100" s="9"/>
      <c r="H100" s="9"/>
      <c r="I100" s="9"/>
      <c r="J100" s="9"/>
      <c r="K100" s="9"/>
      <c r="L100" s="9"/>
      <c r="M100" s="9"/>
      <c r="N100" s="9"/>
      <c r="O100" s="9"/>
      <c r="P100" s="9"/>
      <c r="Q100" s="9"/>
      <c r="R100" s="9"/>
      <c r="S100" s="9"/>
      <c r="T100" s="9"/>
      <c r="U100" s="9"/>
      <c r="V100" s="9"/>
      <c r="W100" s="9"/>
      <c r="X100" s="9"/>
      <c r="Y100" s="9"/>
      <c r="Z100" s="9"/>
      <c r="AA100" s="9"/>
      <c r="AB100" s="9"/>
    </row>
    <row r="101" spans="4:28">
      <c r="D101" s="9"/>
      <c r="E101" s="9"/>
      <c r="F101" s="9"/>
      <c r="G101" s="9"/>
      <c r="H101" s="9"/>
      <c r="I101" s="9"/>
      <c r="J101" s="9"/>
      <c r="K101" s="9"/>
      <c r="L101" s="9"/>
      <c r="M101" s="9"/>
      <c r="N101" s="9"/>
      <c r="O101" s="9"/>
      <c r="P101" s="9"/>
      <c r="Q101" s="9"/>
      <c r="R101" s="9"/>
      <c r="S101" s="9"/>
      <c r="T101" s="9"/>
      <c r="U101" s="9"/>
      <c r="V101" s="9"/>
      <c r="W101" s="9"/>
      <c r="X101" s="9"/>
      <c r="Y101" s="9"/>
      <c r="Z101" s="9"/>
      <c r="AA101" s="9"/>
      <c r="AB101" s="9"/>
    </row>
    <row r="102" spans="4:28">
      <c r="D102" s="9"/>
      <c r="E102" s="9"/>
      <c r="F102" s="9"/>
      <c r="G102" s="9"/>
      <c r="H102" s="9"/>
      <c r="I102" s="9"/>
      <c r="J102" s="9"/>
      <c r="K102" s="9"/>
      <c r="L102" s="9"/>
      <c r="M102" s="9"/>
      <c r="N102" s="9"/>
      <c r="O102" s="9"/>
      <c r="P102" s="9"/>
      <c r="Q102" s="9"/>
      <c r="R102" s="9"/>
      <c r="S102" s="9"/>
      <c r="T102" s="9"/>
      <c r="U102" s="9"/>
      <c r="V102" s="9"/>
      <c r="W102" s="9"/>
      <c r="X102" s="9"/>
      <c r="Y102" s="9"/>
      <c r="Z102" s="9"/>
      <c r="AA102" s="9"/>
      <c r="AB102" s="9"/>
    </row>
    <row r="103" spans="4:28">
      <c r="D103" s="9"/>
      <c r="E103" s="9"/>
      <c r="F103" s="9"/>
      <c r="G103" s="9"/>
      <c r="H103" s="9"/>
      <c r="I103" s="9"/>
      <c r="J103" s="9"/>
      <c r="K103" s="9"/>
      <c r="L103" s="9"/>
      <c r="M103" s="9"/>
      <c r="N103" s="9"/>
      <c r="O103" s="9"/>
      <c r="P103" s="9"/>
      <c r="Q103" s="9"/>
      <c r="R103" s="9"/>
      <c r="S103" s="9"/>
      <c r="T103" s="9"/>
      <c r="U103" s="9"/>
      <c r="V103" s="9"/>
      <c r="W103" s="9"/>
      <c r="X103" s="9"/>
      <c r="Y103" s="9"/>
      <c r="Z103" s="9"/>
      <c r="AA103" s="9"/>
      <c r="AB103" s="9"/>
    </row>
    <row r="104" spans="4:28">
      <c r="D104" s="9"/>
      <c r="E104" s="9"/>
      <c r="F104" s="9"/>
      <c r="G104" s="9"/>
      <c r="H104" s="9"/>
      <c r="I104" s="9"/>
      <c r="J104" s="9"/>
      <c r="K104" s="9"/>
      <c r="L104" s="9"/>
      <c r="M104" s="9"/>
      <c r="N104" s="9"/>
      <c r="O104" s="9"/>
      <c r="P104" s="9"/>
      <c r="Q104" s="9"/>
      <c r="R104" s="9"/>
      <c r="S104" s="9"/>
      <c r="T104" s="9"/>
      <c r="U104" s="9"/>
      <c r="V104" s="9"/>
      <c r="W104" s="9"/>
      <c r="X104" s="9"/>
      <c r="Y104" s="9"/>
      <c r="Z104" s="9"/>
      <c r="AA104" s="9"/>
      <c r="AB104" s="9"/>
    </row>
    <row r="105" spans="4:28">
      <c r="D105" s="9"/>
      <c r="E105" s="9"/>
      <c r="F105" s="9"/>
      <c r="G105" s="9"/>
      <c r="H105" s="9"/>
      <c r="I105" s="9"/>
      <c r="J105" s="9"/>
      <c r="K105" s="9"/>
      <c r="L105" s="9"/>
      <c r="M105" s="9"/>
      <c r="N105" s="9"/>
      <c r="O105" s="9"/>
      <c r="P105" s="9"/>
      <c r="Q105" s="9"/>
      <c r="R105" s="9"/>
      <c r="S105" s="9"/>
      <c r="T105" s="9"/>
      <c r="U105" s="9"/>
      <c r="V105" s="9"/>
      <c r="W105" s="9"/>
      <c r="X105" s="9"/>
      <c r="Y105" s="9"/>
      <c r="Z105" s="9"/>
      <c r="AA105" s="9"/>
      <c r="AB105" s="9"/>
    </row>
    <row r="106" spans="4:28">
      <c r="D106" s="9"/>
      <c r="E106" s="9"/>
      <c r="F106" s="9"/>
      <c r="G106" s="9"/>
      <c r="H106" s="9"/>
      <c r="I106" s="9"/>
      <c r="J106" s="9"/>
      <c r="K106" s="9"/>
      <c r="L106" s="9"/>
      <c r="M106" s="9"/>
      <c r="N106" s="9"/>
      <c r="O106" s="9"/>
      <c r="P106" s="9"/>
      <c r="Q106" s="9"/>
      <c r="R106" s="9"/>
      <c r="S106" s="9"/>
      <c r="T106" s="9"/>
      <c r="U106" s="9"/>
      <c r="V106" s="9"/>
      <c r="W106" s="9"/>
      <c r="X106" s="9"/>
      <c r="Y106" s="9"/>
      <c r="Z106" s="9"/>
      <c r="AA106" s="9"/>
      <c r="AB106" s="9"/>
    </row>
    <row r="107" spans="4:28">
      <c r="D107" s="9"/>
      <c r="E107" s="9"/>
      <c r="F107" s="9"/>
      <c r="G107" s="9"/>
      <c r="H107" s="9"/>
      <c r="I107" s="9"/>
      <c r="J107" s="9"/>
      <c r="K107" s="9"/>
      <c r="L107" s="9"/>
      <c r="M107" s="9"/>
      <c r="N107" s="9"/>
      <c r="O107" s="9"/>
      <c r="P107" s="9"/>
      <c r="Q107" s="9"/>
      <c r="R107" s="9"/>
      <c r="S107" s="9"/>
      <c r="T107" s="9"/>
      <c r="U107" s="9"/>
      <c r="V107" s="9"/>
      <c r="W107" s="9"/>
      <c r="X107" s="9"/>
      <c r="Y107" s="9"/>
      <c r="Z107" s="9"/>
      <c r="AA107" s="9"/>
      <c r="AB107" s="9"/>
    </row>
    <row r="108" spans="4:28">
      <c r="D108" s="9"/>
      <c r="E108" s="9"/>
      <c r="F108" s="9"/>
      <c r="G108" s="9"/>
      <c r="H108" s="9"/>
      <c r="I108" s="9"/>
      <c r="J108" s="9"/>
      <c r="K108" s="9"/>
      <c r="L108" s="9"/>
      <c r="M108" s="9"/>
      <c r="N108" s="9"/>
      <c r="O108" s="9"/>
      <c r="P108" s="9"/>
      <c r="Q108" s="9"/>
      <c r="R108" s="9"/>
      <c r="S108" s="9"/>
      <c r="T108" s="9"/>
      <c r="U108" s="9"/>
      <c r="V108" s="9"/>
      <c r="W108" s="9"/>
      <c r="X108" s="9"/>
      <c r="Y108" s="9"/>
      <c r="Z108" s="9"/>
      <c r="AA108" s="9"/>
      <c r="AB108" s="9"/>
    </row>
    <row r="109" spans="4:28">
      <c r="D109" s="9"/>
      <c r="E109" s="9"/>
      <c r="F109" s="9"/>
      <c r="G109" s="9"/>
      <c r="H109" s="9"/>
      <c r="I109" s="9"/>
      <c r="J109" s="9"/>
      <c r="K109" s="9"/>
      <c r="L109" s="9"/>
      <c r="M109" s="9"/>
      <c r="N109" s="9"/>
      <c r="O109" s="9"/>
      <c r="P109" s="9"/>
      <c r="Q109" s="9"/>
      <c r="R109" s="9"/>
      <c r="S109" s="9"/>
      <c r="T109" s="9"/>
      <c r="U109" s="9"/>
      <c r="V109" s="9"/>
      <c r="W109" s="9"/>
      <c r="X109" s="9"/>
      <c r="Y109" s="9"/>
      <c r="Z109" s="9"/>
      <c r="AA109" s="9"/>
      <c r="AB109" s="9"/>
    </row>
    <row r="110" spans="4:28">
      <c r="D110" s="9"/>
      <c r="E110" s="9"/>
      <c r="F110" s="9"/>
      <c r="G110" s="9"/>
      <c r="H110" s="9"/>
      <c r="I110" s="9"/>
      <c r="J110" s="9"/>
      <c r="K110" s="9"/>
      <c r="L110" s="9"/>
      <c r="M110" s="9"/>
      <c r="N110" s="9"/>
      <c r="O110" s="9"/>
      <c r="P110" s="9"/>
      <c r="Q110" s="9"/>
      <c r="R110" s="9"/>
      <c r="S110" s="9"/>
      <c r="T110" s="9"/>
      <c r="U110" s="9"/>
      <c r="V110" s="9"/>
      <c r="W110" s="9"/>
      <c r="X110" s="9"/>
      <c r="Y110" s="9"/>
      <c r="Z110" s="9"/>
      <c r="AA110" s="9"/>
      <c r="AB110" s="9"/>
    </row>
    <row r="111" spans="4:28">
      <c r="D111" s="9"/>
      <c r="E111" s="9"/>
      <c r="F111" s="9"/>
      <c r="G111" s="9"/>
      <c r="H111" s="9"/>
      <c r="I111" s="9"/>
      <c r="J111" s="9"/>
      <c r="K111" s="9"/>
      <c r="L111" s="9"/>
      <c r="M111" s="9"/>
      <c r="N111" s="9"/>
      <c r="O111" s="9"/>
      <c r="P111" s="9"/>
      <c r="Q111" s="9"/>
      <c r="R111" s="9"/>
      <c r="S111" s="9"/>
      <c r="T111" s="9"/>
      <c r="U111" s="9"/>
      <c r="V111" s="9"/>
      <c r="W111" s="9"/>
      <c r="X111" s="9"/>
      <c r="Y111" s="9"/>
      <c r="Z111" s="9"/>
      <c r="AA111" s="9"/>
      <c r="AB111" s="9"/>
    </row>
    <row r="112" spans="4:28">
      <c r="D112" s="9"/>
      <c r="E112" s="9"/>
      <c r="F112" s="9"/>
      <c r="G112" s="9"/>
      <c r="H112" s="9"/>
      <c r="I112" s="9"/>
      <c r="J112" s="9"/>
      <c r="K112" s="9"/>
      <c r="L112" s="9"/>
      <c r="M112" s="9"/>
      <c r="N112" s="9"/>
      <c r="O112" s="9"/>
      <c r="P112" s="9"/>
      <c r="Q112" s="9"/>
      <c r="R112" s="9"/>
      <c r="S112" s="9"/>
      <c r="T112" s="9"/>
      <c r="U112" s="9"/>
      <c r="V112" s="9"/>
      <c r="W112" s="9"/>
      <c r="X112" s="9"/>
      <c r="Y112" s="9"/>
      <c r="Z112" s="9"/>
      <c r="AA112" s="9"/>
      <c r="AB112" s="9"/>
    </row>
    <row r="113" spans="4:28">
      <c r="D113" s="9"/>
      <c r="E113" s="9"/>
      <c r="F113" s="9"/>
      <c r="G113" s="9"/>
      <c r="H113" s="9"/>
      <c r="I113" s="9"/>
      <c r="J113" s="9"/>
      <c r="K113" s="9"/>
      <c r="L113" s="9"/>
      <c r="M113" s="9"/>
      <c r="N113" s="9"/>
      <c r="O113" s="9"/>
      <c r="P113" s="9"/>
      <c r="Q113" s="9"/>
      <c r="R113" s="9"/>
      <c r="S113" s="9"/>
      <c r="T113" s="9"/>
      <c r="U113" s="9"/>
      <c r="V113" s="9"/>
      <c r="W113" s="9"/>
      <c r="X113" s="9"/>
      <c r="Y113" s="9"/>
      <c r="Z113" s="9"/>
      <c r="AA113" s="9"/>
      <c r="AB113" s="9"/>
    </row>
    <row r="114" spans="4:28">
      <c r="D114" s="9"/>
      <c r="E114" s="9"/>
      <c r="F114" s="9"/>
      <c r="G114" s="9"/>
      <c r="H114" s="9"/>
      <c r="I114" s="9"/>
      <c r="J114" s="9"/>
      <c r="K114" s="9"/>
      <c r="L114" s="9"/>
      <c r="M114" s="9"/>
      <c r="N114" s="9"/>
      <c r="O114" s="9"/>
      <c r="P114" s="9"/>
      <c r="Q114" s="9"/>
      <c r="R114" s="9"/>
      <c r="S114" s="9"/>
      <c r="T114" s="9"/>
      <c r="U114" s="9"/>
      <c r="V114" s="9"/>
      <c r="W114" s="9"/>
      <c r="X114" s="9"/>
      <c r="Y114" s="9"/>
      <c r="Z114" s="9"/>
      <c r="AA114" s="9"/>
      <c r="AB114" s="9"/>
    </row>
    <row r="115" spans="4:28">
      <c r="D115" s="9"/>
      <c r="E115" s="9"/>
      <c r="F115" s="9"/>
      <c r="G115" s="9"/>
      <c r="H115" s="9"/>
      <c r="I115" s="9"/>
      <c r="J115" s="9"/>
      <c r="K115" s="9"/>
      <c r="L115" s="9"/>
      <c r="M115" s="9"/>
      <c r="N115" s="9"/>
      <c r="O115" s="9"/>
      <c r="P115" s="9"/>
      <c r="Q115" s="9"/>
      <c r="R115" s="9"/>
      <c r="S115" s="9"/>
      <c r="T115" s="9"/>
      <c r="U115" s="9"/>
      <c r="V115" s="9"/>
      <c r="W115" s="9"/>
      <c r="X115" s="9"/>
      <c r="Y115" s="9"/>
      <c r="Z115" s="9"/>
      <c r="AA115" s="9"/>
      <c r="AB115" s="9"/>
    </row>
    <row r="116" spans="4:28">
      <c r="D116" s="9"/>
      <c r="E116" s="9"/>
      <c r="F116" s="9"/>
      <c r="G116" s="9"/>
      <c r="H116" s="9"/>
      <c r="I116" s="9"/>
      <c r="J116" s="9"/>
      <c r="K116" s="9"/>
      <c r="L116" s="9"/>
      <c r="M116" s="9"/>
      <c r="N116" s="9"/>
      <c r="O116" s="9"/>
      <c r="P116" s="9"/>
      <c r="Q116" s="9"/>
      <c r="R116" s="9"/>
      <c r="S116" s="9"/>
      <c r="T116" s="9"/>
      <c r="U116" s="9"/>
      <c r="V116" s="9"/>
      <c r="W116" s="9"/>
      <c r="X116" s="9"/>
      <c r="Y116" s="9"/>
      <c r="Z116" s="9"/>
      <c r="AA116" s="9"/>
      <c r="AB116" s="9"/>
    </row>
    <row r="117" spans="4:28">
      <c r="D117" s="9"/>
      <c r="E117" s="9"/>
      <c r="F117" s="9"/>
      <c r="G117" s="9"/>
      <c r="H117" s="9"/>
      <c r="I117" s="9"/>
      <c r="J117" s="9"/>
      <c r="K117" s="9"/>
      <c r="L117" s="9"/>
      <c r="M117" s="9"/>
      <c r="N117" s="9"/>
      <c r="O117" s="9"/>
      <c r="P117" s="9"/>
      <c r="Q117" s="9"/>
      <c r="R117" s="9"/>
      <c r="S117" s="9"/>
      <c r="T117" s="9"/>
      <c r="U117" s="9"/>
      <c r="V117" s="9"/>
      <c r="W117" s="9"/>
      <c r="X117" s="9"/>
      <c r="Y117" s="9"/>
      <c r="Z117" s="9"/>
      <c r="AA117" s="9"/>
      <c r="AB117" s="9"/>
    </row>
    <row r="118" spans="4:28">
      <c r="D118" s="9"/>
      <c r="E118" s="9"/>
      <c r="F118" s="9"/>
      <c r="G118" s="9"/>
      <c r="H118" s="9"/>
      <c r="I118" s="9"/>
      <c r="J118" s="9"/>
      <c r="K118" s="9"/>
      <c r="L118" s="9"/>
      <c r="M118" s="9"/>
      <c r="N118" s="9"/>
      <c r="O118" s="9"/>
      <c r="P118" s="9"/>
      <c r="Q118" s="9"/>
      <c r="R118" s="9"/>
      <c r="S118" s="9"/>
      <c r="T118" s="9"/>
      <c r="U118" s="9"/>
      <c r="V118" s="9"/>
      <c r="W118" s="9"/>
      <c r="X118" s="9"/>
      <c r="Y118" s="9"/>
      <c r="Z118" s="9"/>
      <c r="AA118" s="9"/>
      <c r="AB118" s="9"/>
    </row>
    <row r="119" spans="4:28">
      <c r="D119" s="9"/>
      <c r="E119" s="9"/>
      <c r="F119" s="9"/>
      <c r="G119" s="9"/>
      <c r="H119" s="9"/>
      <c r="I119" s="9"/>
      <c r="J119" s="9"/>
      <c r="K119" s="9"/>
      <c r="L119" s="9"/>
      <c r="M119" s="9"/>
      <c r="N119" s="9"/>
      <c r="O119" s="9"/>
      <c r="P119" s="9"/>
      <c r="Q119" s="9"/>
      <c r="R119" s="9"/>
      <c r="S119" s="9"/>
      <c r="T119" s="9"/>
      <c r="U119" s="9"/>
      <c r="V119" s="9"/>
      <c r="W119" s="9"/>
      <c r="X119" s="9"/>
      <c r="Y119" s="9"/>
      <c r="Z119" s="9"/>
      <c r="AA119" s="9"/>
      <c r="AB119" s="9"/>
    </row>
    <row r="120" spans="4:28">
      <c r="D120" s="9"/>
      <c r="E120" s="9"/>
      <c r="F120" s="9"/>
      <c r="G120" s="9"/>
      <c r="H120" s="9"/>
      <c r="I120" s="9"/>
      <c r="J120" s="9"/>
      <c r="K120" s="9"/>
      <c r="L120" s="9"/>
      <c r="M120" s="9"/>
      <c r="N120" s="9"/>
      <c r="O120" s="9"/>
      <c r="P120" s="9"/>
      <c r="Q120" s="9"/>
      <c r="R120" s="9"/>
      <c r="S120" s="9"/>
      <c r="T120" s="9"/>
      <c r="U120" s="9"/>
      <c r="V120" s="9"/>
      <c r="W120" s="9"/>
      <c r="X120" s="9"/>
      <c r="Y120" s="9"/>
      <c r="Z120" s="9"/>
      <c r="AA120" s="9"/>
      <c r="AB120" s="9"/>
    </row>
    <row r="121" spans="4:28">
      <c r="D121" s="9"/>
      <c r="E121" s="9"/>
      <c r="F121" s="9"/>
      <c r="G121" s="9"/>
      <c r="H121" s="9"/>
      <c r="I121" s="9"/>
      <c r="J121" s="9"/>
      <c r="K121" s="9"/>
      <c r="L121" s="9"/>
      <c r="M121" s="9"/>
      <c r="N121" s="9"/>
      <c r="O121" s="9"/>
      <c r="P121" s="9"/>
      <c r="Q121" s="9"/>
      <c r="R121" s="9"/>
      <c r="S121" s="9"/>
      <c r="T121" s="9"/>
      <c r="U121" s="9"/>
      <c r="V121" s="9"/>
      <c r="W121" s="9"/>
      <c r="X121" s="9"/>
      <c r="Y121" s="9"/>
      <c r="Z121" s="9"/>
      <c r="AA121" s="9"/>
      <c r="AB121" s="9"/>
    </row>
    <row r="122" spans="4:28">
      <c r="D122" s="9"/>
      <c r="E122" s="9"/>
      <c r="F122" s="9"/>
      <c r="G122" s="9"/>
      <c r="H122" s="9"/>
      <c r="I122" s="9"/>
      <c r="J122" s="9"/>
      <c r="K122" s="9"/>
      <c r="L122" s="9"/>
      <c r="M122" s="9"/>
      <c r="N122" s="9"/>
      <c r="O122" s="9"/>
      <c r="P122" s="9"/>
      <c r="Q122" s="9"/>
      <c r="R122" s="9"/>
      <c r="S122" s="9"/>
      <c r="T122" s="9"/>
      <c r="U122" s="9"/>
      <c r="V122" s="9"/>
      <c r="W122" s="9"/>
      <c r="X122" s="9"/>
      <c r="Y122" s="9"/>
      <c r="Z122" s="9"/>
      <c r="AA122" s="9"/>
      <c r="AB122" s="9"/>
    </row>
    <row r="123" spans="4:28">
      <c r="D123" s="9"/>
      <c r="E123" s="9"/>
      <c r="F123" s="9"/>
      <c r="G123" s="9"/>
      <c r="H123" s="9"/>
      <c r="I123" s="9"/>
      <c r="J123" s="9"/>
      <c r="K123" s="9"/>
      <c r="L123" s="9"/>
      <c r="M123" s="9"/>
      <c r="N123" s="9"/>
      <c r="O123" s="9"/>
      <c r="P123" s="9"/>
      <c r="Q123" s="9"/>
      <c r="R123" s="9"/>
      <c r="S123" s="9"/>
      <c r="T123" s="9"/>
      <c r="U123" s="9"/>
      <c r="V123" s="9"/>
      <c r="W123" s="9"/>
      <c r="X123" s="9"/>
      <c r="Y123" s="9"/>
      <c r="Z123" s="9"/>
      <c r="AA123" s="9"/>
      <c r="AB123" s="9"/>
    </row>
    <row r="124" spans="4:28">
      <c r="D124" s="9"/>
      <c r="E124" s="9"/>
      <c r="F124" s="9"/>
      <c r="G124" s="9"/>
      <c r="H124" s="9"/>
      <c r="I124" s="9"/>
      <c r="J124" s="9"/>
      <c r="K124" s="9"/>
      <c r="L124" s="9"/>
      <c r="M124" s="9"/>
      <c r="N124" s="9"/>
      <c r="O124" s="9"/>
      <c r="P124" s="9"/>
      <c r="Q124" s="9"/>
      <c r="R124" s="9"/>
      <c r="S124" s="9"/>
      <c r="T124" s="9"/>
      <c r="U124" s="9"/>
      <c r="V124" s="9"/>
      <c r="W124" s="9"/>
      <c r="X124" s="9"/>
      <c r="Y124" s="9"/>
      <c r="Z124" s="9"/>
      <c r="AA124" s="9"/>
      <c r="AB124" s="9"/>
    </row>
    <row r="125" spans="4:28">
      <c r="D125" s="9"/>
      <c r="E125" s="9"/>
      <c r="F125" s="9"/>
      <c r="G125" s="9"/>
      <c r="H125" s="9"/>
      <c r="I125" s="9"/>
      <c r="J125" s="9"/>
      <c r="K125" s="9"/>
      <c r="L125" s="9"/>
      <c r="M125" s="9"/>
      <c r="N125" s="9"/>
      <c r="O125" s="9"/>
      <c r="P125" s="9"/>
      <c r="Q125" s="9"/>
      <c r="R125" s="9"/>
      <c r="S125" s="9"/>
      <c r="T125" s="9"/>
      <c r="U125" s="9"/>
      <c r="V125" s="9"/>
      <c r="W125" s="9"/>
      <c r="X125" s="9"/>
      <c r="Y125" s="9"/>
      <c r="Z125" s="9"/>
      <c r="AA125" s="9"/>
      <c r="AB125" s="9"/>
    </row>
    <row r="126" spans="4:28">
      <c r="D126" s="9"/>
      <c r="E126" s="9"/>
      <c r="F126" s="9"/>
      <c r="G126" s="9"/>
      <c r="H126" s="9"/>
      <c r="I126" s="9"/>
      <c r="J126" s="9"/>
      <c r="K126" s="9"/>
      <c r="L126" s="9"/>
      <c r="M126" s="9"/>
      <c r="N126" s="9"/>
      <c r="O126" s="9"/>
      <c r="P126" s="9"/>
      <c r="Q126" s="9"/>
      <c r="R126" s="9"/>
      <c r="S126" s="9"/>
      <c r="T126" s="9"/>
      <c r="U126" s="9"/>
      <c r="V126" s="9"/>
      <c r="W126" s="9"/>
      <c r="X126" s="9"/>
      <c r="Y126" s="9"/>
      <c r="Z126" s="9"/>
      <c r="AA126" s="9"/>
      <c r="AB126" s="9"/>
    </row>
    <row r="127" spans="4:28">
      <c r="D127" s="9"/>
      <c r="E127" s="9"/>
      <c r="F127" s="9"/>
      <c r="G127" s="9"/>
      <c r="H127" s="9"/>
      <c r="I127" s="9"/>
      <c r="J127" s="9"/>
      <c r="K127" s="9"/>
      <c r="L127" s="9"/>
      <c r="M127" s="9"/>
      <c r="N127" s="9"/>
      <c r="O127" s="9"/>
      <c r="P127" s="9"/>
      <c r="Q127" s="9"/>
      <c r="R127" s="9"/>
      <c r="S127" s="9"/>
      <c r="T127" s="9"/>
      <c r="U127" s="9"/>
      <c r="V127" s="9"/>
      <c r="W127" s="9"/>
      <c r="X127" s="9"/>
      <c r="Y127" s="9"/>
      <c r="Z127" s="9"/>
      <c r="AA127" s="9"/>
      <c r="AB127" s="9"/>
    </row>
    <row r="128" spans="4:28">
      <c r="D128" s="9"/>
      <c r="E128" s="9"/>
      <c r="F128" s="9"/>
      <c r="G128" s="9"/>
      <c r="H128" s="9"/>
      <c r="I128" s="9"/>
      <c r="J128" s="9"/>
      <c r="K128" s="9"/>
      <c r="L128" s="9"/>
      <c r="M128" s="9"/>
      <c r="N128" s="9"/>
      <c r="O128" s="9"/>
      <c r="P128" s="9"/>
      <c r="Q128" s="9"/>
      <c r="R128" s="9"/>
      <c r="S128" s="9"/>
      <c r="T128" s="9"/>
      <c r="U128" s="9"/>
      <c r="V128" s="9"/>
      <c r="W128" s="9"/>
      <c r="X128" s="9"/>
      <c r="Y128" s="9"/>
      <c r="Z128" s="9"/>
      <c r="AA128" s="9"/>
      <c r="AB128" s="9"/>
    </row>
    <row r="129" spans="4:28">
      <c r="D129" s="9"/>
      <c r="E129" s="9"/>
      <c r="F129" s="9"/>
      <c r="G129" s="9"/>
      <c r="H129" s="9"/>
      <c r="I129" s="9"/>
      <c r="J129" s="9"/>
      <c r="K129" s="9"/>
      <c r="L129" s="9"/>
      <c r="M129" s="9"/>
      <c r="N129" s="9"/>
      <c r="O129" s="9"/>
      <c r="P129" s="9"/>
      <c r="Q129" s="9"/>
      <c r="R129" s="9"/>
      <c r="S129" s="9"/>
      <c r="T129" s="9"/>
      <c r="U129" s="9"/>
      <c r="V129" s="9"/>
      <c r="W129" s="9"/>
      <c r="X129" s="9"/>
      <c r="Y129" s="9"/>
      <c r="Z129" s="9"/>
      <c r="AA129" s="9"/>
      <c r="AB129" s="9"/>
    </row>
    <row r="130" spans="4:28">
      <c r="D130" s="9"/>
      <c r="E130" s="9"/>
      <c r="F130" s="9"/>
      <c r="G130" s="9"/>
      <c r="H130" s="9"/>
      <c r="I130" s="9"/>
      <c r="J130" s="9"/>
      <c r="K130" s="9"/>
      <c r="L130" s="9"/>
      <c r="M130" s="9"/>
      <c r="N130" s="9"/>
      <c r="O130" s="9"/>
      <c r="P130" s="9"/>
      <c r="Q130" s="9"/>
      <c r="R130" s="9"/>
      <c r="S130" s="9"/>
      <c r="T130" s="9"/>
      <c r="U130" s="9"/>
      <c r="V130" s="9"/>
      <c r="W130" s="9"/>
      <c r="X130" s="9"/>
      <c r="Y130" s="9"/>
      <c r="Z130" s="9"/>
      <c r="AA130" s="9"/>
      <c r="AB130" s="9"/>
    </row>
    <row r="131" spans="4:28">
      <c r="D131" s="9"/>
      <c r="E131" s="9"/>
      <c r="F131" s="9"/>
      <c r="G131" s="9"/>
      <c r="H131" s="9"/>
      <c r="I131" s="9"/>
      <c r="J131" s="9"/>
      <c r="K131" s="9"/>
      <c r="L131" s="9"/>
      <c r="M131" s="9"/>
      <c r="N131" s="9"/>
      <c r="O131" s="9"/>
      <c r="P131" s="9"/>
      <c r="Q131" s="9"/>
      <c r="R131" s="9"/>
      <c r="S131" s="9"/>
      <c r="T131" s="9"/>
      <c r="U131" s="9"/>
      <c r="V131" s="9"/>
      <c r="W131" s="9"/>
      <c r="X131" s="9"/>
      <c r="Y131" s="9"/>
      <c r="Z131" s="9"/>
      <c r="AA131" s="9"/>
      <c r="AB131" s="9"/>
    </row>
    <row r="132" spans="4:28">
      <c r="D132" s="9"/>
      <c r="E132" s="9"/>
      <c r="F132" s="9"/>
      <c r="G132" s="9"/>
      <c r="H132" s="9"/>
      <c r="I132" s="9"/>
      <c r="J132" s="9"/>
      <c r="K132" s="9"/>
      <c r="L132" s="9"/>
      <c r="M132" s="9"/>
      <c r="N132" s="9"/>
      <c r="O132" s="9"/>
      <c r="P132" s="9"/>
      <c r="Q132" s="9"/>
      <c r="R132" s="9"/>
      <c r="S132" s="9"/>
      <c r="T132" s="9"/>
      <c r="U132" s="9"/>
      <c r="V132" s="9"/>
      <c r="W132" s="9"/>
      <c r="X132" s="9"/>
      <c r="Y132" s="9"/>
      <c r="Z132" s="9"/>
      <c r="AA132" s="9"/>
      <c r="AB132" s="9"/>
    </row>
    <row r="133" spans="4:28">
      <c r="D133" s="9"/>
      <c r="E133" s="9"/>
      <c r="F133" s="9"/>
      <c r="G133" s="9"/>
      <c r="H133" s="9"/>
      <c r="I133" s="9"/>
      <c r="J133" s="9"/>
      <c r="K133" s="9"/>
      <c r="L133" s="9"/>
      <c r="M133" s="9"/>
      <c r="N133" s="9"/>
      <c r="O133" s="9"/>
      <c r="P133" s="9"/>
      <c r="Q133" s="9"/>
      <c r="R133" s="9"/>
      <c r="S133" s="9"/>
      <c r="T133" s="9"/>
      <c r="U133" s="9"/>
      <c r="V133" s="9"/>
      <c r="W133" s="9"/>
      <c r="X133" s="9"/>
      <c r="Y133" s="9"/>
      <c r="Z133" s="9"/>
      <c r="AA133" s="9"/>
      <c r="AB133" s="9"/>
    </row>
    <row r="134" spans="4:28">
      <c r="D134" s="9"/>
      <c r="E134" s="9"/>
      <c r="F134" s="9"/>
      <c r="G134" s="9"/>
      <c r="H134" s="9"/>
      <c r="I134" s="9"/>
      <c r="J134" s="9"/>
      <c r="K134" s="9"/>
      <c r="L134" s="9"/>
      <c r="M134" s="9"/>
      <c r="N134" s="9"/>
      <c r="O134" s="9"/>
      <c r="P134" s="9"/>
      <c r="Q134" s="9"/>
      <c r="R134" s="9"/>
      <c r="S134" s="9"/>
      <c r="T134" s="9"/>
      <c r="U134" s="9"/>
      <c r="V134" s="9"/>
      <c r="W134" s="9"/>
      <c r="X134" s="9"/>
      <c r="Y134" s="9"/>
      <c r="Z134" s="9"/>
      <c r="AA134" s="9"/>
      <c r="AB134" s="9"/>
    </row>
    <row r="135" spans="4:28">
      <c r="D135" s="9"/>
      <c r="E135" s="9"/>
      <c r="F135" s="9"/>
      <c r="G135" s="9"/>
      <c r="H135" s="9"/>
      <c r="I135" s="9"/>
      <c r="J135" s="9"/>
      <c r="K135" s="9"/>
      <c r="L135" s="9"/>
      <c r="M135" s="9"/>
      <c r="N135" s="9"/>
      <c r="O135" s="9"/>
      <c r="P135" s="9"/>
      <c r="Q135" s="9"/>
      <c r="R135" s="9"/>
      <c r="S135" s="9"/>
      <c r="T135" s="9"/>
      <c r="U135" s="9"/>
      <c r="V135" s="9"/>
      <c r="W135" s="9"/>
      <c r="X135" s="9"/>
      <c r="Y135" s="9"/>
      <c r="Z135" s="9"/>
      <c r="AA135" s="9"/>
      <c r="AB135" s="9"/>
    </row>
    <row r="136" spans="4:28">
      <c r="D136" s="9"/>
      <c r="E136" s="9"/>
      <c r="F136" s="9"/>
      <c r="G136" s="9"/>
      <c r="H136" s="9"/>
      <c r="I136" s="9"/>
      <c r="J136" s="9"/>
      <c r="K136" s="9"/>
      <c r="L136" s="9"/>
      <c r="M136" s="9"/>
      <c r="N136" s="9"/>
      <c r="O136" s="9"/>
      <c r="P136" s="9"/>
      <c r="Q136" s="9"/>
      <c r="R136" s="9"/>
      <c r="S136" s="9"/>
      <c r="T136" s="9"/>
      <c r="U136" s="9"/>
      <c r="V136" s="9"/>
      <c r="W136" s="9"/>
      <c r="X136" s="9"/>
      <c r="Y136" s="9"/>
      <c r="Z136" s="9"/>
      <c r="AA136" s="9"/>
      <c r="AB136" s="9"/>
    </row>
    <row r="137" spans="4:28">
      <c r="D137" s="9"/>
      <c r="E137" s="9"/>
      <c r="F137" s="9"/>
      <c r="G137" s="9"/>
      <c r="H137" s="9"/>
      <c r="I137" s="9"/>
      <c r="J137" s="9"/>
      <c r="K137" s="9"/>
      <c r="L137" s="9"/>
      <c r="M137" s="9"/>
      <c r="N137" s="9"/>
      <c r="O137" s="9"/>
      <c r="P137" s="9"/>
      <c r="Q137" s="9"/>
      <c r="R137" s="9"/>
      <c r="S137" s="9"/>
      <c r="T137" s="9"/>
      <c r="U137" s="9"/>
      <c r="V137" s="9"/>
      <c r="W137" s="9"/>
      <c r="X137" s="9"/>
      <c r="Y137" s="9"/>
      <c r="Z137" s="9"/>
      <c r="AA137" s="9"/>
      <c r="AB137" s="9"/>
    </row>
    <row r="138" spans="4:28">
      <c r="D138" s="9"/>
      <c r="E138" s="9"/>
      <c r="F138" s="9"/>
      <c r="G138" s="9"/>
      <c r="H138" s="9"/>
      <c r="I138" s="9"/>
      <c r="J138" s="9"/>
      <c r="K138" s="9"/>
      <c r="L138" s="9"/>
      <c r="M138" s="9"/>
      <c r="N138" s="9"/>
      <c r="O138" s="9"/>
      <c r="P138" s="9"/>
      <c r="Q138" s="9"/>
      <c r="R138" s="9"/>
      <c r="S138" s="9"/>
      <c r="T138" s="9"/>
      <c r="U138" s="9"/>
      <c r="V138" s="9"/>
      <c r="W138" s="9"/>
      <c r="X138" s="9"/>
      <c r="Y138" s="9"/>
      <c r="Z138" s="9"/>
      <c r="AA138" s="9"/>
      <c r="AB138" s="9"/>
    </row>
    <row r="139" spans="4:28">
      <c r="D139" s="9"/>
      <c r="E139" s="9"/>
      <c r="F139" s="9"/>
      <c r="G139" s="9"/>
      <c r="H139" s="9"/>
      <c r="I139" s="9"/>
      <c r="J139" s="9"/>
      <c r="K139" s="9"/>
      <c r="L139" s="9"/>
      <c r="M139" s="9"/>
      <c r="N139" s="9"/>
      <c r="O139" s="9"/>
      <c r="P139" s="9"/>
      <c r="Q139" s="9"/>
      <c r="R139" s="9"/>
      <c r="S139" s="9"/>
      <c r="T139" s="9"/>
      <c r="U139" s="9"/>
      <c r="V139" s="9"/>
      <c r="W139" s="9"/>
      <c r="X139" s="9"/>
      <c r="Y139" s="9"/>
      <c r="Z139" s="9"/>
      <c r="AA139" s="9"/>
      <c r="AB139" s="9"/>
    </row>
    <row r="140" spans="4:28">
      <c r="D140" s="9"/>
      <c r="E140" s="9"/>
      <c r="F140" s="9"/>
      <c r="G140" s="9"/>
      <c r="H140" s="9"/>
      <c r="I140" s="9"/>
      <c r="J140" s="9"/>
      <c r="K140" s="9"/>
      <c r="L140" s="9"/>
      <c r="M140" s="9"/>
      <c r="N140" s="9"/>
      <c r="O140" s="9"/>
      <c r="P140" s="9"/>
      <c r="Q140" s="9"/>
      <c r="R140" s="9"/>
      <c r="S140" s="9"/>
      <c r="T140" s="9"/>
      <c r="U140" s="9"/>
      <c r="V140" s="9"/>
      <c r="W140" s="9"/>
      <c r="X140" s="9"/>
      <c r="Y140" s="9"/>
      <c r="Z140" s="9"/>
      <c r="AA140" s="9"/>
      <c r="AB140" s="9"/>
    </row>
    <row r="141" spans="4:28">
      <c r="D141" s="9"/>
      <c r="E141" s="9"/>
      <c r="F141" s="9"/>
      <c r="G141" s="9"/>
      <c r="H141" s="9"/>
      <c r="I141" s="9"/>
      <c r="J141" s="9"/>
      <c r="K141" s="9"/>
      <c r="L141" s="9"/>
      <c r="M141" s="9"/>
      <c r="N141" s="9"/>
      <c r="O141" s="9"/>
      <c r="P141" s="9"/>
      <c r="Q141" s="9"/>
      <c r="R141" s="9"/>
      <c r="S141" s="9"/>
      <c r="T141" s="9"/>
      <c r="U141" s="9"/>
      <c r="V141" s="9"/>
      <c r="W141" s="9"/>
      <c r="X141" s="9"/>
      <c r="Y141" s="9"/>
      <c r="Z141" s="9"/>
      <c r="AA141" s="9"/>
      <c r="AB141" s="9"/>
    </row>
    <row r="142" spans="4:28">
      <c r="D142" s="9"/>
      <c r="E142" s="9"/>
      <c r="F142" s="9"/>
      <c r="G142" s="9"/>
      <c r="H142" s="9"/>
      <c r="I142" s="9"/>
      <c r="J142" s="9"/>
      <c r="K142" s="9"/>
      <c r="L142" s="9"/>
      <c r="M142" s="9"/>
      <c r="N142" s="9"/>
      <c r="O142" s="9"/>
      <c r="P142" s="9"/>
      <c r="Q142" s="9"/>
      <c r="R142" s="9"/>
      <c r="S142" s="9"/>
      <c r="T142" s="9"/>
      <c r="U142" s="9"/>
      <c r="V142" s="9"/>
      <c r="W142" s="9"/>
      <c r="X142" s="9"/>
      <c r="Y142" s="9"/>
      <c r="Z142" s="9"/>
      <c r="AA142" s="9"/>
      <c r="AB142" s="9"/>
    </row>
    <row r="143" spans="4:28">
      <c r="D143" s="9"/>
      <c r="E143" s="9"/>
      <c r="F143" s="9"/>
      <c r="G143" s="9"/>
      <c r="H143" s="9"/>
      <c r="I143" s="9"/>
      <c r="J143" s="9"/>
      <c r="K143" s="9"/>
      <c r="L143" s="9"/>
      <c r="M143" s="9"/>
      <c r="N143" s="9"/>
      <c r="O143" s="9"/>
      <c r="P143" s="9"/>
      <c r="Q143" s="9"/>
      <c r="R143" s="9"/>
      <c r="S143" s="9"/>
      <c r="T143" s="9"/>
      <c r="U143" s="9"/>
      <c r="V143" s="9"/>
      <c r="W143" s="9"/>
      <c r="X143" s="9"/>
      <c r="Y143" s="9"/>
      <c r="Z143" s="9"/>
      <c r="AA143" s="9"/>
      <c r="AB143" s="9"/>
    </row>
    <row r="144" spans="4:28">
      <c r="D144" s="9"/>
      <c r="E144" s="9"/>
      <c r="F144" s="9"/>
      <c r="G144" s="9"/>
      <c r="H144" s="9"/>
      <c r="I144" s="9"/>
      <c r="J144" s="9"/>
      <c r="K144" s="9"/>
      <c r="L144" s="9"/>
      <c r="M144" s="9"/>
      <c r="N144" s="9"/>
      <c r="O144" s="9"/>
      <c r="P144" s="9"/>
      <c r="Q144" s="9"/>
      <c r="R144" s="9"/>
      <c r="S144" s="9"/>
      <c r="T144" s="9"/>
      <c r="U144" s="9"/>
      <c r="V144" s="9"/>
      <c r="W144" s="9"/>
      <c r="X144" s="9"/>
      <c r="Y144" s="9"/>
      <c r="Z144" s="9"/>
      <c r="AA144" s="9"/>
      <c r="AB144" s="9"/>
    </row>
    <row r="145" spans="4:28">
      <c r="D145" s="9"/>
      <c r="E145" s="9"/>
      <c r="F145" s="9"/>
      <c r="G145" s="9"/>
      <c r="H145" s="9"/>
      <c r="I145" s="9"/>
      <c r="J145" s="9"/>
      <c r="K145" s="9"/>
      <c r="L145" s="9"/>
      <c r="M145" s="9"/>
      <c r="N145" s="9"/>
      <c r="O145" s="9"/>
      <c r="P145" s="9"/>
      <c r="Q145" s="9"/>
      <c r="R145" s="9"/>
      <c r="S145" s="9"/>
      <c r="T145" s="9"/>
      <c r="U145" s="9"/>
      <c r="V145" s="9"/>
      <c r="W145" s="9"/>
      <c r="X145" s="9"/>
      <c r="Y145" s="9"/>
      <c r="Z145" s="9"/>
      <c r="AA145" s="9"/>
      <c r="AB145" s="9"/>
    </row>
    <row r="146" spans="4:28">
      <c r="D146" s="9"/>
      <c r="E146" s="9"/>
      <c r="F146" s="9"/>
      <c r="G146" s="9"/>
      <c r="H146" s="9"/>
      <c r="I146" s="9"/>
      <c r="J146" s="9"/>
      <c r="K146" s="9"/>
      <c r="L146" s="9"/>
      <c r="M146" s="9"/>
      <c r="N146" s="9"/>
      <c r="O146" s="9"/>
      <c r="P146" s="9"/>
      <c r="Q146" s="9"/>
      <c r="R146" s="9"/>
      <c r="S146" s="9"/>
      <c r="T146" s="9"/>
      <c r="U146" s="9"/>
      <c r="V146" s="9"/>
      <c r="W146" s="9"/>
      <c r="X146" s="9"/>
      <c r="Y146" s="9"/>
      <c r="Z146" s="9"/>
      <c r="AA146" s="9"/>
      <c r="AB146" s="9"/>
    </row>
    <row r="147" spans="4:28">
      <c r="D147" s="9"/>
      <c r="E147" s="9"/>
      <c r="F147" s="9"/>
      <c r="G147" s="9"/>
      <c r="H147" s="9"/>
      <c r="I147" s="9"/>
      <c r="J147" s="9"/>
      <c r="K147" s="9"/>
      <c r="L147" s="9"/>
      <c r="M147" s="9"/>
      <c r="N147" s="9"/>
      <c r="O147" s="9"/>
      <c r="P147" s="9"/>
      <c r="Q147" s="9"/>
      <c r="R147" s="9"/>
      <c r="S147" s="9"/>
      <c r="T147" s="9"/>
      <c r="U147" s="9"/>
      <c r="V147" s="9"/>
      <c r="W147" s="9"/>
      <c r="X147" s="9"/>
      <c r="Y147" s="9"/>
      <c r="Z147" s="9"/>
      <c r="AA147" s="9"/>
      <c r="AB147" s="9"/>
    </row>
    <row r="148" spans="4:28">
      <c r="D148" s="9"/>
      <c r="E148" s="9"/>
      <c r="F148" s="9"/>
      <c r="G148" s="9"/>
      <c r="H148" s="9"/>
      <c r="I148" s="9"/>
      <c r="J148" s="9"/>
      <c r="K148" s="9"/>
      <c r="L148" s="9"/>
      <c r="M148" s="9"/>
      <c r="N148" s="9"/>
      <c r="O148" s="9"/>
      <c r="P148" s="9"/>
      <c r="Q148" s="9"/>
      <c r="R148" s="9"/>
      <c r="S148" s="9"/>
      <c r="T148" s="9"/>
      <c r="U148" s="9"/>
      <c r="V148" s="9"/>
      <c r="W148" s="9"/>
      <c r="X148" s="9"/>
      <c r="Y148" s="9"/>
      <c r="Z148" s="9"/>
      <c r="AA148" s="9"/>
      <c r="AB148" s="9"/>
    </row>
    <row r="149" spans="4:28">
      <c r="D149" s="9"/>
      <c r="E149" s="9"/>
      <c r="F149" s="9"/>
      <c r="G149" s="9"/>
      <c r="H149" s="9"/>
      <c r="I149" s="9"/>
      <c r="J149" s="9"/>
      <c r="K149" s="9"/>
      <c r="L149" s="9"/>
      <c r="M149" s="9"/>
      <c r="N149" s="9"/>
      <c r="O149" s="9"/>
      <c r="P149" s="9"/>
      <c r="Q149" s="9"/>
      <c r="R149" s="9"/>
      <c r="S149" s="9"/>
      <c r="T149" s="9"/>
      <c r="U149" s="9"/>
      <c r="V149" s="9"/>
      <c r="W149" s="9"/>
      <c r="X149" s="9"/>
      <c r="Y149" s="9"/>
      <c r="Z149" s="9"/>
      <c r="AA149" s="9"/>
      <c r="AB149" s="9"/>
    </row>
    <row r="150" spans="4:28">
      <c r="D150" s="9"/>
      <c r="E150" s="9"/>
      <c r="F150" s="9"/>
      <c r="G150" s="9"/>
      <c r="H150" s="9"/>
      <c r="I150" s="9"/>
      <c r="J150" s="9"/>
      <c r="K150" s="9"/>
      <c r="L150" s="9"/>
      <c r="M150" s="9"/>
      <c r="N150" s="9"/>
      <c r="O150" s="9"/>
      <c r="P150" s="9"/>
      <c r="Q150" s="9"/>
      <c r="R150" s="9"/>
      <c r="S150" s="9"/>
      <c r="T150" s="9"/>
      <c r="U150" s="9"/>
      <c r="V150" s="9"/>
      <c r="W150" s="9"/>
      <c r="X150" s="9"/>
      <c r="Y150" s="9"/>
      <c r="Z150" s="9"/>
      <c r="AA150" s="9"/>
      <c r="AB150" s="9"/>
    </row>
    <row r="151" spans="4:28">
      <c r="D151" s="9"/>
      <c r="E151" s="9"/>
      <c r="F151" s="9"/>
      <c r="G151" s="9"/>
      <c r="H151" s="9"/>
      <c r="I151" s="9"/>
      <c r="J151" s="9"/>
      <c r="K151" s="9"/>
      <c r="L151" s="9"/>
      <c r="M151" s="9"/>
      <c r="N151" s="9"/>
      <c r="O151" s="9"/>
      <c r="P151" s="9"/>
      <c r="Q151" s="9"/>
      <c r="R151" s="9"/>
      <c r="S151" s="9"/>
      <c r="T151" s="9"/>
      <c r="U151" s="9"/>
      <c r="V151" s="9"/>
      <c r="W151" s="9"/>
      <c r="X151" s="9"/>
      <c r="Y151" s="9"/>
      <c r="Z151" s="9"/>
      <c r="AA151" s="9"/>
      <c r="AB151" s="9"/>
    </row>
    <row r="152" spans="4:28">
      <c r="D152" s="9"/>
      <c r="E152" s="9"/>
      <c r="F152" s="9"/>
      <c r="G152" s="9"/>
      <c r="H152" s="9"/>
      <c r="I152" s="9"/>
      <c r="J152" s="9"/>
      <c r="K152" s="9"/>
      <c r="L152" s="9"/>
      <c r="M152" s="9"/>
      <c r="N152" s="9"/>
      <c r="O152" s="9"/>
      <c r="P152" s="9"/>
      <c r="Q152" s="9"/>
      <c r="R152" s="9"/>
      <c r="S152" s="9"/>
      <c r="T152" s="9"/>
      <c r="U152" s="9"/>
      <c r="V152" s="9"/>
      <c r="W152" s="9"/>
      <c r="X152" s="9"/>
      <c r="Y152" s="9"/>
      <c r="Z152" s="9"/>
      <c r="AA152" s="9"/>
      <c r="AB152" s="9"/>
    </row>
    <row r="153" spans="4:28">
      <c r="D153" s="9"/>
      <c r="E153" s="9"/>
      <c r="F153" s="9"/>
      <c r="G153" s="9"/>
      <c r="H153" s="9"/>
      <c r="I153" s="9"/>
      <c r="J153" s="9"/>
      <c r="K153" s="9"/>
      <c r="L153" s="9"/>
      <c r="M153" s="9"/>
      <c r="N153" s="9"/>
      <c r="O153" s="9"/>
      <c r="P153" s="9"/>
      <c r="Q153" s="9"/>
      <c r="R153" s="9"/>
      <c r="S153" s="9"/>
      <c r="T153" s="9"/>
      <c r="U153" s="9"/>
      <c r="V153" s="9"/>
      <c r="W153" s="9"/>
      <c r="X153" s="9"/>
      <c r="Y153" s="9"/>
      <c r="Z153" s="9"/>
      <c r="AA153" s="9"/>
      <c r="AB153" s="9"/>
    </row>
    <row r="154" spans="4:28">
      <c r="D154" s="9"/>
      <c r="E154" s="9"/>
      <c r="F154" s="9"/>
      <c r="G154" s="9"/>
      <c r="H154" s="9"/>
      <c r="I154" s="9"/>
      <c r="J154" s="9"/>
      <c r="K154" s="9"/>
      <c r="L154" s="9"/>
      <c r="M154" s="9"/>
      <c r="N154" s="9"/>
      <c r="O154" s="9"/>
      <c r="P154" s="9"/>
      <c r="Q154" s="9"/>
      <c r="R154" s="9"/>
      <c r="S154" s="9"/>
      <c r="T154" s="9"/>
      <c r="U154" s="9"/>
      <c r="V154" s="9"/>
      <c r="W154" s="9"/>
      <c r="X154" s="9"/>
      <c r="Y154" s="9"/>
      <c r="Z154" s="9"/>
      <c r="AA154" s="9"/>
      <c r="AB154" s="9"/>
    </row>
    <row r="155" spans="4:28">
      <c r="D155" s="9"/>
      <c r="E155" s="9"/>
      <c r="F155" s="9"/>
      <c r="G155" s="9"/>
      <c r="H155" s="9"/>
      <c r="I155" s="9"/>
      <c r="J155" s="9"/>
      <c r="K155" s="9"/>
      <c r="L155" s="9"/>
      <c r="M155" s="9"/>
      <c r="N155" s="9"/>
      <c r="O155" s="9"/>
      <c r="P155" s="9"/>
      <c r="Q155" s="9"/>
      <c r="R155" s="9"/>
      <c r="S155" s="9"/>
      <c r="T155" s="9"/>
      <c r="U155" s="9"/>
      <c r="V155" s="9"/>
      <c r="W155" s="9"/>
      <c r="X155" s="9"/>
      <c r="Y155" s="9"/>
      <c r="Z155" s="9"/>
      <c r="AA155" s="9"/>
      <c r="AB155" s="9"/>
    </row>
    <row r="156" spans="4:28">
      <c r="D156" s="9"/>
      <c r="E156" s="9"/>
      <c r="F156" s="9"/>
      <c r="G156" s="9"/>
      <c r="H156" s="9"/>
      <c r="I156" s="9"/>
      <c r="J156" s="9"/>
      <c r="K156" s="9"/>
      <c r="L156" s="9"/>
      <c r="M156" s="9"/>
      <c r="N156" s="9"/>
      <c r="O156" s="9"/>
      <c r="P156" s="9"/>
      <c r="Q156" s="9"/>
      <c r="R156" s="9"/>
      <c r="S156" s="9"/>
      <c r="T156" s="9"/>
      <c r="U156" s="9"/>
      <c r="V156" s="9"/>
      <c r="W156" s="9"/>
      <c r="X156" s="9"/>
      <c r="Y156" s="9"/>
      <c r="Z156" s="9"/>
      <c r="AA156" s="9"/>
      <c r="AB156" s="9"/>
    </row>
    <row r="157" spans="4:28">
      <c r="D157" s="9"/>
      <c r="E157" s="9"/>
      <c r="F157" s="9"/>
      <c r="G157" s="9"/>
      <c r="H157" s="9"/>
      <c r="I157" s="9"/>
      <c r="J157" s="9"/>
      <c r="K157" s="9"/>
      <c r="L157" s="9"/>
      <c r="M157" s="9"/>
      <c r="N157" s="9"/>
      <c r="O157" s="9"/>
      <c r="P157" s="9"/>
      <c r="Q157" s="9"/>
      <c r="R157" s="9"/>
      <c r="S157" s="9"/>
      <c r="T157" s="9"/>
      <c r="U157" s="9"/>
      <c r="V157" s="9"/>
      <c r="W157" s="9"/>
      <c r="X157" s="9"/>
      <c r="Y157" s="9"/>
      <c r="Z157" s="9"/>
      <c r="AA157" s="9"/>
      <c r="AB157" s="9"/>
    </row>
    <row r="158" spans="4:28">
      <c r="D158" s="9"/>
      <c r="E158" s="9"/>
      <c r="F158" s="9"/>
      <c r="G158" s="9"/>
      <c r="H158" s="9"/>
      <c r="I158" s="9"/>
      <c r="J158" s="9"/>
      <c r="K158" s="9"/>
      <c r="L158" s="9"/>
      <c r="M158" s="9"/>
      <c r="N158" s="9"/>
      <c r="O158" s="9"/>
      <c r="P158" s="9"/>
      <c r="Q158" s="9"/>
      <c r="R158" s="9"/>
      <c r="S158" s="9"/>
      <c r="T158" s="9"/>
      <c r="U158" s="9"/>
      <c r="V158" s="9"/>
      <c r="W158" s="9"/>
      <c r="X158" s="9"/>
      <c r="Y158" s="9"/>
      <c r="Z158" s="9"/>
      <c r="AA158" s="9"/>
      <c r="AB158" s="9"/>
    </row>
    <row r="159" spans="4:28">
      <c r="D159" s="9"/>
      <c r="E159" s="9"/>
      <c r="F159" s="9"/>
      <c r="G159" s="9"/>
      <c r="H159" s="9"/>
      <c r="I159" s="9"/>
      <c r="J159" s="9"/>
      <c r="K159" s="9"/>
      <c r="L159" s="9"/>
      <c r="M159" s="9"/>
      <c r="N159" s="9"/>
      <c r="O159" s="9"/>
      <c r="P159" s="9"/>
      <c r="Q159" s="9"/>
      <c r="R159" s="9"/>
      <c r="S159" s="9"/>
      <c r="T159" s="9"/>
      <c r="U159" s="9"/>
      <c r="V159" s="9"/>
      <c r="W159" s="9"/>
      <c r="X159" s="9"/>
      <c r="Y159" s="9"/>
      <c r="Z159" s="9"/>
      <c r="AA159" s="9"/>
      <c r="AB159" s="9"/>
    </row>
    <row r="160" spans="4:28">
      <c r="D160" s="9"/>
      <c r="E160" s="9"/>
      <c r="F160" s="9"/>
      <c r="G160" s="9"/>
      <c r="H160" s="9"/>
      <c r="I160" s="9"/>
      <c r="J160" s="9"/>
      <c r="K160" s="9"/>
      <c r="L160" s="9"/>
      <c r="M160" s="9"/>
      <c r="N160" s="9"/>
      <c r="O160" s="9"/>
      <c r="P160" s="9"/>
      <c r="Q160" s="9"/>
      <c r="R160" s="9"/>
      <c r="S160" s="9"/>
      <c r="T160" s="9"/>
      <c r="U160" s="9"/>
      <c r="V160" s="9"/>
      <c r="W160" s="9"/>
      <c r="X160" s="9"/>
      <c r="Y160" s="9"/>
      <c r="Z160" s="9"/>
      <c r="AA160" s="9"/>
      <c r="AB160" s="9"/>
    </row>
    <row r="161" spans="4:28">
      <c r="D161" s="9"/>
      <c r="E161" s="9"/>
      <c r="F161" s="9"/>
      <c r="G161" s="9"/>
      <c r="H161" s="9"/>
      <c r="I161" s="9"/>
      <c r="J161" s="9"/>
      <c r="K161" s="9"/>
      <c r="L161" s="9"/>
      <c r="M161" s="9"/>
      <c r="N161" s="9"/>
      <c r="O161" s="9"/>
      <c r="P161" s="9"/>
      <c r="Q161" s="9"/>
      <c r="R161" s="9"/>
      <c r="S161" s="9"/>
      <c r="T161" s="9"/>
      <c r="U161" s="9"/>
      <c r="V161" s="9"/>
      <c r="W161" s="9"/>
      <c r="X161" s="9"/>
      <c r="Y161" s="9"/>
      <c r="Z161" s="9"/>
      <c r="AA161" s="9"/>
      <c r="AB161" s="9"/>
    </row>
    <row r="162" spans="4:28">
      <c r="D162" s="9"/>
      <c r="E162" s="9"/>
      <c r="F162" s="9"/>
      <c r="G162" s="9"/>
      <c r="H162" s="9"/>
      <c r="I162" s="9"/>
      <c r="J162" s="9"/>
      <c r="K162" s="9"/>
      <c r="L162" s="9"/>
      <c r="M162" s="9"/>
      <c r="N162" s="9"/>
      <c r="O162" s="9"/>
      <c r="P162" s="9"/>
      <c r="Q162" s="9"/>
      <c r="R162" s="9"/>
      <c r="S162" s="9"/>
      <c r="T162" s="9"/>
      <c r="U162" s="9"/>
      <c r="V162" s="9"/>
      <c r="W162" s="9"/>
      <c r="X162" s="9"/>
      <c r="Y162" s="9"/>
      <c r="Z162" s="9"/>
      <c r="AA162" s="9"/>
      <c r="AB162" s="9"/>
    </row>
    <row r="163" spans="4:28">
      <c r="D163" s="9"/>
      <c r="E163" s="9"/>
      <c r="F163" s="9"/>
      <c r="G163" s="9"/>
      <c r="H163" s="9"/>
      <c r="I163" s="9"/>
      <c r="J163" s="9"/>
      <c r="K163" s="9"/>
      <c r="L163" s="9"/>
      <c r="M163" s="9"/>
      <c r="N163" s="9"/>
      <c r="O163" s="9"/>
      <c r="P163" s="9"/>
      <c r="Q163" s="9"/>
      <c r="R163" s="9"/>
      <c r="S163" s="9"/>
      <c r="T163" s="9"/>
      <c r="U163" s="9"/>
      <c r="V163" s="9"/>
      <c r="W163" s="9"/>
      <c r="X163" s="9"/>
      <c r="Y163" s="9"/>
      <c r="Z163" s="9"/>
      <c r="AA163" s="9"/>
      <c r="AB163" s="9"/>
    </row>
    <row r="164" spans="4:28">
      <c r="D164" s="9"/>
      <c r="E164" s="9"/>
      <c r="F164" s="9"/>
      <c r="G164" s="9"/>
      <c r="H164" s="9"/>
      <c r="I164" s="9"/>
      <c r="J164" s="9"/>
      <c r="K164" s="9"/>
      <c r="L164" s="9"/>
      <c r="M164" s="9"/>
      <c r="N164" s="9"/>
      <c r="O164" s="9"/>
      <c r="P164" s="9"/>
      <c r="Q164" s="9"/>
      <c r="R164" s="9"/>
      <c r="S164" s="9"/>
      <c r="T164" s="9"/>
      <c r="U164" s="9"/>
      <c r="V164" s="9"/>
      <c r="W164" s="9"/>
      <c r="X164" s="9"/>
      <c r="Y164" s="9"/>
      <c r="Z164" s="9"/>
      <c r="AA164" s="9"/>
      <c r="AB164" s="9"/>
    </row>
    <row r="165" spans="4:28">
      <c r="D165" s="9"/>
      <c r="E165" s="9"/>
      <c r="F165" s="9"/>
      <c r="G165" s="9"/>
      <c r="H165" s="9"/>
      <c r="I165" s="9"/>
      <c r="J165" s="9"/>
      <c r="K165" s="9"/>
      <c r="L165" s="9"/>
      <c r="M165" s="9"/>
      <c r="N165" s="9"/>
      <c r="O165" s="9"/>
      <c r="P165" s="9"/>
      <c r="Q165" s="9"/>
      <c r="R165" s="9"/>
      <c r="S165" s="9"/>
      <c r="T165" s="9"/>
      <c r="U165" s="9"/>
      <c r="V165" s="9"/>
      <c r="W165" s="9"/>
      <c r="X165" s="9"/>
      <c r="Y165" s="9"/>
      <c r="Z165" s="9"/>
      <c r="AA165" s="9"/>
      <c r="AB165" s="9"/>
    </row>
    <row r="166" spans="4:28">
      <c r="D166" s="9"/>
      <c r="E166" s="9"/>
      <c r="F166" s="9"/>
      <c r="G166" s="9"/>
      <c r="H166" s="9"/>
      <c r="I166" s="9"/>
      <c r="J166" s="9"/>
      <c r="K166" s="9"/>
      <c r="L166" s="9"/>
      <c r="M166" s="9"/>
      <c r="N166" s="9"/>
      <c r="O166" s="9"/>
      <c r="P166" s="9"/>
      <c r="Q166" s="9"/>
      <c r="R166" s="9"/>
      <c r="S166" s="9"/>
      <c r="T166" s="9"/>
      <c r="U166" s="9"/>
      <c r="V166" s="9"/>
      <c r="W166" s="9"/>
      <c r="X166" s="9"/>
      <c r="Y166" s="9"/>
      <c r="Z166" s="9"/>
      <c r="AA166" s="9"/>
      <c r="AB166" s="9"/>
    </row>
    <row r="167" spans="4:28">
      <c r="D167" s="9"/>
      <c r="E167" s="9"/>
      <c r="F167" s="9"/>
      <c r="G167" s="9"/>
      <c r="H167" s="9"/>
      <c r="I167" s="9"/>
      <c r="J167" s="9"/>
      <c r="K167" s="9"/>
      <c r="L167" s="9"/>
      <c r="M167" s="9"/>
      <c r="N167" s="9"/>
      <c r="O167" s="9"/>
      <c r="P167" s="9"/>
      <c r="Q167" s="9"/>
      <c r="R167" s="9"/>
      <c r="S167" s="9"/>
      <c r="T167" s="9"/>
      <c r="U167" s="9"/>
      <c r="V167" s="9"/>
      <c r="W167" s="9"/>
      <c r="X167" s="9"/>
      <c r="Y167" s="9"/>
      <c r="Z167" s="9"/>
      <c r="AA167" s="9"/>
      <c r="AB167" s="9"/>
    </row>
    <row r="168" spans="4:28">
      <c r="D168" s="9"/>
      <c r="E168" s="9"/>
      <c r="F168" s="9"/>
      <c r="G168" s="9"/>
      <c r="H168" s="9"/>
      <c r="I168" s="9"/>
      <c r="J168" s="9"/>
      <c r="K168" s="9"/>
      <c r="L168" s="9"/>
      <c r="M168" s="9"/>
      <c r="N168" s="9"/>
      <c r="O168" s="9"/>
      <c r="P168" s="9"/>
      <c r="Q168" s="9"/>
      <c r="R168" s="9"/>
      <c r="S168" s="9"/>
      <c r="T168" s="9"/>
      <c r="U168" s="9"/>
      <c r="V168" s="9"/>
      <c r="W168" s="9"/>
      <c r="X168" s="9"/>
      <c r="Y168" s="9"/>
      <c r="Z168" s="9"/>
      <c r="AA168" s="9"/>
      <c r="AB168" s="9"/>
    </row>
    <row r="169" spans="4:28">
      <c r="D169" s="9"/>
      <c r="E169" s="9"/>
      <c r="F169" s="9"/>
      <c r="G169" s="9"/>
      <c r="H169" s="9"/>
      <c r="I169" s="9"/>
      <c r="J169" s="9"/>
      <c r="K169" s="9"/>
      <c r="L169" s="9"/>
      <c r="M169" s="9"/>
      <c r="N169" s="9"/>
      <c r="O169" s="9"/>
      <c r="P169" s="9"/>
      <c r="Q169" s="9"/>
      <c r="R169" s="9"/>
      <c r="S169" s="9"/>
      <c r="T169" s="9"/>
      <c r="U169" s="9"/>
      <c r="V169" s="9"/>
      <c r="W169" s="9"/>
      <c r="X169" s="9"/>
      <c r="Y169" s="9"/>
      <c r="Z169" s="9"/>
      <c r="AA169" s="9"/>
      <c r="AB169" s="9"/>
    </row>
    <row r="170" spans="4:28">
      <c r="D170" s="9"/>
      <c r="E170" s="9"/>
      <c r="F170" s="9"/>
      <c r="G170" s="9"/>
      <c r="H170" s="9"/>
      <c r="I170" s="9"/>
      <c r="J170" s="9"/>
      <c r="K170" s="9"/>
      <c r="L170" s="9"/>
      <c r="M170" s="9"/>
      <c r="N170" s="9"/>
      <c r="O170" s="9"/>
      <c r="P170" s="9"/>
      <c r="Q170" s="9"/>
      <c r="R170" s="9"/>
      <c r="S170" s="9"/>
      <c r="T170" s="9"/>
      <c r="U170" s="9"/>
      <c r="V170" s="9"/>
      <c r="W170" s="9"/>
      <c r="X170" s="9"/>
      <c r="Y170" s="9"/>
      <c r="Z170" s="9"/>
      <c r="AA170" s="9"/>
      <c r="AB170" s="9"/>
    </row>
  </sheetData>
  <mergeCells count="12">
    <mergeCell ref="B14:G14"/>
    <mergeCell ref="B20:G20"/>
    <mergeCell ref="B26:G26"/>
    <mergeCell ref="B8:G8"/>
    <mergeCell ref="P8:U8"/>
    <mergeCell ref="P14:U14"/>
    <mergeCell ref="P20:U20"/>
    <mergeCell ref="P26:U26"/>
    <mergeCell ref="I26:N26"/>
    <mergeCell ref="I8:N8"/>
    <mergeCell ref="I14:N14"/>
    <mergeCell ref="I20:N20"/>
  </mergeCells>
  <pageMargins left="0.7" right="0.7" top="0.75" bottom="0.75" header="0.3" footer="0.3"/>
  <pageSetup orientation="portrait" r:id="rId1"/>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5" tint="0.59999389629810485"/>
  </sheetPr>
  <dimension ref="A1:CD27"/>
  <sheetViews>
    <sheetView zoomScale="80" zoomScaleNormal="80" zoomScalePageLayoutView="80" workbookViewId="0">
      <selection activeCell="B23" sqref="B23"/>
    </sheetView>
  </sheetViews>
  <sheetFormatPr defaultColWidth="8.81640625" defaultRowHeight="14.5"/>
  <cols>
    <col min="1" max="1" width="55.6328125" customWidth="1"/>
    <col min="2" max="2" width="31.1796875" customWidth="1"/>
    <col min="3" max="11" width="10.6328125" bestFit="1" customWidth="1"/>
    <col min="12" max="12" width="10.6328125" style="6" bestFit="1" customWidth="1"/>
    <col min="13" max="13" width="13.6328125" bestFit="1" customWidth="1"/>
    <col min="14" max="31" width="10.6328125" bestFit="1" customWidth="1"/>
    <col min="32" max="32" width="13.6328125" style="6" customWidth="1"/>
    <col min="33" max="81" width="11.6328125" bestFit="1" customWidth="1"/>
    <col min="82" max="82" width="11.6328125" style="6" bestFit="1" customWidth="1"/>
  </cols>
  <sheetData>
    <row r="1" spans="1:82">
      <c r="A1" t="s">
        <v>14</v>
      </c>
      <c r="I1" s="12"/>
      <c r="J1" s="12"/>
      <c r="K1" s="12"/>
      <c r="L1" s="12"/>
      <c r="AE1" s="6"/>
      <c r="AF1"/>
      <c r="CC1" s="6"/>
      <c r="CD1"/>
    </row>
    <row r="2" spans="1:82">
      <c r="C2" s="11">
        <v>2030</v>
      </c>
      <c r="D2" s="11">
        <v>2050</v>
      </c>
      <c r="E2" s="11">
        <v>2100</v>
      </c>
      <c r="I2" s="12"/>
      <c r="J2" s="12"/>
      <c r="L2" s="12"/>
      <c r="AC2" s="6"/>
      <c r="AF2"/>
      <c r="CA2" s="6"/>
      <c r="CD2"/>
    </row>
    <row r="3" spans="1:82">
      <c r="A3" s="366" t="s">
        <v>9</v>
      </c>
      <c r="B3" s="22" t="s">
        <v>188</v>
      </c>
      <c r="C3" s="2">
        <f>Parameters_Results!$D$16*'Climate impacts'!G11+(1-Parameters_Results!$D$16)*'Climate impacts'!F11</f>
        <v>-4.0000000000000001E-3</v>
      </c>
      <c r="D3" s="2">
        <f>Parameters_Results!$D$16*'Climate impacts'!I11+(1-Parameters_Results!$D$16)*'Climate impacts'!H11</f>
        <v>-8.0000000000000002E-3</v>
      </c>
      <c r="E3" s="2">
        <f>Parameters_Results!$D$16*'Climate impacts'!K11+(1-Parameters_Results!$D$16)*'Climate impacts'!J11</f>
        <v>0</v>
      </c>
      <c r="I3" s="12"/>
      <c r="J3" s="12"/>
      <c r="L3" s="12"/>
      <c r="AC3" s="6"/>
      <c r="AF3"/>
      <c r="CA3" s="6"/>
      <c r="CD3"/>
    </row>
    <row r="4" spans="1:82">
      <c r="A4" s="366"/>
      <c r="B4" s="22" t="s">
        <v>189</v>
      </c>
      <c r="C4" s="2">
        <f>Parameters_Results!$D$16*'Climate impacts'!G12+(1-Parameters_Results!$D$16)*'Climate impacts'!F12</f>
        <v>-1.2E-2</v>
      </c>
      <c r="D4" s="2">
        <f>Parameters_Results!$D$16*'Climate impacts'!I12+(1-Parameters_Results!$D$16)*'Climate impacts'!H12</f>
        <v>-4.1000000000000002E-2</v>
      </c>
      <c r="E4" s="2">
        <f>Parameters_Results!$D$16*'Climate impacts'!K12+(1-Parameters_Results!$D$16)*'Climate impacts'!J12</f>
        <v>0</v>
      </c>
      <c r="I4" s="12"/>
      <c r="J4" s="12"/>
      <c r="L4" s="12"/>
      <c r="AC4" s="6"/>
      <c r="AF4"/>
      <c r="CA4" s="6"/>
      <c r="CD4"/>
    </row>
    <row r="5" spans="1:82">
      <c r="A5" s="366"/>
      <c r="C5" s="2">
        <f>Parameters_Results!$D$16*'Climate impacts'!G13+(1-Parameters_Results!$D$16)*'Climate impacts'!F13</f>
        <v>0</v>
      </c>
      <c r="D5" s="2">
        <f>Parameters_Results!$D$16*'Climate impacts'!I13+(1-Parameters_Results!$D$16)*'Climate impacts'!H13</f>
        <v>0</v>
      </c>
      <c r="E5" s="2">
        <f>Parameters_Results!$D$16*'Climate impacts'!K13+(1-Parameters_Results!$D$16)*'Climate impacts'!J13</f>
        <v>0</v>
      </c>
      <c r="I5" s="12"/>
      <c r="J5" s="12"/>
      <c r="L5" s="12"/>
      <c r="AC5" s="6"/>
      <c r="AF5"/>
      <c r="CA5" s="6"/>
      <c r="CD5"/>
    </row>
    <row r="6" spans="1:82">
      <c r="A6" s="366" t="s">
        <v>10</v>
      </c>
      <c r="B6" s="22" t="s">
        <v>188</v>
      </c>
      <c r="C6" s="2">
        <f>Parameters_Results!$D$17*'Climate impacts'!G14+(1-Parameters_Results!$D$17)*'Climate impacts'!F14</f>
        <v>0</v>
      </c>
      <c r="D6" s="2">
        <f>Parameters_Results!$D$17*'Climate impacts'!I14+(1-Parameters_Results!$D$17)*'Climate impacts'!H14</f>
        <v>0</v>
      </c>
      <c r="E6" s="2">
        <f>Parameters_Results!$D$17*'Climate impacts'!K14+(1-Parameters_Results!$D$17)*'Climate impacts'!J14</f>
        <v>0</v>
      </c>
      <c r="I6" s="12"/>
      <c r="J6" s="12"/>
      <c r="L6" s="12"/>
      <c r="AC6" s="6"/>
      <c r="AF6"/>
      <c r="CA6" s="6"/>
      <c r="CD6"/>
    </row>
    <row r="7" spans="1:82">
      <c r="A7" s="366"/>
      <c r="B7" s="22" t="s">
        <v>189</v>
      </c>
      <c r="C7" s="2">
        <f>Parameters_Results!$D$17*'Climate impacts'!G15+(1-Parameters_Results!$D$17)*'Climate impacts'!F15</f>
        <v>0</v>
      </c>
      <c r="D7" s="2">
        <f>Parameters_Results!$D$17*'Climate impacts'!I15+(1-Parameters_Results!$D$17)*'Climate impacts'!H15</f>
        <v>0</v>
      </c>
      <c r="E7" s="2">
        <f>Parameters_Results!$D$17*'Climate impacts'!K15+(1-Parameters_Results!$D$17)*'Climate impacts'!J15</f>
        <v>0</v>
      </c>
      <c r="I7" s="12"/>
      <c r="J7" s="12"/>
      <c r="L7" s="12"/>
      <c r="AC7" s="6"/>
      <c r="AF7"/>
      <c r="CA7" s="6"/>
      <c r="CD7"/>
    </row>
    <row r="8" spans="1:82">
      <c r="A8" s="366"/>
      <c r="C8" s="2">
        <f>Parameters_Results!$D$17*'Climate impacts'!G16+(1-Parameters_Results!$D$17)*'Climate impacts'!F16</f>
        <v>0</v>
      </c>
      <c r="D8" s="2">
        <f>Parameters_Results!$D$17*'Climate impacts'!I16+(1-Parameters_Results!$D$17)*'Climate impacts'!H16</f>
        <v>0</v>
      </c>
      <c r="E8" s="2">
        <f>Parameters_Results!$D$17*'Climate impacts'!K16+(1-Parameters_Results!$D$17)*'Climate impacts'!J16</f>
        <v>0</v>
      </c>
      <c r="I8" s="12"/>
      <c r="J8" s="12"/>
      <c r="K8" s="12"/>
      <c r="L8" s="12"/>
      <c r="AC8" s="6"/>
      <c r="AF8"/>
      <c r="CA8" s="6"/>
      <c r="CD8"/>
    </row>
    <row r="9" spans="1:82">
      <c r="A9" s="366" t="s">
        <v>13</v>
      </c>
      <c r="B9" t="s">
        <v>25</v>
      </c>
      <c r="C9" s="2">
        <f>Parameters_Results!$D$18*'Climate impacts'!G17+(1-Parameters_Results!$D$18)*'Climate impacts'!F17</f>
        <v>0</v>
      </c>
      <c r="D9" s="2">
        <f>Parameters_Results!$D$18*'Climate impacts'!I17+(1-Parameters_Results!$D$18)*'Climate impacts'!H17</f>
        <v>0</v>
      </c>
      <c r="E9" s="2">
        <f>Parameters_Results!$D$18*'Climate impacts'!K17+(1-Parameters_Results!$D$18)*'Climate impacts'!J17</f>
        <v>0</v>
      </c>
      <c r="I9" s="12"/>
      <c r="J9" s="12"/>
      <c r="K9" s="12"/>
      <c r="L9" s="12"/>
      <c r="AC9" s="6"/>
      <c r="AF9"/>
      <c r="CA9" s="6"/>
      <c r="CD9"/>
    </row>
    <row r="10" spans="1:82">
      <c r="A10" s="366"/>
      <c r="B10" s="22" t="s">
        <v>190</v>
      </c>
      <c r="C10" s="2">
        <f>Parameters_Results!$D$18*'Climate impacts'!G18+(1-Parameters_Results!$D$18)*'Climate impacts'!F18</f>
        <v>0.02</v>
      </c>
      <c r="D10" s="2">
        <f>Parameters_Results!$D$18*'Climate impacts'!I18+(1-Parameters_Results!$D$18)*'Climate impacts'!H18</f>
        <v>0.04</v>
      </c>
      <c r="E10" s="2">
        <f>Parameters_Results!$D$18*'Climate impacts'!K18+(1-Parameters_Results!$D$18)*'Climate impacts'!J18</f>
        <v>0</v>
      </c>
      <c r="I10" s="12"/>
      <c r="J10" s="12"/>
      <c r="K10" s="12"/>
      <c r="L10" s="12"/>
      <c r="AC10" s="6"/>
      <c r="AF10"/>
      <c r="CA10" s="6"/>
      <c r="CD10"/>
    </row>
    <row r="11" spans="1:82">
      <c r="A11" s="366"/>
      <c r="B11" s="22" t="s">
        <v>191</v>
      </c>
      <c r="C11" s="2">
        <f>Parameters_Results!$D$18*'Climate impacts'!G19+(1-Parameters_Results!$D$18)*'Climate impacts'!F19</f>
        <v>0.06</v>
      </c>
      <c r="D11" s="2">
        <f>Parameters_Results!$D$18*'Climate impacts'!I19+(1-Parameters_Results!$D$18)*'Climate impacts'!H19</f>
        <v>0.1</v>
      </c>
      <c r="E11" s="2">
        <f>Parameters_Results!$D$18*'Climate impacts'!K19+(1-Parameters_Results!$D$18)*'Climate impacts'!J19</f>
        <v>0</v>
      </c>
      <c r="I11" s="12"/>
      <c r="J11" s="12"/>
      <c r="K11" s="12"/>
      <c r="L11" s="12"/>
      <c r="AD11" s="6"/>
      <c r="AF11"/>
      <c r="CB11" s="6"/>
      <c r="CD11"/>
    </row>
    <row r="12" spans="1:82">
      <c r="A12" s="10"/>
      <c r="I12" s="12"/>
      <c r="J12" s="12"/>
      <c r="K12" s="12"/>
      <c r="L12" s="12"/>
    </row>
    <row r="13" spans="1:82">
      <c r="A13" s="10"/>
    </row>
    <row r="15" spans="1:82">
      <c r="A15" t="s">
        <v>3</v>
      </c>
      <c r="C15">
        <f>Parameters_Results!$D$10+COLUMN()-2</f>
        <v>2019</v>
      </c>
      <c r="D15">
        <f>Parameters_Results!$D$10+COLUMN()-2</f>
        <v>2020</v>
      </c>
      <c r="E15">
        <f>Parameters_Results!$D$10+COLUMN()-2</f>
        <v>2021</v>
      </c>
      <c r="F15">
        <f>Parameters_Results!$D$10+COLUMN()-2</f>
        <v>2022</v>
      </c>
      <c r="G15">
        <f>Parameters_Results!$D$10+COLUMN()-2</f>
        <v>2023</v>
      </c>
      <c r="H15">
        <f>Parameters_Results!$D$10+COLUMN()-2</f>
        <v>2024</v>
      </c>
      <c r="I15">
        <f>Parameters_Results!$D$10+COLUMN()-2</f>
        <v>2025</v>
      </c>
      <c r="J15">
        <f>Parameters_Results!$D$10+COLUMN()-2</f>
        <v>2026</v>
      </c>
      <c r="K15">
        <f>Parameters_Results!$D$10+COLUMN()-2</f>
        <v>2027</v>
      </c>
      <c r="L15" s="6">
        <f>Parameters_Results!$D$10+COLUMN()-2</f>
        <v>2028</v>
      </c>
      <c r="M15">
        <f>Parameters_Results!$D$10+COLUMN()-2</f>
        <v>2029</v>
      </c>
      <c r="N15">
        <f>Parameters_Results!$D$10+COLUMN()-2</f>
        <v>2030</v>
      </c>
      <c r="O15">
        <f>Parameters_Results!$D$10+COLUMN()-2</f>
        <v>2031</v>
      </c>
      <c r="P15">
        <f>Parameters_Results!$D$10+COLUMN()-2</f>
        <v>2032</v>
      </c>
      <c r="Q15">
        <f>Parameters_Results!$D$10+COLUMN()-2</f>
        <v>2033</v>
      </c>
      <c r="R15">
        <f>Parameters_Results!$D$10+COLUMN()-2</f>
        <v>2034</v>
      </c>
      <c r="S15">
        <f>Parameters_Results!$D$10+COLUMN()-2</f>
        <v>2035</v>
      </c>
      <c r="T15">
        <f>Parameters_Results!$D$10+COLUMN()-2</f>
        <v>2036</v>
      </c>
      <c r="U15">
        <f>Parameters_Results!$D$10+COLUMN()-2</f>
        <v>2037</v>
      </c>
      <c r="V15">
        <f>Parameters_Results!$D$10+COLUMN()-2</f>
        <v>2038</v>
      </c>
      <c r="W15">
        <f>Parameters_Results!$D$10+COLUMN()-2</f>
        <v>2039</v>
      </c>
      <c r="X15">
        <f>Parameters_Results!$D$10+COLUMN()-2</f>
        <v>2040</v>
      </c>
      <c r="Y15">
        <f>Parameters_Results!$D$10+COLUMN()-2</f>
        <v>2041</v>
      </c>
      <c r="Z15">
        <f>Parameters_Results!$D$10+COLUMN()-2</f>
        <v>2042</v>
      </c>
      <c r="AA15">
        <f>Parameters_Results!$D$10+COLUMN()-2</f>
        <v>2043</v>
      </c>
      <c r="AB15">
        <f>Parameters_Results!$D$10+COLUMN()-2</f>
        <v>2044</v>
      </c>
      <c r="AC15">
        <f>Parameters_Results!$D$10+COLUMN()-2</f>
        <v>2045</v>
      </c>
      <c r="AD15">
        <f>Parameters_Results!$D$10+COLUMN()-2</f>
        <v>2046</v>
      </c>
      <c r="AE15">
        <f>Parameters_Results!$D$10+COLUMN()-2</f>
        <v>2047</v>
      </c>
      <c r="AF15" s="6">
        <f>Parameters_Results!$D$10+COLUMN()-2</f>
        <v>2048</v>
      </c>
      <c r="AG15">
        <f>Parameters_Results!$D$10+COLUMN()-2</f>
        <v>2049</v>
      </c>
      <c r="AH15">
        <f>Parameters_Results!$D$10+COLUMN()-2</f>
        <v>2050</v>
      </c>
      <c r="AI15">
        <f>Parameters_Results!$D$10+COLUMN()-2</f>
        <v>2051</v>
      </c>
      <c r="AJ15">
        <f>Parameters_Results!$D$10+COLUMN()-2</f>
        <v>2052</v>
      </c>
      <c r="AK15">
        <f>Parameters_Results!$D$10+COLUMN()-2</f>
        <v>2053</v>
      </c>
      <c r="AL15">
        <f>Parameters_Results!$D$10+COLUMN()-2</f>
        <v>2054</v>
      </c>
      <c r="AM15">
        <f>Parameters_Results!$D$10+COLUMN()-2</f>
        <v>2055</v>
      </c>
      <c r="AN15">
        <f>Parameters_Results!$D$10+COLUMN()-2</f>
        <v>2056</v>
      </c>
      <c r="AO15">
        <f>Parameters_Results!$D$10+COLUMN()-2</f>
        <v>2057</v>
      </c>
      <c r="AP15">
        <f>Parameters_Results!$D$10+COLUMN()-2</f>
        <v>2058</v>
      </c>
      <c r="AQ15">
        <f>Parameters_Results!$D$10+COLUMN()-2</f>
        <v>2059</v>
      </c>
      <c r="AR15">
        <f>Parameters_Results!$D$10+COLUMN()-2</f>
        <v>2060</v>
      </c>
      <c r="AS15">
        <f>Parameters_Results!$D$10+COLUMN()-2</f>
        <v>2061</v>
      </c>
      <c r="AT15">
        <f>Parameters_Results!$D$10+COLUMN()-2</f>
        <v>2062</v>
      </c>
      <c r="AU15">
        <f>Parameters_Results!$D$10+COLUMN()-2</f>
        <v>2063</v>
      </c>
      <c r="AV15">
        <f>Parameters_Results!$D$10+COLUMN()-2</f>
        <v>2064</v>
      </c>
      <c r="AW15">
        <f>Parameters_Results!$D$10+COLUMN()-2</f>
        <v>2065</v>
      </c>
      <c r="AX15">
        <f>Parameters_Results!$D$10+COLUMN()-2</f>
        <v>2066</v>
      </c>
      <c r="AY15">
        <f>Parameters_Results!$D$10+COLUMN()-2</f>
        <v>2067</v>
      </c>
      <c r="AZ15">
        <f>Parameters_Results!$D$10+COLUMN()-2</f>
        <v>2068</v>
      </c>
      <c r="BA15">
        <f>Parameters_Results!$D$10+COLUMN()-2</f>
        <v>2069</v>
      </c>
      <c r="BB15">
        <f>Parameters_Results!$D$10+COLUMN()-2</f>
        <v>2070</v>
      </c>
      <c r="BC15">
        <f>Parameters_Results!$D$10+COLUMN()-2</f>
        <v>2071</v>
      </c>
      <c r="BD15">
        <f>Parameters_Results!$D$10+COLUMN()-2</f>
        <v>2072</v>
      </c>
      <c r="BE15">
        <f>Parameters_Results!$D$10+COLUMN()-2</f>
        <v>2073</v>
      </c>
      <c r="BF15">
        <f>Parameters_Results!$D$10+COLUMN()-2</f>
        <v>2074</v>
      </c>
      <c r="BG15">
        <f>Parameters_Results!$D$10+COLUMN()-2</f>
        <v>2075</v>
      </c>
      <c r="BH15">
        <f>Parameters_Results!$D$10+COLUMN()-2</f>
        <v>2076</v>
      </c>
      <c r="BI15">
        <f>Parameters_Results!$D$10+COLUMN()-2</f>
        <v>2077</v>
      </c>
      <c r="BJ15">
        <f>Parameters_Results!$D$10+COLUMN()-2</f>
        <v>2078</v>
      </c>
      <c r="BK15">
        <f>Parameters_Results!$D$10+COLUMN()-2</f>
        <v>2079</v>
      </c>
      <c r="BL15">
        <f>Parameters_Results!$D$10+COLUMN()-2</f>
        <v>2080</v>
      </c>
      <c r="BM15">
        <f>Parameters_Results!$D$10+COLUMN()-2</f>
        <v>2081</v>
      </c>
      <c r="BN15">
        <f>Parameters_Results!$D$10+COLUMN()-2</f>
        <v>2082</v>
      </c>
      <c r="BO15">
        <f>Parameters_Results!$D$10+COLUMN()-2</f>
        <v>2083</v>
      </c>
      <c r="BP15">
        <f>Parameters_Results!$D$10+COLUMN()-2</f>
        <v>2084</v>
      </c>
      <c r="BQ15">
        <f>Parameters_Results!$D$10+COLUMN()-2</f>
        <v>2085</v>
      </c>
      <c r="BR15">
        <f>Parameters_Results!$D$10+COLUMN()-2</f>
        <v>2086</v>
      </c>
      <c r="BS15">
        <f>Parameters_Results!$D$10+COLUMN()-2</f>
        <v>2087</v>
      </c>
      <c r="BT15">
        <f>Parameters_Results!$D$10+COLUMN()-2</f>
        <v>2088</v>
      </c>
      <c r="BU15">
        <f>Parameters_Results!$D$10+COLUMN()-2</f>
        <v>2089</v>
      </c>
      <c r="BV15">
        <f>Parameters_Results!$D$10+COLUMN()-2</f>
        <v>2090</v>
      </c>
      <c r="BW15">
        <f>Parameters_Results!$D$10+COLUMN()-2</f>
        <v>2091</v>
      </c>
      <c r="BX15">
        <f>Parameters_Results!$D$10+COLUMN()-2</f>
        <v>2092</v>
      </c>
      <c r="BY15">
        <f>Parameters_Results!$D$10+COLUMN()-2</f>
        <v>2093</v>
      </c>
      <c r="BZ15">
        <f>Parameters_Results!$D$10+COLUMN()-2</f>
        <v>2094</v>
      </c>
      <c r="CA15">
        <f>Parameters_Results!$D$10+COLUMN()-2</f>
        <v>2095</v>
      </c>
      <c r="CB15">
        <f>Parameters_Results!$D$10+COLUMN()-2</f>
        <v>2096</v>
      </c>
      <c r="CC15">
        <f>Parameters_Results!$D$10+COLUMN()-2</f>
        <v>2097</v>
      </c>
      <c r="CD15" s="6">
        <f>Parameters_Results!$D$10+COLUMN()-2</f>
        <v>2098</v>
      </c>
    </row>
    <row r="16" spans="1:82">
      <c r="A16" s="366" t="s">
        <v>9</v>
      </c>
      <c r="B16" s="22" t="s">
        <v>188</v>
      </c>
      <c r="C16" s="2">
        <f>$C3*('Extrapolation average con.'!C$15-Parameters_Results!$D$10)/($C$2-Parameters_Results!$D$10)</f>
        <v>-3.3333333333333332E-4</v>
      </c>
      <c r="D16" s="2">
        <f>$C3*('Extrapolation average con.'!D$15-Parameters_Results!$D$10)/($C$2-Parameters_Results!$D$10)</f>
        <v>-6.6666666666666664E-4</v>
      </c>
      <c r="E16" s="2">
        <f>$C3*('Extrapolation average con.'!E$15-Parameters_Results!$D$10)/($C$2-Parameters_Results!$D$10)</f>
        <v>-1E-3</v>
      </c>
      <c r="F16" s="2">
        <f>$C3*('Extrapolation average con.'!F$15-Parameters_Results!$D$10)/($C$2-Parameters_Results!$D$10)</f>
        <v>-1.3333333333333333E-3</v>
      </c>
      <c r="G16" s="2">
        <f>$C3*('Extrapolation average con.'!G$15-Parameters_Results!$D$10)/($C$2-Parameters_Results!$D$10)</f>
        <v>-1.6666666666666668E-3</v>
      </c>
      <c r="H16" s="2">
        <f>$C3*('Extrapolation average con.'!H$15-Parameters_Results!$D$10)/($C$2-Parameters_Results!$D$10)</f>
        <v>-2E-3</v>
      </c>
      <c r="I16" s="2">
        <f>$C3*('Extrapolation average con.'!I$15-Parameters_Results!$D$10)/($C$2-Parameters_Results!$D$10)</f>
        <v>-2.3333333333333335E-3</v>
      </c>
      <c r="J16" s="2">
        <f>$C3*('Extrapolation average con.'!J$15-Parameters_Results!$D$10)/($C$2-Parameters_Results!$D$10)</f>
        <v>-2.6666666666666666E-3</v>
      </c>
      <c r="K16" s="2">
        <f>$C3*('Extrapolation average con.'!K$15-Parameters_Results!$D$10)/($C$2-Parameters_Results!$D$10)</f>
        <v>-3.0000000000000005E-3</v>
      </c>
      <c r="L16" s="7">
        <f>$C3*('Extrapolation average con.'!L$15-Parameters_Results!$D$10)/($C$2-Parameters_Results!$D$10)</f>
        <v>-3.3333333333333335E-3</v>
      </c>
      <c r="M16" s="3">
        <f>($D3-$C3)*('Extrapolation average con.'!M$15-$C$2)/($D$2-$C$2)+$L16</f>
        <v>-3.1333333333333335E-3</v>
      </c>
      <c r="N16" s="2">
        <f>($D3-$C3)*('Extrapolation average con.'!N$15-$C$2)/($D$2-$C$2)+$L16</f>
        <v>-3.3333333333333335E-3</v>
      </c>
      <c r="O16" s="2">
        <f>($D3-$C3)*('Extrapolation average con.'!O$15-$C$2)/($D$2-$C$2)+$L16</f>
        <v>-3.5333333333333336E-3</v>
      </c>
      <c r="P16" s="2">
        <f>($D3-$C3)*('Extrapolation average con.'!P$15-$C$2)/($D$2-$C$2)+$L16</f>
        <v>-3.7333333333333337E-3</v>
      </c>
      <c r="Q16" s="2">
        <f>($D3-$C3)*('Extrapolation average con.'!Q$15-$C$2)/($D$2-$C$2)+$L16</f>
        <v>-3.9333333333333338E-3</v>
      </c>
      <c r="R16" s="2">
        <f>($D3-$C3)*('Extrapolation average con.'!R$15-$C$2)/($D$2-$C$2)+$L16</f>
        <v>-4.1333333333333335E-3</v>
      </c>
      <c r="S16" s="2">
        <f>($D3-$C3)*('Extrapolation average con.'!S$15-$C$2)/($D$2-$C$2)+$L16</f>
        <v>-4.3333333333333331E-3</v>
      </c>
      <c r="T16" s="2">
        <f>($D3-$C3)*('Extrapolation average con.'!T$15-$C$2)/($D$2-$C$2)+$L16</f>
        <v>-4.5333333333333337E-3</v>
      </c>
      <c r="U16" s="2">
        <f>($D3-$C3)*('Extrapolation average con.'!U$15-$C$2)/($D$2-$C$2)+$L16</f>
        <v>-4.7333333333333333E-3</v>
      </c>
      <c r="V16" s="2">
        <f>($D3-$C3)*('Extrapolation average con.'!V$15-$C$2)/($D$2-$C$2)+$L16</f>
        <v>-4.9333333333333338E-3</v>
      </c>
      <c r="W16" s="2">
        <f>($D3-$C3)*('Extrapolation average con.'!W$15-$C$2)/($D$2-$C$2)+$L16</f>
        <v>-5.1333333333333335E-3</v>
      </c>
      <c r="X16" s="2">
        <f>($D3-$C3)*('Extrapolation average con.'!X$15-$C$2)/($D$2-$C$2)+$L16</f>
        <v>-5.333333333333334E-3</v>
      </c>
      <c r="Y16" s="2">
        <f>($D3-$C3)*('Extrapolation average con.'!Y$15-$C$2)/($D$2-$C$2)+$L16</f>
        <v>-5.5333333333333328E-3</v>
      </c>
      <c r="Z16" s="2">
        <f>($D3-$C3)*('Extrapolation average con.'!Z$15-$C$2)/($D$2-$C$2)+$L16</f>
        <v>-5.7333333333333333E-3</v>
      </c>
      <c r="AA16" s="2">
        <f>($D3-$C3)*('Extrapolation average con.'!AA$15-$C$2)/($D$2-$C$2)+$L16</f>
        <v>-5.9333333333333339E-3</v>
      </c>
      <c r="AB16" s="2">
        <f>($D3-$C3)*('Extrapolation average con.'!AB$15-$C$2)/($D$2-$C$2)+$L16</f>
        <v>-6.1333333333333335E-3</v>
      </c>
      <c r="AC16" s="2">
        <f>($D3-$C3)*('Extrapolation average con.'!AC$15-$C$2)/($D$2-$C$2)+$L16</f>
        <v>-6.3333333333333332E-3</v>
      </c>
      <c r="AD16" s="2">
        <f>($D3-$C3)*('Extrapolation average con.'!AD$15-$C$2)/($D$2-$C$2)+$L16</f>
        <v>-6.5333333333333337E-3</v>
      </c>
      <c r="AE16" s="2">
        <f>($D3-$C3)*('Extrapolation average con.'!AE$15-$C$2)/($D$2-$C$2)+$L16</f>
        <v>-6.7333333333333342E-3</v>
      </c>
      <c r="AF16" s="2">
        <f>($D3-$C3)*('Extrapolation average con.'!AF$15-$C$2)/($D$2-$C$2)+$L16</f>
        <v>-6.9333333333333339E-3</v>
      </c>
      <c r="AG16" s="5">
        <f>($E3-$D3)*('Extrapolation average con.'!AG$15-$D$2)/($E$2-$D$2)+$AF16</f>
        <v>-7.0933333333333343E-3</v>
      </c>
      <c r="AH16" s="5">
        <f>($E3-$D3)*('Extrapolation average con.'!AH$15-$D$2)/($E$2-$D$2)+$AF16</f>
        <v>-6.9333333333333339E-3</v>
      </c>
      <c r="AI16" s="5">
        <f>($E3-$D3)*('Extrapolation average con.'!AI$15-$D$2)/($E$2-$D$2)+$AF16</f>
        <v>-6.7733333333333335E-3</v>
      </c>
      <c r="AJ16" s="5">
        <f>($E3-$D3)*('Extrapolation average con.'!AJ$15-$D$2)/($E$2-$D$2)+$AF16</f>
        <v>-6.6133333333333339E-3</v>
      </c>
      <c r="AK16" s="5">
        <f>($E3-$D3)*('Extrapolation average con.'!AK$15-$D$2)/($E$2-$D$2)+$AF16</f>
        <v>-6.4533333333333335E-3</v>
      </c>
      <c r="AL16" s="5">
        <f>($E3-$D3)*('Extrapolation average con.'!AL$15-$D$2)/($E$2-$D$2)+$AF16</f>
        <v>-6.2933333333333339E-3</v>
      </c>
      <c r="AM16" s="5">
        <f>($E3-$D3)*('Extrapolation average con.'!AM$15-$D$2)/($E$2-$D$2)+$AF16</f>
        <v>-6.1333333333333335E-3</v>
      </c>
      <c r="AN16" s="5">
        <f>($E3-$D3)*('Extrapolation average con.'!AN$15-$D$2)/($E$2-$D$2)+$AF16</f>
        <v>-5.973333333333334E-3</v>
      </c>
      <c r="AO16" s="5">
        <f>($E3-$D3)*('Extrapolation average con.'!AO$15-$D$2)/($E$2-$D$2)+$AF16</f>
        <v>-5.8133333333333335E-3</v>
      </c>
      <c r="AP16" s="5">
        <f>($E3-$D3)*('Extrapolation average con.'!AP$15-$D$2)/($E$2-$D$2)+$AF16</f>
        <v>-5.653333333333334E-3</v>
      </c>
      <c r="AQ16" s="5">
        <f>($E3-$D3)*('Extrapolation average con.'!AQ$15-$D$2)/($E$2-$D$2)+$AF16</f>
        <v>-5.4933333333333336E-3</v>
      </c>
      <c r="AR16" s="5">
        <f>($E3-$D3)*('Extrapolation average con.'!AR$15-$D$2)/($E$2-$D$2)+$AF16</f>
        <v>-5.333333333333334E-3</v>
      </c>
      <c r="AS16" s="5">
        <f>($E3-$D3)*('Extrapolation average con.'!AS$15-$D$2)/($E$2-$D$2)+$AF16</f>
        <v>-5.1733333333333336E-3</v>
      </c>
      <c r="AT16" s="5">
        <f>($E3-$D3)*('Extrapolation average con.'!AT$15-$D$2)/($E$2-$D$2)+$AF16</f>
        <v>-5.0133333333333341E-3</v>
      </c>
      <c r="AU16" s="5">
        <f>($E3-$D3)*('Extrapolation average con.'!AU$15-$D$2)/($E$2-$D$2)+$AF16</f>
        <v>-4.8533333333333336E-3</v>
      </c>
      <c r="AV16" s="5">
        <f>($E3-$D3)*('Extrapolation average con.'!AV$15-$D$2)/($E$2-$D$2)+$AF16</f>
        <v>-4.6933333333333341E-3</v>
      </c>
      <c r="AW16" s="5">
        <f>($E3-$D3)*('Extrapolation average con.'!AW$15-$D$2)/($E$2-$D$2)+$AF16</f>
        <v>-4.5333333333333337E-3</v>
      </c>
      <c r="AX16" s="5">
        <f>($E3-$D3)*('Extrapolation average con.'!AX$15-$D$2)/($E$2-$D$2)+$AF16</f>
        <v>-4.3733333333333332E-3</v>
      </c>
      <c r="AY16" s="5">
        <f>($E3-$D3)*('Extrapolation average con.'!AY$15-$D$2)/($E$2-$D$2)+$AF16</f>
        <v>-4.2133333333333337E-3</v>
      </c>
      <c r="AZ16" s="5">
        <f>($E3-$D3)*('Extrapolation average con.'!AZ$15-$D$2)/($E$2-$D$2)+$AF16</f>
        <v>-4.0533333333333341E-3</v>
      </c>
      <c r="BA16" s="5">
        <f>($E3-$D3)*('Extrapolation average con.'!BA$15-$D$2)/($E$2-$D$2)+$AF16</f>
        <v>-3.8933333333333341E-3</v>
      </c>
      <c r="BB16" s="5">
        <f>($E3-$D3)*('Extrapolation average con.'!BB$15-$D$2)/($E$2-$D$2)+$AF16</f>
        <v>-3.7333333333333337E-3</v>
      </c>
      <c r="BC16" s="5">
        <f>($E3-$D3)*('Extrapolation average con.'!BC$15-$D$2)/($E$2-$D$2)+$AF16</f>
        <v>-3.5733333333333337E-3</v>
      </c>
      <c r="BD16" s="5">
        <f>($E3-$D3)*('Extrapolation average con.'!BD$15-$D$2)/($E$2-$D$2)+$AF16</f>
        <v>-3.4133333333333342E-3</v>
      </c>
      <c r="BE16" s="5">
        <f>($E3-$D3)*('Extrapolation average con.'!BE$15-$D$2)/($E$2-$D$2)+$AF16</f>
        <v>-3.2533333333333338E-3</v>
      </c>
      <c r="BF16" s="5">
        <f>($E3-$D3)*('Extrapolation average con.'!BF$15-$D$2)/($E$2-$D$2)+$AF16</f>
        <v>-3.0933333333333338E-3</v>
      </c>
      <c r="BG16" s="5">
        <f>($E3-$D3)*('Extrapolation average con.'!BG$15-$D$2)/($E$2-$D$2)+$AF16</f>
        <v>-2.9333333333333338E-3</v>
      </c>
      <c r="BH16" s="5">
        <f>($E3-$D3)*('Extrapolation average con.'!BH$15-$D$2)/($E$2-$D$2)+$AF16</f>
        <v>-2.7733333333333334E-3</v>
      </c>
      <c r="BI16" s="5">
        <f>($E3-$D3)*('Extrapolation average con.'!BI$15-$D$2)/($E$2-$D$2)+$AF16</f>
        <v>-2.6133333333333338E-3</v>
      </c>
      <c r="BJ16" s="5">
        <f>($E3-$D3)*('Extrapolation average con.'!BJ$15-$D$2)/($E$2-$D$2)+$AF16</f>
        <v>-2.4533333333333334E-3</v>
      </c>
      <c r="BK16" s="5">
        <f>($E3-$D3)*('Extrapolation average con.'!BK$15-$D$2)/($E$2-$D$2)+$AF16</f>
        <v>-2.2933333333333339E-3</v>
      </c>
      <c r="BL16" s="5">
        <f>($E3-$D3)*('Extrapolation average con.'!BL$15-$D$2)/($E$2-$D$2)+$AF16</f>
        <v>-2.1333333333333343E-3</v>
      </c>
      <c r="BM16" s="5">
        <f>($E3-$D3)*('Extrapolation average con.'!BM$15-$D$2)/($E$2-$D$2)+$AF16</f>
        <v>-1.9733333333333339E-3</v>
      </c>
      <c r="BN16" s="5">
        <f>($E3-$D3)*('Extrapolation average con.'!BN$15-$D$2)/($E$2-$D$2)+$AF16</f>
        <v>-1.8133333333333335E-3</v>
      </c>
      <c r="BO16" s="5">
        <f>($E3-$D3)*('Extrapolation average con.'!BO$15-$D$2)/($E$2-$D$2)+$AF16</f>
        <v>-1.6533333333333339E-3</v>
      </c>
      <c r="BP16" s="5">
        <f>($E3-$D3)*('Extrapolation average con.'!BP$15-$D$2)/($E$2-$D$2)+$AF16</f>
        <v>-1.4933333333333335E-3</v>
      </c>
      <c r="BQ16" s="5">
        <f>($E3-$D3)*('Extrapolation average con.'!BQ$15-$D$2)/($E$2-$D$2)+$AF16</f>
        <v>-1.3333333333333331E-3</v>
      </c>
      <c r="BR16" s="5">
        <f>($E3-$D3)*('Extrapolation average con.'!BR$15-$D$2)/($E$2-$D$2)+$AF16</f>
        <v>-1.1733333333333335E-3</v>
      </c>
      <c r="BS16" s="5">
        <f>($E3-$D3)*('Extrapolation average con.'!BS$15-$D$2)/($E$2-$D$2)+$AF16</f>
        <v>-1.013333333333334E-3</v>
      </c>
      <c r="BT16" s="5">
        <f>($E3-$D3)*('Extrapolation average con.'!BT$15-$D$2)/($E$2-$D$2)+$AF16</f>
        <v>-8.5333333333333442E-4</v>
      </c>
      <c r="BU16" s="5">
        <f>($E3-$D3)*('Extrapolation average con.'!BU$15-$D$2)/($E$2-$D$2)+$AF16</f>
        <v>-6.93333333333334E-4</v>
      </c>
      <c r="BV16" s="5">
        <f>($E3-$D3)*('Extrapolation average con.'!BV$15-$D$2)/($E$2-$D$2)+$AF16</f>
        <v>-5.3333333333333358E-4</v>
      </c>
      <c r="BW16" s="5">
        <f>($E3-$D3)*('Extrapolation average con.'!BW$15-$D$2)/($E$2-$D$2)+$AF16</f>
        <v>-3.7333333333333402E-4</v>
      </c>
      <c r="BX16" s="5">
        <f>($E3-$D3)*('Extrapolation average con.'!BX$15-$D$2)/($E$2-$D$2)+$AF16</f>
        <v>-2.133333333333336E-4</v>
      </c>
      <c r="BY16" s="5">
        <f>($E3-$D3)*('Extrapolation average con.'!BY$15-$D$2)/($E$2-$D$2)+$AF16</f>
        <v>-5.3333333333333184E-5</v>
      </c>
      <c r="BZ16" s="5">
        <f>($E3-$D3)*('Extrapolation average con.'!BZ$15-$D$2)/($E$2-$D$2)+$AF16</f>
        <v>1.066666666666655E-4</v>
      </c>
      <c r="CA16" s="5">
        <f>($E3-$D3)*('Extrapolation average con.'!CA$15-$D$2)/($E$2-$D$2)+$AF16</f>
        <v>2.6666666666666592E-4</v>
      </c>
      <c r="CB16" s="5">
        <f>($E3-$D3)*('Extrapolation average con.'!CB$15-$D$2)/($E$2-$D$2)+$AF16</f>
        <v>4.2666666666666634E-4</v>
      </c>
      <c r="CC16" s="5">
        <f>($E3-$D3)*('Extrapolation average con.'!CC$15-$D$2)/($E$2-$D$2)+$AF16</f>
        <v>5.8666666666666589E-4</v>
      </c>
      <c r="CD16" s="5">
        <f>($E3-$D3)*('Extrapolation average con.'!CD$15-$D$2)/($E$2-$D$2)+$AF16</f>
        <v>7.4666666666666631E-4</v>
      </c>
    </row>
    <row r="17" spans="1:82">
      <c r="A17" s="366"/>
      <c r="B17" s="22" t="s">
        <v>189</v>
      </c>
      <c r="C17" s="2">
        <f>$C4*('Extrapolation average con.'!C$15-Parameters_Results!$D$10)/($C$2-Parameters_Results!$D$10)</f>
        <v>-1E-3</v>
      </c>
      <c r="D17" s="2">
        <f>$C4*('Extrapolation average con.'!D$15-Parameters_Results!$D$10)/($C$2-Parameters_Results!$D$10)</f>
        <v>-2E-3</v>
      </c>
      <c r="E17" s="2">
        <f>$C4*('Extrapolation average con.'!E$15-Parameters_Results!$D$10)/($C$2-Parameters_Results!$D$10)</f>
        <v>-3.0000000000000005E-3</v>
      </c>
      <c r="F17" s="2">
        <f>$C4*('Extrapolation average con.'!F$15-Parameters_Results!$D$10)/($C$2-Parameters_Results!$D$10)</f>
        <v>-4.0000000000000001E-3</v>
      </c>
      <c r="G17" s="2">
        <f>$C4*('Extrapolation average con.'!G$15-Parameters_Results!$D$10)/($C$2-Parameters_Results!$D$10)</f>
        <v>-5.0000000000000001E-3</v>
      </c>
      <c r="H17" s="2">
        <f>$C4*('Extrapolation average con.'!H$15-Parameters_Results!$D$10)/($C$2-Parameters_Results!$D$10)</f>
        <v>-6.000000000000001E-3</v>
      </c>
      <c r="I17" s="2">
        <f>$C4*('Extrapolation average con.'!I$15-Parameters_Results!$D$10)/($C$2-Parameters_Results!$D$10)</f>
        <v>-7.0000000000000001E-3</v>
      </c>
      <c r="J17" s="2">
        <f>$C4*('Extrapolation average con.'!J$15-Parameters_Results!$D$10)/($C$2-Parameters_Results!$D$10)</f>
        <v>-8.0000000000000002E-3</v>
      </c>
      <c r="K17" s="2">
        <f>$C4*('Extrapolation average con.'!K$15-Parameters_Results!$D$10)/($C$2-Parameters_Results!$D$10)</f>
        <v>-8.9999999999999993E-3</v>
      </c>
      <c r="L17" s="7">
        <f>$C4*('Extrapolation average con.'!L$15-Parameters_Results!$D$10)/($C$2-Parameters_Results!$D$10)</f>
        <v>-0.01</v>
      </c>
      <c r="M17" s="2">
        <f>($D4-$C4)*('Extrapolation average con.'!M$15-$C$2)/($D$2-$C$2)+$L17</f>
        <v>-8.5500000000000003E-3</v>
      </c>
      <c r="N17" s="2">
        <f>($D4-$C4)*('Extrapolation average con.'!N$15-$C$2)/($D$2-$C$2)+$L17</f>
        <v>-0.01</v>
      </c>
      <c r="O17" s="2">
        <f>($D4-$C4)*('Extrapolation average con.'!O$15-$C$2)/($D$2-$C$2)+$L17</f>
        <v>-1.145E-2</v>
      </c>
      <c r="P17" s="2">
        <f>($D4-$C4)*('Extrapolation average con.'!P$15-$C$2)/($D$2-$C$2)+$L17</f>
        <v>-1.29E-2</v>
      </c>
      <c r="Q17" s="2">
        <f>($D4-$C4)*('Extrapolation average con.'!Q$15-$C$2)/($D$2-$C$2)+$L17</f>
        <v>-1.4350000000000002E-2</v>
      </c>
      <c r="R17" s="2">
        <f>($D4-$C4)*('Extrapolation average con.'!R$15-$C$2)/($D$2-$C$2)+$L17</f>
        <v>-1.5800000000000002E-2</v>
      </c>
      <c r="S17" s="2">
        <f>($D4-$C4)*('Extrapolation average con.'!S$15-$C$2)/($D$2-$C$2)+$L17</f>
        <v>-1.7250000000000001E-2</v>
      </c>
      <c r="T17" s="2">
        <f>($D4-$C4)*('Extrapolation average con.'!T$15-$C$2)/($D$2-$C$2)+$L17</f>
        <v>-1.8700000000000001E-2</v>
      </c>
      <c r="U17" s="2">
        <f>($D4-$C4)*('Extrapolation average con.'!U$15-$C$2)/($D$2-$C$2)+$L17</f>
        <v>-2.0150000000000001E-2</v>
      </c>
      <c r="V17" s="2">
        <f>($D4-$C4)*('Extrapolation average con.'!V$15-$C$2)/($D$2-$C$2)+$L17</f>
        <v>-2.1600000000000001E-2</v>
      </c>
      <c r="W17" s="2">
        <f>($D4-$C4)*('Extrapolation average con.'!W$15-$C$2)/($D$2-$C$2)+$L17</f>
        <v>-2.3050000000000001E-2</v>
      </c>
      <c r="X17" s="2">
        <f>($D4-$C4)*('Extrapolation average con.'!X$15-$C$2)/($D$2-$C$2)+$L17</f>
        <v>-2.4500000000000001E-2</v>
      </c>
      <c r="Y17" s="2">
        <f>($D4-$C4)*('Extrapolation average con.'!Y$15-$C$2)/($D$2-$C$2)+$L17</f>
        <v>-2.5950000000000001E-2</v>
      </c>
      <c r="Z17" s="2">
        <f>($D4-$C4)*('Extrapolation average con.'!Z$15-$C$2)/($D$2-$C$2)+$L17</f>
        <v>-2.7400000000000001E-2</v>
      </c>
      <c r="AA17" s="2">
        <f>($D4-$C4)*('Extrapolation average con.'!AA$15-$C$2)/($D$2-$C$2)+$L17</f>
        <v>-2.8850000000000001E-2</v>
      </c>
      <c r="AB17" s="2">
        <f>($D4-$C4)*('Extrapolation average con.'!AB$15-$C$2)/($D$2-$C$2)+$L17</f>
        <v>-3.0300000000000001E-2</v>
      </c>
      <c r="AC17" s="2">
        <f>($D4-$C4)*('Extrapolation average con.'!AC$15-$C$2)/($D$2-$C$2)+$L17</f>
        <v>-3.175E-2</v>
      </c>
      <c r="AD17" s="2">
        <f>($D4-$C4)*('Extrapolation average con.'!AD$15-$C$2)/($D$2-$C$2)+$L17</f>
        <v>-3.32E-2</v>
      </c>
      <c r="AE17" s="2">
        <f>($D4-$C4)*('Extrapolation average con.'!AE$15-$C$2)/($D$2-$C$2)+$L17</f>
        <v>-3.465E-2</v>
      </c>
      <c r="AF17" s="2">
        <f>($D4-$C4)*('Extrapolation average con.'!AF$15-$C$2)/($D$2-$C$2)+$L17</f>
        <v>-3.61E-2</v>
      </c>
      <c r="AG17" s="5">
        <f>($E4-$D4)*('Extrapolation average con.'!AG$15-$D$2)/($E$2-$D$2)+$AF17</f>
        <v>-3.6920000000000001E-2</v>
      </c>
      <c r="AH17" s="5">
        <f>($E4-$D4)*('Extrapolation average con.'!AH$15-$D$2)/($E$2-$D$2)+$AF17</f>
        <v>-3.61E-2</v>
      </c>
      <c r="AI17" s="5">
        <f>($E4-$D4)*('Extrapolation average con.'!AI$15-$D$2)/($E$2-$D$2)+$AF17</f>
        <v>-3.5279999999999999E-2</v>
      </c>
      <c r="AJ17" s="5">
        <f>($E4-$D4)*('Extrapolation average con.'!AJ$15-$D$2)/($E$2-$D$2)+$AF17</f>
        <v>-3.4459999999999998E-2</v>
      </c>
      <c r="AK17" s="5">
        <f>($E4-$D4)*('Extrapolation average con.'!AK$15-$D$2)/($E$2-$D$2)+$AF17</f>
        <v>-3.3640000000000003E-2</v>
      </c>
      <c r="AL17" s="5">
        <f>($E4-$D4)*('Extrapolation average con.'!AL$15-$D$2)/($E$2-$D$2)+$AF17</f>
        <v>-3.2820000000000002E-2</v>
      </c>
      <c r="AM17" s="5">
        <f>($E4-$D4)*('Extrapolation average con.'!AM$15-$D$2)/($E$2-$D$2)+$AF17</f>
        <v>-3.2000000000000001E-2</v>
      </c>
      <c r="AN17" s="5">
        <f>($E4-$D4)*('Extrapolation average con.'!AN$15-$D$2)/($E$2-$D$2)+$AF17</f>
        <v>-3.1179999999999999E-2</v>
      </c>
      <c r="AO17" s="5">
        <f>($E4-$D4)*('Extrapolation average con.'!AO$15-$D$2)/($E$2-$D$2)+$AF17</f>
        <v>-3.0359999999999998E-2</v>
      </c>
      <c r="AP17" s="5">
        <f>($E4-$D4)*('Extrapolation average con.'!AP$15-$D$2)/($E$2-$D$2)+$AF17</f>
        <v>-2.954E-2</v>
      </c>
      <c r="AQ17" s="5">
        <f>($E4-$D4)*('Extrapolation average con.'!AQ$15-$D$2)/($E$2-$D$2)+$AF17</f>
        <v>-2.8719999999999999E-2</v>
      </c>
      <c r="AR17" s="5">
        <f>($E4-$D4)*('Extrapolation average con.'!AR$15-$D$2)/($E$2-$D$2)+$AF17</f>
        <v>-2.7900000000000001E-2</v>
      </c>
      <c r="AS17" s="5">
        <f>($E4-$D4)*('Extrapolation average con.'!AS$15-$D$2)/($E$2-$D$2)+$AF17</f>
        <v>-2.708E-2</v>
      </c>
      <c r="AT17" s="5">
        <f>($E4-$D4)*('Extrapolation average con.'!AT$15-$D$2)/($E$2-$D$2)+$AF17</f>
        <v>-2.6259999999999999E-2</v>
      </c>
      <c r="AU17" s="5">
        <f>($E4-$D4)*('Extrapolation average con.'!AU$15-$D$2)/($E$2-$D$2)+$AF17</f>
        <v>-2.5439999999999997E-2</v>
      </c>
      <c r="AV17" s="5">
        <f>($E4-$D4)*('Extrapolation average con.'!AV$15-$D$2)/($E$2-$D$2)+$AF17</f>
        <v>-2.462E-2</v>
      </c>
      <c r="AW17" s="5">
        <f>($E4-$D4)*('Extrapolation average con.'!AW$15-$D$2)/($E$2-$D$2)+$AF17</f>
        <v>-2.3800000000000002E-2</v>
      </c>
      <c r="AX17" s="5">
        <f>($E4-$D4)*('Extrapolation average con.'!AX$15-$D$2)/($E$2-$D$2)+$AF17</f>
        <v>-2.298E-2</v>
      </c>
      <c r="AY17" s="5">
        <f>($E4-$D4)*('Extrapolation average con.'!AY$15-$D$2)/($E$2-$D$2)+$AF17</f>
        <v>-2.2159999999999999E-2</v>
      </c>
      <c r="AZ17" s="5">
        <f>($E4-$D4)*('Extrapolation average con.'!AZ$15-$D$2)/($E$2-$D$2)+$AF17</f>
        <v>-2.1339999999999998E-2</v>
      </c>
      <c r="BA17" s="5">
        <f>($E4-$D4)*('Extrapolation average con.'!BA$15-$D$2)/($E$2-$D$2)+$AF17</f>
        <v>-2.052E-2</v>
      </c>
      <c r="BB17" s="5">
        <f>($E4-$D4)*('Extrapolation average con.'!BB$15-$D$2)/($E$2-$D$2)+$AF17</f>
        <v>-1.9699999999999999E-2</v>
      </c>
      <c r="BC17" s="5">
        <f>($E4-$D4)*('Extrapolation average con.'!BC$15-$D$2)/($E$2-$D$2)+$AF17</f>
        <v>-1.8880000000000001E-2</v>
      </c>
      <c r="BD17" s="5">
        <f>($E4-$D4)*('Extrapolation average con.'!BD$15-$D$2)/($E$2-$D$2)+$AF17</f>
        <v>-1.806E-2</v>
      </c>
      <c r="BE17" s="5">
        <f>($E4-$D4)*('Extrapolation average con.'!BE$15-$D$2)/($E$2-$D$2)+$AF17</f>
        <v>-1.7239999999999998E-2</v>
      </c>
      <c r="BF17" s="5">
        <f>($E4-$D4)*('Extrapolation average con.'!BF$15-$D$2)/($E$2-$D$2)+$AF17</f>
        <v>-1.6420000000000001E-2</v>
      </c>
      <c r="BG17" s="5">
        <f>($E4-$D4)*('Extrapolation average con.'!BG$15-$D$2)/($E$2-$D$2)+$AF17</f>
        <v>-1.5599999999999996E-2</v>
      </c>
      <c r="BH17" s="5">
        <f>($E4-$D4)*('Extrapolation average con.'!BH$15-$D$2)/($E$2-$D$2)+$AF17</f>
        <v>-1.4779999999999998E-2</v>
      </c>
      <c r="BI17" s="5">
        <f>($E4-$D4)*('Extrapolation average con.'!BI$15-$D$2)/($E$2-$D$2)+$AF17</f>
        <v>-1.396E-2</v>
      </c>
      <c r="BJ17" s="5">
        <f>($E4-$D4)*('Extrapolation average con.'!BJ$15-$D$2)/($E$2-$D$2)+$AF17</f>
        <v>-1.3139999999999999E-2</v>
      </c>
      <c r="BK17" s="5">
        <f>($E4-$D4)*('Extrapolation average con.'!BK$15-$D$2)/($E$2-$D$2)+$AF17</f>
        <v>-1.2319999999999998E-2</v>
      </c>
      <c r="BL17" s="5">
        <f>($E4-$D4)*('Extrapolation average con.'!BL$15-$D$2)/($E$2-$D$2)+$AF17</f>
        <v>-1.15E-2</v>
      </c>
      <c r="BM17" s="5">
        <f>($E4-$D4)*('Extrapolation average con.'!BM$15-$D$2)/($E$2-$D$2)+$AF17</f>
        <v>-1.0679999999999999E-2</v>
      </c>
      <c r="BN17" s="5">
        <f>($E4-$D4)*('Extrapolation average con.'!BN$15-$D$2)/($E$2-$D$2)+$AF17</f>
        <v>-9.8600000000000007E-3</v>
      </c>
      <c r="BO17" s="5">
        <f>($E4-$D4)*('Extrapolation average con.'!BO$15-$D$2)/($E$2-$D$2)+$AF17</f>
        <v>-9.0399999999999994E-3</v>
      </c>
      <c r="BP17" s="5">
        <f>($E4-$D4)*('Extrapolation average con.'!BP$15-$D$2)/($E$2-$D$2)+$AF17</f>
        <v>-8.2199999999999981E-3</v>
      </c>
      <c r="BQ17" s="5">
        <f>($E4-$D4)*('Extrapolation average con.'!BQ$15-$D$2)/($E$2-$D$2)+$AF17</f>
        <v>-7.4000000000000003E-3</v>
      </c>
      <c r="BR17" s="5">
        <f>($E4-$D4)*('Extrapolation average con.'!BR$15-$D$2)/($E$2-$D$2)+$AF17</f>
        <v>-6.579999999999999E-3</v>
      </c>
      <c r="BS17" s="5">
        <f>($E4-$D4)*('Extrapolation average con.'!BS$15-$D$2)/($E$2-$D$2)+$AF17</f>
        <v>-5.7599999999999978E-3</v>
      </c>
      <c r="BT17" s="5">
        <f>($E4-$D4)*('Extrapolation average con.'!BT$15-$D$2)/($E$2-$D$2)+$AF17</f>
        <v>-4.9399999999999999E-3</v>
      </c>
      <c r="BU17" s="5">
        <f>($E4-$D4)*('Extrapolation average con.'!BU$15-$D$2)/($E$2-$D$2)+$AF17</f>
        <v>-4.1199999999999987E-3</v>
      </c>
      <c r="BV17" s="5">
        <f>($E4-$D4)*('Extrapolation average con.'!BV$15-$D$2)/($E$2-$D$2)+$AF17</f>
        <v>-3.2999999999999974E-3</v>
      </c>
      <c r="BW17" s="5">
        <f>($E4-$D4)*('Extrapolation average con.'!BW$15-$D$2)/($E$2-$D$2)+$AF17</f>
        <v>-2.4799999999999961E-3</v>
      </c>
      <c r="BX17" s="5">
        <f>($E4-$D4)*('Extrapolation average con.'!BX$15-$D$2)/($E$2-$D$2)+$AF17</f>
        <v>-1.6600000000000018E-3</v>
      </c>
      <c r="BY17" s="5">
        <f>($E4-$D4)*('Extrapolation average con.'!BY$15-$D$2)/($E$2-$D$2)+$AF17</f>
        <v>-8.4000000000000047E-4</v>
      </c>
      <c r="BZ17" s="5">
        <f>($E4-$D4)*('Extrapolation average con.'!BZ$15-$D$2)/($E$2-$D$2)+$AF17</f>
        <v>-1.9999999999999185E-5</v>
      </c>
      <c r="CA17" s="5">
        <f>($E4-$D4)*('Extrapolation average con.'!CA$15-$D$2)/($E$2-$D$2)+$AF17</f>
        <v>8.000000000000021E-4</v>
      </c>
      <c r="CB17" s="5">
        <f>($E4-$D4)*('Extrapolation average con.'!CB$15-$D$2)/($E$2-$D$2)+$AF17</f>
        <v>1.6200000000000034E-3</v>
      </c>
      <c r="CC17" s="5">
        <f>($E4-$D4)*('Extrapolation average con.'!CC$15-$D$2)/($E$2-$D$2)+$AF17</f>
        <v>2.4399999999999977E-3</v>
      </c>
      <c r="CD17" s="5">
        <f>($E4-$D4)*('Extrapolation average con.'!CD$15-$D$2)/($E$2-$D$2)+$AF17</f>
        <v>3.259999999999999E-3</v>
      </c>
    </row>
    <row r="18" spans="1:82">
      <c r="A18" s="366"/>
      <c r="C18" s="2">
        <f>$C5*('Extrapolation average con.'!C$15-Parameters_Results!$D$10)/($C$2-Parameters_Results!$D$10)</f>
        <v>0</v>
      </c>
      <c r="D18" s="2">
        <f>$C5*('Extrapolation average con.'!D$15-Parameters_Results!$D$10)/($C$2-Parameters_Results!$D$10)</f>
        <v>0</v>
      </c>
      <c r="E18" s="2">
        <f>$C5*('Extrapolation average con.'!E$15-Parameters_Results!$D$10)/($C$2-Parameters_Results!$D$10)</f>
        <v>0</v>
      </c>
      <c r="F18" s="2">
        <f>$C5*('Extrapolation average con.'!F$15-Parameters_Results!$D$10)/($C$2-Parameters_Results!$D$10)</f>
        <v>0</v>
      </c>
      <c r="G18" s="2">
        <f>$C5*('Extrapolation average con.'!G$15-Parameters_Results!$D$10)/($C$2-Parameters_Results!$D$10)</f>
        <v>0</v>
      </c>
      <c r="H18" s="2">
        <f>$C5*('Extrapolation average con.'!H$15-Parameters_Results!$D$10)/($C$2-Parameters_Results!$D$10)</f>
        <v>0</v>
      </c>
      <c r="I18" s="2">
        <f>$C5*('Extrapolation average con.'!I$15-Parameters_Results!$D$10)/($C$2-Parameters_Results!$D$10)</f>
        <v>0</v>
      </c>
      <c r="J18" s="2">
        <f>$C5*('Extrapolation average con.'!J$15-Parameters_Results!$D$10)/($C$2-Parameters_Results!$D$10)</f>
        <v>0</v>
      </c>
      <c r="K18" s="2">
        <f>$C5*('Extrapolation average con.'!K$15-Parameters_Results!$D$10)/($C$2-Parameters_Results!$D$10)</f>
        <v>0</v>
      </c>
      <c r="L18" s="7">
        <f>$C5*('Extrapolation average con.'!L$15-Parameters_Results!$D$10)/($C$2-Parameters_Results!$D$10)</f>
        <v>0</v>
      </c>
      <c r="M18" s="2">
        <f>($D5-$C5)*('Extrapolation average con.'!M$15-$C$2)/($D$2-$C$2)+$L18</f>
        <v>0</v>
      </c>
      <c r="N18" s="2">
        <f>($D5-$C5)*('Extrapolation average con.'!N$15-$C$2)/($D$2-$C$2)+$L18</f>
        <v>0</v>
      </c>
      <c r="O18" s="2">
        <f>($D5-$C5)*('Extrapolation average con.'!O$15-$C$2)/($D$2-$C$2)+$L18</f>
        <v>0</v>
      </c>
      <c r="P18" s="2">
        <f>($D5-$C5)*('Extrapolation average con.'!P$15-$C$2)/($D$2-$C$2)+$L18</f>
        <v>0</v>
      </c>
      <c r="Q18" s="2">
        <f>($D5-$C5)*('Extrapolation average con.'!Q$15-$C$2)/($D$2-$C$2)+$L18</f>
        <v>0</v>
      </c>
      <c r="R18" s="2">
        <f>($D5-$C5)*('Extrapolation average con.'!R$15-$C$2)/($D$2-$C$2)+$L18</f>
        <v>0</v>
      </c>
      <c r="S18" s="2">
        <f>($D5-$C5)*('Extrapolation average con.'!S$15-$C$2)/($D$2-$C$2)+$L18</f>
        <v>0</v>
      </c>
      <c r="T18" s="2">
        <f>($D5-$C5)*('Extrapolation average con.'!T$15-$C$2)/($D$2-$C$2)+$L18</f>
        <v>0</v>
      </c>
      <c r="U18" s="2">
        <f>($D5-$C5)*('Extrapolation average con.'!U$15-$C$2)/($D$2-$C$2)+$L18</f>
        <v>0</v>
      </c>
      <c r="V18" s="2">
        <f>($D5-$C5)*('Extrapolation average con.'!V$15-$C$2)/($D$2-$C$2)+$L18</f>
        <v>0</v>
      </c>
      <c r="W18" s="2">
        <f>($D5-$C5)*('Extrapolation average con.'!W$15-$C$2)/($D$2-$C$2)+$L18</f>
        <v>0</v>
      </c>
      <c r="X18" s="2">
        <f>($D5-$C5)*('Extrapolation average con.'!X$15-$C$2)/($D$2-$C$2)+$L18</f>
        <v>0</v>
      </c>
      <c r="Y18" s="2">
        <f>($D5-$C5)*('Extrapolation average con.'!Y$15-$C$2)/($D$2-$C$2)+$L18</f>
        <v>0</v>
      </c>
      <c r="Z18" s="2">
        <f>($D5-$C5)*('Extrapolation average con.'!Z$15-$C$2)/($D$2-$C$2)+$L18</f>
        <v>0</v>
      </c>
      <c r="AA18" s="2">
        <f>($D5-$C5)*('Extrapolation average con.'!AA$15-$C$2)/($D$2-$C$2)+$L18</f>
        <v>0</v>
      </c>
      <c r="AB18" s="2">
        <f>($D5-$C5)*('Extrapolation average con.'!AB$15-$C$2)/($D$2-$C$2)+$L18</f>
        <v>0</v>
      </c>
      <c r="AC18" s="2">
        <f>($D5-$C5)*('Extrapolation average con.'!AC$15-$C$2)/($D$2-$C$2)+$L18</f>
        <v>0</v>
      </c>
      <c r="AD18" s="2">
        <f>($D5-$C5)*('Extrapolation average con.'!AD$15-$C$2)/($D$2-$C$2)+$L18</f>
        <v>0</v>
      </c>
      <c r="AE18" s="2">
        <f>($D5-$C5)*('Extrapolation average con.'!AE$15-$C$2)/($D$2-$C$2)+$L18</f>
        <v>0</v>
      </c>
      <c r="AF18" s="2">
        <f>($D5-$C5)*('Extrapolation average con.'!AF$15-$C$2)/($D$2-$C$2)+$L18</f>
        <v>0</v>
      </c>
      <c r="AG18" s="5">
        <f>($E5-$D5)*('Extrapolation average con.'!AG$15-$D$2)/($E$2-$D$2)+$AF18</f>
        <v>0</v>
      </c>
      <c r="AH18" s="5">
        <f>($E5-$D5)*('Extrapolation average con.'!AH$15-$D$2)/($E$2-$D$2)+$AF18</f>
        <v>0</v>
      </c>
      <c r="AI18" s="5">
        <f>($E5-$D5)*('Extrapolation average con.'!AI$15-$D$2)/($E$2-$D$2)+$AF18</f>
        <v>0</v>
      </c>
      <c r="AJ18" s="5">
        <f>($E5-$D5)*('Extrapolation average con.'!AJ$15-$D$2)/($E$2-$D$2)+$AF18</f>
        <v>0</v>
      </c>
      <c r="AK18" s="5">
        <f>($E5-$D5)*('Extrapolation average con.'!AK$15-$D$2)/($E$2-$D$2)+$AF18</f>
        <v>0</v>
      </c>
      <c r="AL18" s="5">
        <f>($E5-$D5)*('Extrapolation average con.'!AL$15-$D$2)/($E$2-$D$2)+$AF18</f>
        <v>0</v>
      </c>
      <c r="AM18" s="5">
        <f>($E5-$D5)*('Extrapolation average con.'!AM$15-$D$2)/($E$2-$D$2)+$AF18</f>
        <v>0</v>
      </c>
      <c r="AN18" s="5">
        <f>($E5-$D5)*('Extrapolation average con.'!AN$15-$D$2)/($E$2-$D$2)+$AF18</f>
        <v>0</v>
      </c>
      <c r="AO18" s="5">
        <f>($E5-$D5)*('Extrapolation average con.'!AO$15-$D$2)/($E$2-$D$2)+$AF18</f>
        <v>0</v>
      </c>
      <c r="AP18" s="5">
        <f>($E5-$D5)*('Extrapolation average con.'!AP$15-$D$2)/($E$2-$D$2)+$AF18</f>
        <v>0</v>
      </c>
      <c r="AQ18" s="5">
        <f>($E5-$D5)*('Extrapolation average con.'!AQ$15-$D$2)/($E$2-$D$2)+$AF18</f>
        <v>0</v>
      </c>
      <c r="AR18" s="5">
        <f>($E5-$D5)*('Extrapolation average con.'!AR$15-$D$2)/($E$2-$D$2)+$AF18</f>
        <v>0</v>
      </c>
      <c r="AS18" s="5">
        <f>($E5-$D5)*('Extrapolation average con.'!AS$15-$D$2)/($E$2-$D$2)+$AF18</f>
        <v>0</v>
      </c>
      <c r="AT18" s="5">
        <f>($E5-$D5)*('Extrapolation average con.'!AT$15-$D$2)/($E$2-$D$2)+$AF18</f>
        <v>0</v>
      </c>
      <c r="AU18" s="5">
        <f>($E5-$D5)*('Extrapolation average con.'!AU$15-$D$2)/($E$2-$D$2)+$AF18</f>
        <v>0</v>
      </c>
      <c r="AV18" s="5">
        <f>($E5-$D5)*('Extrapolation average con.'!AV$15-$D$2)/($E$2-$D$2)+$AF18</f>
        <v>0</v>
      </c>
      <c r="AW18" s="5">
        <f>($E5-$D5)*('Extrapolation average con.'!AW$15-$D$2)/($E$2-$D$2)+$AF18</f>
        <v>0</v>
      </c>
      <c r="AX18" s="5">
        <f>($E5-$D5)*('Extrapolation average con.'!AX$15-$D$2)/($E$2-$D$2)+$AF18</f>
        <v>0</v>
      </c>
      <c r="AY18" s="5">
        <f>($E5-$D5)*('Extrapolation average con.'!AY$15-$D$2)/($E$2-$D$2)+$AF18</f>
        <v>0</v>
      </c>
      <c r="AZ18" s="5">
        <f>($E5-$D5)*('Extrapolation average con.'!AZ$15-$D$2)/($E$2-$D$2)+$AF18</f>
        <v>0</v>
      </c>
      <c r="BA18" s="5">
        <f>($E5-$D5)*('Extrapolation average con.'!BA$15-$D$2)/($E$2-$D$2)+$AF18</f>
        <v>0</v>
      </c>
      <c r="BB18" s="5">
        <f>($E5-$D5)*('Extrapolation average con.'!BB$15-$D$2)/($E$2-$D$2)+$AF18</f>
        <v>0</v>
      </c>
      <c r="BC18" s="5">
        <f>($E5-$D5)*('Extrapolation average con.'!BC$15-$D$2)/($E$2-$D$2)+$AF18</f>
        <v>0</v>
      </c>
      <c r="BD18" s="5">
        <f>($E5-$D5)*('Extrapolation average con.'!BD$15-$D$2)/($E$2-$D$2)+$AF18</f>
        <v>0</v>
      </c>
      <c r="BE18" s="5">
        <f>($E5-$D5)*('Extrapolation average con.'!BE$15-$D$2)/($E$2-$D$2)+$AF18</f>
        <v>0</v>
      </c>
      <c r="BF18" s="5">
        <f>($E5-$D5)*('Extrapolation average con.'!BF$15-$D$2)/($E$2-$D$2)+$AF18</f>
        <v>0</v>
      </c>
      <c r="BG18" s="5">
        <f>($E5-$D5)*('Extrapolation average con.'!BG$15-$D$2)/($E$2-$D$2)+$AF18</f>
        <v>0</v>
      </c>
      <c r="BH18" s="5">
        <f>($E5-$D5)*('Extrapolation average con.'!BH$15-$D$2)/($E$2-$D$2)+$AF18</f>
        <v>0</v>
      </c>
      <c r="BI18" s="5">
        <f>($E5-$D5)*('Extrapolation average con.'!BI$15-$D$2)/($E$2-$D$2)+$AF18</f>
        <v>0</v>
      </c>
      <c r="BJ18" s="5">
        <f>($E5-$D5)*('Extrapolation average con.'!BJ$15-$D$2)/($E$2-$D$2)+$AF18</f>
        <v>0</v>
      </c>
      <c r="BK18" s="5">
        <f>($E5-$D5)*('Extrapolation average con.'!BK$15-$D$2)/($E$2-$D$2)+$AF18</f>
        <v>0</v>
      </c>
      <c r="BL18" s="5">
        <f>($E5-$D5)*('Extrapolation average con.'!BL$15-$D$2)/($E$2-$D$2)+$AF18</f>
        <v>0</v>
      </c>
      <c r="BM18" s="5">
        <f>($E5-$D5)*('Extrapolation average con.'!BM$15-$D$2)/($E$2-$D$2)+$AF18</f>
        <v>0</v>
      </c>
      <c r="BN18" s="5">
        <f>($E5-$D5)*('Extrapolation average con.'!BN$15-$D$2)/($E$2-$D$2)+$AF18</f>
        <v>0</v>
      </c>
      <c r="BO18" s="5">
        <f>($E5-$D5)*('Extrapolation average con.'!BO$15-$D$2)/($E$2-$D$2)+$AF18</f>
        <v>0</v>
      </c>
      <c r="BP18" s="5">
        <f>($E5-$D5)*('Extrapolation average con.'!BP$15-$D$2)/($E$2-$D$2)+$AF18</f>
        <v>0</v>
      </c>
      <c r="BQ18" s="5">
        <f>($E5-$D5)*('Extrapolation average con.'!BQ$15-$D$2)/($E$2-$D$2)+$AF18</f>
        <v>0</v>
      </c>
      <c r="BR18" s="5">
        <f>($E5-$D5)*('Extrapolation average con.'!BR$15-$D$2)/($E$2-$D$2)+$AF18</f>
        <v>0</v>
      </c>
      <c r="BS18" s="5">
        <f>($E5-$D5)*('Extrapolation average con.'!BS$15-$D$2)/($E$2-$D$2)+$AF18</f>
        <v>0</v>
      </c>
      <c r="BT18" s="5">
        <f>($E5-$D5)*('Extrapolation average con.'!BT$15-$D$2)/($E$2-$D$2)+$AF18</f>
        <v>0</v>
      </c>
      <c r="BU18" s="5">
        <f>($E5-$D5)*('Extrapolation average con.'!BU$15-$D$2)/($E$2-$D$2)+$AF18</f>
        <v>0</v>
      </c>
      <c r="BV18" s="5">
        <f>($E5-$D5)*('Extrapolation average con.'!BV$15-$D$2)/($E$2-$D$2)+$AF18</f>
        <v>0</v>
      </c>
      <c r="BW18" s="5">
        <f>($E5-$D5)*('Extrapolation average con.'!BW$15-$D$2)/($E$2-$D$2)+$AF18</f>
        <v>0</v>
      </c>
      <c r="BX18" s="5">
        <f>($E5-$D5)*('Extrapolation average con.'!BX$15-$D$2)/($E$2-$D$2)+$AF18</f>
        <v>0</v>
      </c>
      <c r="BY18" s="5">
        <f>($E5-$D5)*('Extrapolation average con.'!BY$15-$D$2)/($E$2-$D$2)+$AF18</f>
        <v>0</v>
      </c>
      <c r="BZ18" s="5">
        <f>($E5-$D5)*('Extrapolation average con.'!BZ$15-$D$2)/($E$2-$D$2)+$AF18</f>
        <v>0</v>
      </c>
      <c r="CA18" s="5">
        <f>($E5-$D5)*('Extrapolation average con.'!CA$15-$D$2)/($E$2-$D$2)+$AF18</f>
        <v>0</v>
      </c>
      <c r="CB18" s="5">
        <f>($E5-$D5)*('Extrapolation average con.'!CB$15-$D$2)/($E$2-$D$2)+$AF18</f>
        <v>0</v>
      </c>
      <c r="CC18" s="5">
        <f>($E5-$D5)*('Extrapolation average con.'!CC$15-$D$2)/($E$2-$D$2)+$AF18</f>
        <v>0</v>
      </c>
      <c r="CD18" s="5">
        <f>($E5-$D5)*('Extrapolation average con.'!CD$15-$D$2)/($E$2-$D$2)+$AF18</f>
        <v>0</v>
      </c>
    </row>
    <row r="19" spans="1:82">
      <c r="A19" s="366" t="s">
        <v>10</v>
      </c>
      <c r="B19" s="22" t="s">
        <v>188</v>
      </c>
      <c r="C19" s="2">
        <f>$C6*('Extrapolation average con.'!C$15-Parameters_Results!$D$10)/($C$2-Parameters_Results!$D$10)</f>
        <v>0</v>
      </c>
      <c r="D19" s="2">
        <f>$C6*('Extrapolation average con.'!D$15-Parameters_Results!$D$10)/($C$2-Parameters_Results!$D$10)</f>
        <v>0</v>
      </c>
      <c r="E19" s="2">
        <f>$C6*('Extrapolation average con.'!E$15-Parameters_Results!$D$10)/($C$2-Parameters_Results!$D$10)</f>
        <v>0</v>
      </c>
      <c r="F19" s="2">
        <f>$C6*('Extrapolation average con.'!F$15-Parameters_Results!$D$10)/($C$2-Parameters_Results!$D$10)</f>
        <v>0</v>
      </c>
      <c r="G19" s="2">
        <f>$C6*('Extrapolation average con.'!G$15-Parameters_Results!$D$10)/($C$2-Parameters_Results!$D$10)</f>
        <v>0</v>
      </c>
      <c r="H19" s="2">
        <f>$C6*('Extrapolation average con.'!H$15-Parameters_Results!$D$10)/($C$2-Parameters_Results!$D$10)</f>
        <v>0</v>
      </c>
      <c r="I19" s="2">
        <f>$C6*('Extrapolation average con.'!I$15-Parameters_Results!$D$10)/($C$2-Parameters_Results!$D$10)</f>
        <v>0</v>
      </c>
      <c r="J19" s="2">
        <f>$C6*('Extrapolation average con.'!J$15-Parameters_Results!$D$10)/($C$2-Parameters_Results!$D$10)</f>
        <v>0</v>
      </c>
      <c r="K19" s="2">
        <f>$C6*('Extrapolation average con.'!K$15-Parameters_Results!$D$10)/($C$2-Parameters_Results!$D$10)</f>
        <v>0</v>
      </c>
      <c r="L19" s="7">
        <f>$C6*('Extrapolation average con.'!L$15-Parameters_Results!$D$10)/($C$2-Parameters_Results!$D$10)</f>
        <v>0</v>
      </c>
      <c r="M19" s="2">
        <f>($D6-$C6)*('Extrapolation average con.'!M$15-$C$2)/($D$2-$C$2)+$L19</f>
        <v>0</v>
      </c>
      <c r="N19" s="2">
        <f>($D6-$C6)*('Extrapolation average con.'!N$15-$C$2)/($D$2-$C$2)+$L19</f>
        <v>0</v>
      </c>
      <c r="O19" s="2">
        <f>($D6-$C6)*('Extrapolation average con.'!O$15-$C$2)/($D$2-$C$2)+$L19</f>
        <v>0</v>
      </c>
      <c r="P19" s="2">
        <f>($D6-$C6)*('Extrapolation average con.'!P$15-$C$2)/($D$2-$C$2)+$L19</f>
        <v>0</v>
      </c>
      <c r="Q19" s="2">
        <f>($D6-$C6)*('Extrapolation average con.'!Q$15-$C$2)/($D$2-$C$2)+$L19</f>
        <v>0</v>
      </c>
      <c r="R19" s="2">
        <f>($D6-$C6)*('Extrapolation average con.'!R$15-$C$2)/($D$2-$C$2)+$L19</f>
        <v>0</v>
      </c>
      <c r="S19" s="2">
        <f>($D6-$C6)*('Extrapolation average con.'!S$15-$C$2)/($D$2-$C$2)+$L19</f>
        <v>0</v>
      </c>
      <c r="T19" s="2">
        <f>($D6-$C6)*('Extrapolation average con.'!T$15-$C$2)/($D$2-$C$2)+$L19</f>
        <v>0</v>
      </c>
      <c r="U19" s="2">
        <f>($D6-$C6)*('Extrapolation average con.'!U$15-$C$2)/($D$2-$C$2)+$L19</f>
        <v>0</v>
      </c>
      <c r="V19" s="2">
        <f>($D6-$C6)*('Extrapolation average con.'!V$15-$C$2)/($D$2-$C$2)+$L19</f>
        <v>0</v>
      </c>
      <c r="W19" s="2">
        <f>($D6-$C6)*('Extrapolation average con.'!W$15-$C$2)/($D$2-$C$2)+$L19</f>
        <v>0</v>
      </c>
      <c r="X19" s="2">
        <f>($D6-$C6)*('Extrapolation average con.'!X$15-$C$2)/($D$2-$C$2)+$L19</f>
        <v>0</v>
      </c>
      <c r="Y19" s="2">
        <f>($D6-$C6)*('Extrapolation average con.'!Y$15-$C$2)/($D$2-$C$2)+$L19</f>
        <v>0</v>
      </c>
      <c r="Z19" s="2">
        <f>($D6-$C6)*('Extrapolation average con.'!Z$15-$C$2)/($D$2-$C$2)+$L19</f>
        <v>0</v>
      </c>
      <c r="AA19" s="2">
        <f>($D6-$C6)*('Extrapolation average con.'!AA$15-$C$2)/($D$2-$C$2)+$L19</f>
        <v>0</v>
      </c>
      <c r="AB19" s="2">
        <f>($D6-$C6)*('Extrapolation average con.'!AB$15-$C$2)/($D$2-$C$2)+$L19</f>
        <v>0</v>
      </c>
      <c r="AC19" s="2">
        <f>($D6-$C6)*('Extrapolation average con.'!AC$15-$C$2)/($D$2-$C$2)+$L19</f>
        <v>0</v>
      </c>
      <c r="AD19" s="2">
        <f>($D6-$C6)*('Extrapolation average con.'!AD$15-$C$2)/($D$2-$C$2)+$L19</f>
        <v>0</v>
      </c>
      <c r="AE19" s="2">
        <f>($D6-$C6)*('Extrapolation average con.'!AE$15-$C$2)/($D$2-$C$2)+$L19</f>
        <v>0</v>
      </c>
      <c r="AF19" s="2">
        <f>($D6-$C6)*('Extrapolation average con.'!AF$15-$C$2)/($D$2-$C$2)+$L19</f>
        <v>0</v>
      </c>
      <c r="AG19" s="5">
        <f>($E6-$D6)*('Extrapolation average con.'!AG$15-$D$2)/($E$2-$D$2)+$AF19</f>
        <v>0</v>
      </c>
      <c r="AH19" s="5">
        <f>($E6-$D6)*('Extrapolation average con.'!AH$15-$D$2)/($E$2-$D$2)+$AF19</f>
        <v>0</v>
      </c>
      <c r="AI19" s="5">
        <f>($E6-$D6)*('Extrapolation average con.'!AI$15-$D$2)/($E$2-$D$2)+$AF19</f>
        <v>0</v>
      </c>
      <c r="AJ19" s="5">
        <f>($E6-$D6)*('Extrapolation average con.'!AJ$15-$D$2)/($E$2-$D$2)+$AF19</f>
        <v>0</v>
      </c>
      <c r="AK19" s="5">
        <f>($E6-$D6)*('Extrapolation average con.'!AK$15-$D$2)/($E$2-$D$2)+$AF19</f>
        <v>0</v>
      </c>
      <c r="AL19" s="5">
        <f>($E6-$D6)*('Extrapolation average con.'!AL$15-$D$2)/($E$2-$D$2)+$AF19</f>
        <v>0</v>
      </c>
      <c r="AM19" s="5">
        <f>($E6-$D6)*('Extrapolation average con.'!AM$15-$D$2)/($E$2-$D$2)+$AF19</f>
        <v>0</v>
      </c>
      <c r="AN19" s="5">
        <f>($E6-$D6)*('Extrapolation average con.'!AN$15-$D$2)/($E$2-$D$2)+$AF19</f>
        <v>0</v>
      </c>
      <c r="AO19" s="5">
        <f>($E6-$D6)*('Extrapolation average con.'!AO$15-$D$2)/($E$2-$D$2)+$AF19</f>
        <v>0</v>
      </c>
      <c r="AP19" s="5">
        <f>($E6-$D6)*('Extrapolation average con.'!AP$15-$D$2)/($E$2-$D$2)+$AF19</f>
        <v>0</v>
      </c>
      <c r="AQ19" s="5">
        <f>($E6-$D6)*('Extrapolation average con.'!AQ$15-$D$2)/($E$2-$D$2)+$AF19</f>
        <v>0</v>
      </c>
      <c r="AR19" s="5">
        <f>($E6-$D6)*('Extrapolation average con.'!AR$15-$D$2)/($E$2-$D$2)+$AF19</f>
        <v>0</v>
      </c>
      <c r="AS19" s="5">
        <f>($E6-$D6)*('Extrapolation average con.'!AS$15-$D$2)/($E$2-$D$2)+$AF19</f>
        <v>0</v>
      </c>
      <c r="AT19" s="5">
        <f>($E6-$D6)*('Extrapolation average con.'!AT$15-$D$2)/($E$2-$D$2)+$AF19</f>
        <v>0</v>
      </c>
      <c r="AU19" s="5">
        <f>($E6-$D6)*('Extrapolation average con.'!AU$15-$D$2)/($E$2-$D$2)+$AF19</f>
        <v>0</v>
      </c>
      <c r="AV19" s="5">
        <f>($E6-$D6)*('Extrapolation average con.'!AV$15-$D$2)/($E$2-$D$2)+$AF19</f>
        <v>0</v>
      </c>
      <c r="AW19" s="5">
        <f>($E6-$D6)*('Extrapolation average con.'!AW$15-$D$2)/($E$2-$D$2)+$AF19</f>
        <v>0</v>
      </c>
      <c r="AX19" s="5">
        <f>($E6-$D6)*('Extrapolation average con.'!AX$15-$D$2)/($E$2-$D$2)+$AF19</f>
        <v>0</v>
      </c>
      <c r="AY19" s="5">
        <f>($E6-$D6)*('Extrapolation average con.'!AY$15-$D$2)/($E$2-$D$2)+$AF19</f>
        <v>0</v>
      </c>
      <c r="AZ19" s="5">
        <f>($E6-$D6)*('Extrapolation average con.'!AZ$15-$D$2)/($E$2-$D$2)+$AF19</f>
        <v>0</v>
      </c>
      <c r="BA19" s="5">
        <f>($E6-$D6)*('Extrapolation average con.'!BA$15-$D$2)/($E$2-$D$2)+$AF19</f>
        <v>0</v>
      </c>
      <c r="BB19" s="5">
        <f>($E6-$D6)*('Extrapolation average con.'!BB$15-$D$2)/($E$2-$D$2)+$AF19</f>
        <v>0</v>
      </c>
      <c r="BC19" s="5">
        <f>($E6-$D6)*('Extrapolation average con.'!BC$15-$D$2)/($E$2-$D$2)+$AF19</f>
        <v>0</v>
      </c>
      <c r="BD19" s="5">
        <f>($E6-$D6)*('Extrapolation average con.'!BD$15-$D$2)/($E$2-$D$2)+$AF19</f>
        <v>0</v>
      </c>
      <c r="BE19" s="5">
        <f>($E6-$D6)*('Extrapolation average con.'!BE$15-$D$2)/($E$2-$D$2)+$AF19</f>
        <v>0</v>
      </c>
      <c r="BF19" s="5">
        <f>($E6-$D6)*('Extrapolation average con.'!BF$15-$D$2)/($E$2-$D$2)+$AF19</f>
        <v>0</v>
      </c>
      <c r="BG19" s="5">
        <f>($E6-$D6)*('Extrapolation average con.'!BG$15-$D$2)/($E$2-$D$2)+$AF19</f>
        <v>0</v>
      </c>
      <c r="BH19" s="5">
        <f>($E6-$D6)*('Extrapolation average con.'!BH$15-$D$2)/($E$2-$D$2)+$AF19</f>
        <v>0</v>
      </c>
      <c r="BI19" s="5">
        <f>($E6-$D6)*('Extrapolation average con.'!BI$15-$D$2)/($E$2-$D$2)+$AF19</f>
        <v>0</v>
      </c>
      <c r="BJ19" s="5">
        <f>($E6-$D6)*('Extrapolation average con.'!BJ$15-$D$2)/($E$2-$D$2)+$AF19</f>
        <v>0</v>
      </c>
      <c r="BK19" s="5">
        <f>($E6-$D6)*('Extrapolation average con.'!BK$15-$D$2)/($E$2-$D$2)+$AF19</f>
        <v>0</v>
      </c>
      <c r="BL19" s="5">
        <f>($E6-$D6)*('Extrapolation average con.'!BL$15-$D$2)/($E$2-$D$2)+$AF19</f>
        <v>0</v>
      </c>
      <c r="BM19" s="5">
        <f>($E6-$D6)*('Extrapolation average con.'!BM$15-$D$2)/($E$2-$D$2)+$AF19</f>
        <v>0</v>
      </c>
      <c r="BN19" s="5">
        <f>($E6-$D6)*('Extrapolation average con.'!BN$15-$D$2)/($E$2-$D$2)+$AF19</f>
        <v>0</v>
      </c>
      <c r="BO19" s="5">
        <f>($E6-$D6)*('Extrapolation average con.'!BO$15-$D$2)/($E$2-$D$2)+$AF19</f>
        <v>0</v>
      </c>
      <c r="BP19" s="5">
        <f>($E6-$D6)*('Extrapolation average con.'!BP$15-$D$2)/($E$2-$D$2)+$AF19</f>
        <v>0</v>
      </c>
      <c r="BQ19" s="5">
        <f>($E6-$D6)*('Extrapolation average con.'!BQ$15-$D$2)/($E$2-$D$2)+$AF19</f>
        <v>0</v>
      </c>
      <c r="BR19" s="5">
        <f>($E6-$D6)*('Extrapolation average con.'!BR$15-$D$2)/($E$2-$D$2)+$AF19</f>
        <v>0</v>
      </c>
      <c r="BS19" s="5">
        <f>($E6-$D6)*('Extrapolation average con.'!BS$15-$D$2)/($E$2-$D$2)+$AF19</f>
        <v>0</v>
      </c>
      <c r="BT19" s="5">
        <f>($E6-$D6)*('Extrapolation average con.'!BT$15-$D$2)/($E$2-$D$2)+$AF19</f>
        <v>0</v>
      </c>
      <c r="BU19" s="5">
        <f>($E6-$D6)*('Extrapolation average con.'!BU$15-$D$2)/($E$2-$D$2)+$AF19</f>
        <v>0</v>
      </c>
      <c r="BV19" s="5">
        <f>($E6-$D6)*('Extrapolation average con.'!BV$15-$D$2)/($E$2-$D$2)+$AF19</f>
        <v>0</v>
      </c>
      <c r="BW19" s="5">
        <f>($E6-$D6)*('Extrapolation average con.'!BW$15-$D$2)/($E$2-$D$2)+$AF19</f>
        <v>0</v>
      </c>
      <c r="BX19" s="5">
        <f>($E6-$D6)*('Extrapolation average con.'!BX$15-$D$2)/($E$2-$D$2)+$AF19</f>
        <v>0</v>
      </c>
      <c r="BY19" s="5">
        <f>($E6-$D6)*('Extrapolation average con.'!BY$15-$D$2)/($E$2-$D$2)+$AF19</f>
        <v>0</v>
      </c>
      <c r="BZ19" s="5">
        <f>($E6-$D6)*('Extrapolation average con.'!BZ$15-$D$2)/($E$2-$D$2)+$AF19</f>
        <v>0</v>
      </c>
      <c r="CA19" s="5">
        <f>($E6-$D6)*('Extrapolation average con.'!CA$15-$D$2)/($E$2-$D$2)+$AF19</f>
        <v>0</v>
      </c>
      <c r="CB19" s="5">
        <f>($E6-$D6)*('Extrapolation average con.'!CB$15-$D$2)/($E$2-$D$2)+$AF19</f>
        <v>0</v>
      </c>
      <c r="CC19" s="5">
        <f>($E6-$D6)*('Extrapolation average con.'!CC$15-$D$2)/($E$2-$D$2)+$AF19</f>
        <v>0</v>
      </c>
      <c r="CD19" s="5">
        <f>($E6-$D6)*('Extrapolation average con.'!CD$15-$D$2)/($E$2-$D$2)+$AF19</f>
        <v>0</v>
      </c>
    </row>
    <row r="20" spans="1:82">
      <c r="A20" s="366"/>
      <c r="B20" s="22" t="s">
        <v>189</v>
      </c>
      <c r="C20" s="2">
        <f>$C7*('Extrapolation average con.'!C$15-Parameters_Results!$D$10)/($C$2-Parameters_Results!$D$10)</f>
        <v>0</v>
      </c>
      <c r="D20" s="2">
        <f>$C7*('Extrapolation average con.'!D$15-Parameters_Results!$D$10)/($C$2-Parameters_Results!$D$10)</f>
        <v>0</v>
      </c>
      <c r="E20" s="2">
        <f>$C7*('Extrapolation average con.'!E$15-Parameters_Results!$D$10)/($C$2-Parameters_Results!$D$10)</f>
        <v>0</v>
      </c>
      <c r="F20" s="2">
        <f>$C7*('Extrapolation average con.'!F$15-Parameters_Results!$D$10)/($C$2-Parameters_Results!$D$10)</f>
        <v>0</v>
      </c>
      <c r="G20" s="2">
        <f>$C7*('Extrapolation average con.'!G$15-Parameters_Results!$D$10)/($C$2-Parameters_Results!$D$10)</f>
        <v>0</v>
      </c>
      <c r="H20" s="2">
        <f>$C7*('Extrapolation average con.'!H$15-Parameters_Results!$D$10)/($C$2-Parameters_Results!$D$10)</f>
        <v>0</v>
      </c>
      <c r="I20" s="2">
        <f>$C7*('Extrapolation average con.'!I$15-Parameters_Results!$D$10)/($C$2-Parameters_Results!$D$10)</f>
        <v>0</v>
      </c>
      <c r="J20" s="2">
        <f>$C7*('Extrapolation average con.'!J$15-Parameters_Results!$D$10)/($C$2-Parameters_Results!$D$10)</f>
        <v>0</v>
      </c>
      <c r="K20" s="2">
        <f>$C7*('Extrapolation average con.'!K$15-Parameters_Results!$D$10)/($C$2-Parameters_Results!$D$10)</f>
        <v>0</v>
      </c>
      <c r="L20" s="7">
        <f>$C7*('Extrapolation average con.'!L$15-Parameters_Results!$D$10)/($C$2-Parameters_Results!$D$10)</f>
        <v>0</v>
      </c>
      <c r="M20" s="2">
        <f>($D7-$C7)*('Extrapolation average con.'!M$15-$C$2)/($D$2-$C$2)+$L20</f>
        <v>0</v>
      </c>
      <c r="N20" s="2">
        <f>($D7-$C7)*('Extrapolation average con.'!N$15-$C$2)/($D$2-$C$2)+$L20</f>
        <v>0</v>
      </c>
      <c r="O20" s="2">
        <f>($D7-$C7)*('Extrapolation average con.'!O$15-$C$2)/($D$2-$C$2)+$L20</f>
        <v>0</v>
      </c>
      <c r="P20" s="2">
        <f>($D7-$C7)*('Extrapolation average con.'!P$15-$C$2)/($D$2-$C$2)+$L20</f>
        <v>0</v>
      </c>
      <c r="Q20" s="2">
        <f>($D7-$C7)*('Extrapolation average con.'!Q$15-$C$2)/($D$2-$C$2)+$L20</f>
        <v>0</v>
      </c>
      <c r="R20" s="2">
        <f>($D7-$C7)*('Extrapolation average con.'!R$15-$C$2)/($D$2-$C$2)+$L20</f>
        <v>0</v>
      </c>
      <c r="S20" s="2">
        <f>($D7-$C7)*('Extrapolation average con.'!S$15-$C$2)/($D$2-$C$2)+$L20</f>
        <v>0</v>
      </c>
      <c r="T20" s="2">
        <f>($D7-$C7)*('Extrapolation average con.'!T$15-$C$2)/($D$2-$C$2)+$L20</f>
        <v>0</v>
      </c>
      <c r="U20" s="2">
        <f>($D7-$C7)*('Extrapolation average con.'!U$15-$C$2)/($D$2-$C$2)+$L20</f>
        <v>0</v>
      </c>
      <c r="V20" s="2">
        <f>($D7-$C7)*('Extrapolation average con.'!V$15-$C$2)/($D$2-$C$2)+$L20</f>
        <v>0</v>
      </c>
      <c r="W20" s="2">
        <f>($D7-$C7)*('Extrapolation average con.'!W$15-$C$2)/($D$2-$C$2)+$L20</f>
        <v>0</v>
      </c>
      <c r="X20" s="2">
        <f>($D7-$C7)*('Extrapolation average con.'!X$15-$C$2)/($D$2-$C$2)+$L20</f>
        <v>0</v>
      </c>
      <c r="Y20" s="2">
        <f>($D7-$C7)*('Extrapolation average con.'!Y$15-$C$2)/($D$2-$C$2)+$L20</f>
        <v>0</v>
      </c>
      <c r="Z20" s="2">
        <f>($D7-$C7)*('Extrapolation average con.'!Z$15-$C$2)/($D$2-$C$2)+$L20</f>
        <v>0</v>
      </c>
      <c r="AA20" s="2">
        <f>($D7-$C7)*('Extrapolation average con.'!AA$15-$C$2)/($D$2-$C$2)+$L20</f>
        <v>0</v>
      </c>
      <c r="AB20" s="2">
        <f>($D7-$C7)*('Extrapolation average con.'!AB$15-$C$2)/($D$2-$C$2)+$L20</f>
        <v>0</v>
      </c>
      <c r="AC20" s="2">
        <f>($D7-$C7)*('Extrapolation average con.'!AC$15-$C$2)/($D$2-$C$2)+$L20</f>
        <v>0</v>
      </c>
      <c r="AD20" s="2">
        <f>($D7-$C7)*('Extrapolation average con.'!AD$15-$C$2)/($D$2-$C$2)+$L20</f>
        <v>0</v>
      </c>
      <c r="AE20" s="2">
        <f>($D7-$C7)*('Extrapolation average con.'!AE$15-$C$2)/($D$2-$C$2)+$L20</f>
        <v>0</v>
      </c>
      <c r="AF20" s="2">
        <f>($D7-$C7)*('Extrapolation average con.'!AF$15-$C$2)/($D$2-$C$2)+$L20</f>
        <v>0</v>
      </c>
      <c r="AG20" s="5">
        <f>($E7-$D7)*('Extrapolation average con.'!AG$15-$D$2)/($E$2-$D$2)+$AF20</f>
        <v>0</v>
      </c>
      <c r="AH20" s="5">
        <f>($E7-$D7)*('Extrapolation average con.'!AH$15-$D$2)/($E$2-$D$2)+$AF20</f>
        <v>0</v>
      </c>
      <c r="AI20" s="5">
        <f>($E7-$D7)*('Extrapolation average con.'!AI$15-$D$2)/($E$2-$D$2)+$AF20</f>
        <v>0</v>
      </c>
      <c r="AJ20" s="5">
        <f>($E7-$D7)*('Extrapolation average con.'!AJ$15-$D$2)/($E$2-$D$2)+$AF20</f>
        <v>0</v>
      </c>
      <c r="AK20" s="5">
        <f>($E7-$D7)*('Extrapolation average con.'!AK$15-$D$2)/($E$2-$D$2)+$AF20</f>
        <v>0</v>
      </c>
      <c r="AL20" s="5">
        <f>($E7-$D7)*('Extrapolation average con.'!AL$15-$D$2)/($E$2-$D$2)+$AF20</f>
        <v>0</v>
      </c>
      <c r="AM20" s="5">
        <f>($E7-$D7)*('Extrapolation average con.'!AM$15-$D$2)/($E$2-$D$2)+$AF20</f>
        <v>0</v>
      </c>
      <c r="AN20" s="5">
        <f>($E7-$D7)*('Extrapolation average con.'!AN$15-$D$2)/($E$2-$D$2)+$AF20</f>
        <v>0</v>
      </c>
      <c r="AO20" s="5">
        <f>($E7-$D7)*('Extrapolation average con.'!AO$15-$D$2)/($E$2-$D$2)+$AF20</f>
        <v>0</v>
      </c>
      <c r="AP20" s="5">
        <f>($E7-$D7)*('Extrapolation average con.'!AP$15-$D$2)/($E$2-$D$2)+$AF20</f>
        <v>0</v>
      </c>
      <c r="AQ20" s="5">
        <f>($E7-$D7)*('Extrapolation average con.'!AQ$15-$D$2)/($E$2-$D$2)+$AF20</f>
        <v>0</v>
      </c>
      <c r="AR20" s="5">
        <f>($E7-$D7)*('Extrapolation average con.'!AR$15-$D$2)/($E$2-$D$2)+$AF20</f>
        <v>0</v>
      </c>
      <c r="AS20" s="5">
        <f>($E7-$D7)*('Extrapolation average con.'!AS$15-$D$2)/($E$2-$D$2)+$AF20</f>
        <v>0</v>
      </c>
      <c r="AT20" s="5">
        <f>($E7-$D7)*('Extrapolation average con.'!AT$15-$D$2)/($E$2-$D$2)+$AF20</f>
        <v>0</v>
      </c>
      <c r="AU20" s="5">
        <f>($E7-$D7)*('Extrapolation average con.'!AU$15-$D$2)/($E$2-$D$2)+$AF20</f>
        <v>0</v>
      </c>
      <c r="AV20" s="5">
        <f>($E7-$D7)*('Extrapolation average con.'!AV$15-$D$2)/($E$2-$D$2)+$AF20</f>
        <v>0</v>
      </c>
      <c r="AW20" s="5">
        <f>($E7-$D7)*('Extrapolation average con.'!AW$15-$D$2)/($E$2-$D$2)+$AF20</f>
        <v>0</v>
      </c>
      <c r="AX20" s="5">
        <f>($E7-$D7)*('Extrapolation average con.'!AX$15-$D$2)/($E$2-$D$2)+$AF20</f>
        <v>0</v>
      </c>
      <c r="AY20" s="5">
        <f>($E7-$D7)*('Extrapolation average con.'!AY$15-$D$2)/($E$2-$D$2)+$AF20</f>
        <v>0</v>
      </c>
      <c r="AZ20" s="5">
        <f>($E7-$D7)*('Extrapolation average con.'!AZ$15-$D$2)/($E$2-$D$2)+$AF20</f>
        <v>0</v>
      </c>
      <c r="BA20" s="5">
        <f>($E7-$D7)*('Extrapolation average con.'!BA$15-$D$2)/($E$2-$D$2)+$AF20</f>
        <v>0</v>
      </c>
      <c r="BB20" s="5">
        <f>($E7-$D7)*('Extrapolation average con.'!BB$15-$D$2)/($E$2-$D$2)+$AF20</f>
        <v>0</v>
      </c>
      <c r="BC20" s="5">
        <f>($E7-$D7)*('Extrapolation average con.'!BC$15-$D$2)/($E$2-$D$2)+$AF20</f>
        <v>0</v>
      </c>
      <c r="BD20" s="5">
        <f>($E7-$D7)*('Extrapolation average con.'!BD$15-$D$2)/($E$2-$D$2)+$AF20</f>
        <v>0</v>
      </c>
      <c r="BE20" s="5">
        <f>($E7-$D7)*('Extrapolation average con.'!BE$15-$D$2)/($E$2-$D$2)+$AF20</f>
        <v>0</v>
      </c>
      <c r="BF20" s="5">
        <f>($E7-$D7)*('Extrapolation average con.'!BF$15-$D$2)/($E$2-$D$2)+$AF20</f>
        <v>0</v>
      </c>
      <c r="BG20" s="5">
        <f>($E7-$D7)*('Extrapolation average con.'!BG$15-$D$2)/($E$2-$D$2)+$AF20</f>
        <v>0</v>
      </c>
      <c r="BH20" s="5">
        <f>($E7-$D7)*('Extrapolation average con.'!BH$15-$D$2)/($E$2-$D$2)+$AF20</f>
        <v>0</v>
      </c>
      <c r="BI20" s="5">
        <f>($E7-$D7)*('Extrapolation average con.'!BI$15-$D$2)/($E$2-$D$2)+$AF20</f>
        <v>0</v>
      </c>
      <c r="BJ20" s="5">
        <f>($E7-$D7)*('Extrapolation average con.'!BJ$15-$D$2)/($E$2-$D$2)+$AF20</f>
        <v>0</v>
      </c>
      <c r="BK20" s="5">
        <f>($E7-$D7)*('Extrapolation average con.'!BK$15-$D$2)/($E$2-$D$2)+$AF20</f>
        <v>0</v>
      </c>
      <c r="BL20" s="5">
        <f>($E7-$D7)*('Extrapolation average con.'!BL$15-$D$2)/($E$2-$D$2)+$AF20</f>
        <v>0</v>
      </c>
      <c r="BM20" s="5">
        <f>($E7-$D7)*('Extrapolation average con.'!BM$15-$D$2)/($E$2-$D$2)+$AF20</f>
        <v>0</v>
      </c>
      <c r="BN20" s="5">
        <f>($E7-$D7)*('Extrapolation average con.'!BN$15-$D$2)/($E$2-$D$2)+$AF20</f>
        <v>0</v>
      </c>
      <c r="BO20" s="5">
        <f>($E7-$D7)*('Extrapolation average con.'!BO$15-$D$2)/($E$2-$D$2)+$AF20</f>
        <v>0</v>
      </c>
      <c r="BP20" s="5">
        <f>($E7-$D7)*('Extrapolation average con.'!BP$15-$D$2)/($E$2-$D$2)+$AF20</f>
        <v>0</v>
      </c>
      <c r="BQ20" s="5">
        <f>($E7-$D7)*('Extrapolation average con.'!BQ$15-$D$2)/($E$2-$D$2)+$AF20</f>
        <v>0</v>
      </c>
      <c r="BR20" s="5">
        <f>($E7-$D7)*('Extrapolation average con.'!BR$15-$D$2)/($E$2-$D$2)+$AF20</f>
        <v>0</v>
      </c>
      <c r="BS20" s="5">
        <f>($E7-$D7)*('Extrapolation average con.'!BS$15-$D$2)/($E$2-$D$2)+$AF20</f>
        <v>0</v>
      </c>
      <c r="BT20" s="5">
        <f>($E7-$D7)*('Extrapolation average con.'!BT$15-$D$2)/($E$2-$D$2)+$AF20</f>
        <v>0</v>
      </c>
      <c r="BU20" s="5">
        <f>($E7-$D7)*('Extrapolation average con.'!BU$15-$D$2)/($E$2-$D$2)+$AF20</f>
        <v>0</v>
      </c>
      <c r="BV20" s="5">
        <f>($E7-$D7)*('Extrapolation average con.'!BV$15-$D$2)/($E$2-$D$2)+$AF20</f>
        <v>0</v>
      </c>
      <c r="BW20" s="5">
        <f>($E7-$D7)*('Extrapolation average con.'!BW$15-$D$2)/($E$2-$D$2)+$AF20</f>
        <v>0</v>
      </c>
      <c r="BX20" s="5">
        <f>($E7-$D7)*('Extrapolation average con.'!BX$15-$D$2)/($E$2-$D$2)+$AF20</f>
        <v>0</v>
      </c>
      <c r="BY20" s="5">
        <f>($E7-$D7)*('Extrapolation average con.'!BY$15-$D$2)/($E$2-$D$2)+$AF20</f>
        <v>0</v>
      </c>
      <c r="BZ20" s="5">
        <f>($E7-$D7)*('Extrapolation average con.'!BZ$15-$D$2)/($E$2-$D$2)+$AF20</f>
        <v>0</v>
      </c>
      <c r="CA20" s="5">
        <f>($E7-$D7)*('Extrapolation average con.'!CA$15-$D$2)/($E$2-$D$2)+$AF20</f>
        <v>0</v>
      </c>
      <c r="CB20" s="5">
        <f>($E7-$D7)*('Extrapolation average con.'!CB$15-$D$2)/($E$2-$D$2)+$AF20</f>
        <v>0</v>
      </c>
      <c r="CC20" s="5">
        <f>($E7-$D7)*('Extrapolation average con.'!CC$15-$D$2)/($E$2-$D$2)+$AF20</f>
        <v>0</v>
      </c>
      <c r="CD20" s="5">
        <f>($E7-$D7)*('Extrapolation average con.'!CD$15-$D$2)/($E$2-$D$2)+$AF20</f>
        <v>0</v>
      </c>
    </row>
    <row r="21" spans="1:82">
      <c r="A21" s="366"/>
      <c r="C21" s="2">
        <f>$C8*('Extrapolation average con.'!C$15-Parameters_Results!$D$10)/($C$2-Parameters_Results!$D$10)</f>
        <v>0</v>
      </c>
      <c r="D21" s="2">
        <f>$C8*('Extrapolation average con.'!D$15-Parameters_Results!$D$10)/($C$2-Parameters_Results!$D$10)</f>
        <v>0</v>
      </c>
      <c r="E21" s="2">
        <f>$C8*('Extrapolation average con.'!E$15-Parameters_Results!$D$10)/($C$2-Parameters_Results!$D$10)</f>
        <v>0</v>
      </c>
      <c r="F21" s="2">
        <f>$C8*('Extrapolation average con.'!F$15-Parameters_Results!$D$10)/($C$2-Parameters_Results!$D$10)</f>
        <v>0</v>
      </c>
      <c r="G21" s="2">
        <f>$C8*('Extrapolation average con.'!G$15-Parameters_Results!$D$10)/($C$2-Parameters_Results!$D$10)</f>
        <v>0</v>
      </c>
      <c r="H21" s="2">
        <f>$C8*('Extrapolation average con.'!H$15-Parameters_Results!$D$10)/($C$2-Parameters_Results!$D$10)</f>
        <v>0</v>
      </c>
      <c r="I21" s="2">
        <f>$C8*('Extrapolation average con.'!I$15-Parameters_Results!$D$10)/($C$2-Parameters_Results!$D$10)</f>
        <v>0</v>
      </c>
      <c r="J21" s="2">
        <f>$C8*('Extrapolation average con.'!J$15-Parameters_Results!$D$10)/($C$2-Parameters_Results!$D$10)</f>
        <v>0</v>
      </c>
      <c r="K21" s="2">
        <f>$C8*('Extrapolation average con.'!K$15-Parameters_Results!$D$10)/($C$2-Parameters_Results!$D$10)</f>
        <v>0</v>
      </c>
      <c r="L21" s="7">
        <f>$C8*('Extrapolation average con.'!L$15-Parameters_Results!$D$10)/($C$2-Parameters_Results!$D$10)</f>
        <v>0</v>
      </c>
      <c r="M21" s="2">
        <f>($D8-$C8)*('Extrapolation average con.'!M$15-$C$2)/($D$2-$C$2)+$L21</f>
        <v>0</v>
      </c>
      <c r="N21" s="2">
        <f>($D8-$C8)*('Extrapolation average con.'!N$15-$C$2)/($D$2-$C$2)+$L21</f>
        <v>0</v>
      </c>
      <c r="O21" s="2">
        <f>($D8-$C8)*('Extrapolation average con.'!O$15-$C$2)/($D$2-$C$2)+$L21</f>
        <v>0</v>
      </c>
      <c r="P21" s="2">
        <f>($D8-$C8)*('Extrapolation average con.'!P$15-$C$2)/($D$2-$C$2)+$L21</f>
        <v>0</v>
      </c>
      <c r="Q21" s="2">
        <f>($D8-$C8)*('Extrapolation average con.'!Q$15-$C$2)/($D$2-$C$2)+$L21</f>
        <v>0</v>
      </c>
      <c r="R21" s="2">
        <f>($D8-$C8)*('Extrapolation average con.'!R$15-$C$2)/($D$2-$C$2)+$L21</f>
        <v>0</v>
      </c>
      <c r="S21" s="2">
        <f>($D8-$C8)*('Extrapolation average con.'!S$15-$C$2)/($D$2-$C$2)+$L21</f>
        <v>0</v>
      </c>
      <c r="T21" s="2">
        <f>($D8-$C8)*('Extrapolation average con.'!T$15-$C$2)/($D$2-$C$2)+$L21</f>
        <v>0</v>
      </c>
      <c r="U21" s="2">
        <f>($D8-$C8)*('Extrapolation average con.'!U$15-$C$2)/($D$2-$C$2)+$L21</f>
        <v>0</v>
      </c>
      <c r="V21" s="2">
        <f>($D8-$C8)*('Extrapolation average con.'!V$15-$C$2)/($D$2-$C$2)+$L21</f>
        <v>0</v>
      </c>
      <c r="W21" s="2">
        <f>($D8-$C8)*('Extrapolation average con.'!W$15-$C$2)/($D$2-$C$2)+$L21</f>
        <v>0</v>
      </c>
      <c r="X21" s="2">
        <f>($D8-$C8)*('Extrapolation average con.'!X$15-$C$2)/($D$2-$C$2)+$L21</f>
        <v>0</v>
      </c>
      <c r="Y21" s="2">
        <f>($D8-$C8)*('Extrapolation average con.'!Y$15-$C$2)/($D$2-$C$2)+$L21</f>
        <v>0</v>
      </c>
      <c r="Z21" s="2">
        <f>($D8-$C8)*('Extrapolation average con.'!Z$15-$C$2)/($D$2-$C$2)+$L21</f>
        <v>0</v>
      </c>
      <c r="AA21" s="2">
        <f>($D8-$C8)*('Extrapolation average con.'!AA$15-$C$2)/($D$2-$C$2)+$L21</f>
        <v>0</v>
      </c>
      <c r="AB21" s="2">
        <f>($D8-$C8)*('Extrapolation average con.'!AB$15-$C$2)/($D$2-$C$2)+$L21</f>
        <v>0</v>
      </c>
      <c r="AC21" s="2">
        <f>($D8-$C8)*('Extrapolation average con.'!AC$15-$C$2)/($D$2-$C$2)+$L21</f>
        <v>0</v>
      </c>
      <c r="AD21" s="2">
        <f>($D8-$C8)*('Extrapolation average con.'!AD$15-$C$2)/($D$2-$C$2)+$L21</f>
        <v>0</v>
      </c>
      <c r="AE21" s="2">
        <f>($D8-$C8)*('Extrapolation average con.'!AE$15-$C$2)/($D$2-$C$2)+$L21</f>
        <v>0</v>
      </c>
      <c r="AF21" s="2">
        <f>($D8-$C8)*('Extrapolation average con.'!AF$15-$C$2)/($D$2-$C$2)+$L21</f>
        <v>0</v>
      </c>
      <c r="AG21" s="5">
        <f>($E8-$D8)*('Extrapolation average con.'!AG$15-$D$2)/($E$2-$D$2)+$AF21</f>
        <v>0</v>
      </c>
      <c r="AH21" s="5">
        <f>($E8-$D8)*('Extrapolation average con.'!AH$15-$D$2)/($E$2-$D$2)+$AF21</f>
        <v>0</v>
      </c>
      <c r="AI21" s="5">
        <f>($E8-$D8)*('Extrapolation average con.'!AI$15-$D$2)/($E$2-$D$2)+$AF21</f>
        <v>0</v>
      </c>
      <c r="AJ21" s="5">
        <f>($E8-$D8)*('Extrapolation average con.'!AJ$15-$D$2)/($E$2-$D$2)+$AF21</f>
        <v>0</v>
      </c>
      <c r="AK21" s="5">
        <f>($E8-$D8)*('Extrapolation average con.'!AK$15-$D$2)/($E$2-$D$2)+$AF21</f>
        <v>0</v>
      </c>
      <c r="AL21" s="5">
        <f>($E8-$D8)*('Extrapolation average con.'!AL$15-$D$2)/($E$2-$D$2)+$AF21</f>
        <v>0</v>
      </c>
      <c r="AM21" s="5">
        <f>($E8-$D8)*('Extrapolation average con.'!AM$15-$D$2)/($E$2-$D$2)+$AF21</f>
        <v>0</v>
      </c>
      <c r="AN21" s="5">
        <f>($E8-$D8)*('Extrapolation average con.'!AN$15-$D$2)/($E$2-$D$2)+$AF21</f>
        <v>0</v>
      </c>
      <c r="AO21" s="5">
        <f>($E8-$D8)*('Extrapolation average con.'!AO$15-$D$2)/($E$2-$D$2)+$AF21</f>
        <v>0</v>
      </c>
      <c r="AP21" s="5">
        <f>($E8-$D8)*('Extrapolation average con.'!AP$15-$D$2)/($E$2-$D$2)+$AF21</f>
        <v>0</v>
      </c>
      <c r="AQ21" s="5">
        <f>($E8-$D8)*('Extrapolation average con.'!AQ$15-$D$2)/($E$2-$D$2)+$AF21</f>
        <v>0</v>
      </c>
      <c r="AR21" s="5">
        <f>($E8-$D8)*('Extrapolation average con.'!AR$15-$D$2)/($E$2-$D$2)+$AF21</f>
        <v>0</v>
      </c>
      <c r="AS21" s="5">
        <f>($E8-$D8)*('Extrapolation average con.'!AS$15-$D$2)/($E$2-$D$2)+$AF21</f>
        <v>0</v>
      </c>
      <c r="AT21" s="5">
        <f>($E8-$D8)*('Extrapolation average con.'!AT$15-$D$2)/($E$2-$D$2)+$AF21</f>
        <v>0</v>
      </c>
      <c r="AU21" s="5">
        <f>($E8-$D8)*('Extrapolation average con.'!AU$15-$D$2)/($E$2-$D$2)+$AF21</f>
        <v>0</v>
      </c>
      <c r="AV21" s="5">
        <f>($E8-$D8)*('Extrapolation average con.'!AV$15-$D$2)/($E$2-$D$2)+$AF21</f>
        <v>0</v>
      </c>
      <c r="AW21" s="5">
        <f>($E8-$D8)*('Extrapolation average con.'!AW$15-$D$2)/($E$2-$D$2)+$AF21</f>
        <v>0</v>
      </c>
      <c r="AX21" s="5">
        <f>($E8-$D8)*('Extrapolation average con.'!AX$15-$D$2)/($E$2-$D$2)+$AF21</f>
        <v>0</v>
      </c>
      <c r="AY21" s="5">
        <f>($E8-$D8)*('Extrapolation average con.'!AY$15-$D$2)/($E$2-$D$2)+$AF21</f>
        <v>0</v>
      </c>
      <c r="AZ21" s="5">
        <f>($E8-$D8)*('Extrapolation average con.'!AZ$15-$D$2)/($E$2-$D$2)+$AF21</f>
        <v>0</v>
      </c>
      <c r="BA21" s="5">
        <f>($E8-$D8)*('Extrapolation average con.'!BA$15-$D$2)/($E$2-$D$2)+$AF21</f>
        <v>0</v>
      </c>
      <c r="BB21" s="5">
        <f>($E8-$D8)*('Extrapolation average con.'!BB$15-$D$2)/($E$2-$D$2)+$AF21</f>
        <v>0</v>
      </c>
      <c r="BC21" s="5">
        <f>($E8-$D8)*('Extrapolation average con.'!BC$15-$D$2)/($E$2-$D$2)+$AF21</f>
        <v>0</v>
      </c>
      <c r="BD21" s="5">
        <f>($E8-$D8)*('Extrapolation average con.'!BD$15-$D$2)/($E$2-$D$2)+$AF21</f>
        <v>0</v>
      </c>
      <c r="BE21" s="5">
        <f>($E8-$D8)*('Extrapolation average con.'!BE$15-$D$2)/($E$2-$D$2)+$AF21</f>
        <v>0</v>
      </c>
      <c r="BF21" s="5">
        <f>($E8-$D8)*('Extrapolation average con.'!BF$15-$D$2)/($E$2-$D$2)+$AF21</f>
        <v>0</v>
      </c>
      <c r="BG21" s="5">
        <f>($E8-$D8)*('Extrapolation average con.'!BG$15-$D$2)/($E$2-$D$2)+$AF21</f>
        <v>0</v>
      </c>
      <c r="BH21" s="5">
        <f>($E8-$D8)*('Extrapolation average con.'!BH$15-$D$2)/($E$2-$D$2)+$AF21</f>
        <v>0</v>
      </c>
      <c r="BI21" s="5">
        <f>($E8-$D8)*('Extrapolation average con.'!BI$15-$D$2)/($E$2-$D$2)+$AF21</f>
        <v>0</v>
      </c>
      <c r="BJ21" s="5">
        <f>($E8-$D8)*('Extrapolation average con.'!BJ$15-$D$2)/($E$2-$D$2)+$AF21</f>
        <v>0</v>
      </c>
      <c r="BK21" s="5">
        <f>($E8-$D8)*('Extrapolation average con.'!BK$15-$D$2)/($E$2-$D$2)+$AF21</f>
        <v>0</v>
      </c>
      <c r="BL21" s="5">
        <f>($E8-$D8)*('Extrapolation average con.'!BL$15-$D$2)/($E$2-$D$2)+$AF21</f>
        <v>0</v>
      </c>
      <c r="BM21" s="5">
        <f>($E8-$D8)*('Extrapolation average con.'!BM$15-$D$2)/($E$2-$D$2)+$AF21</f>
        <v>0</v>
      </c>
      <c r="BN21" s="5">
        <f>($E8-$D8)*('Extrapolation average con.'!BN$15-$D$2)/($E$2-$D$2)+$AF21</f>
        <v>0</v>
      </c>
      <c r="BO21" s="5">
        <f>($E8-$D8)*('Extrapolation average con.'!BO$15-$D$2)/($E$2-$D$2)+$AF21</f>
        <v>0</v>
      </c>
      <c r="BP21" s="5">
        <f>($E8-$D8)*('Extrapolation average con.'!BP$15-$D$2)/($E$2-$D$2)+$AF21</f>
        <v>0</v>
      </c>
      <c r="BQ21" s="5">
        <f>($E8-$D8)*('Extrapolation average con.'!BQ$15-$D$2)/($E$2-$D$2)+$AF21</f>
        <v>0</v>
      </c>
      <c r="BR21" s="5">
        <f>($E8-$D8)*('Extrapolation average con.'!BR$15-$D$2)/($E$2-$D$2)+$AF21</f>
        <v>0</v>
      </c>
      <c r="BS21" s="5">
        <f>($E8-$D8)*('Extrapolation average con.'!BS$15-$D$2)/($E$2-$D$2)+$AF21</f>
        <v>0</v>
      </c>
      <c r="BT21" s="5">
        <f>($E8-$D8)*('Extrapolation average con.'!BT$15-$D$2)/($E$2-$D$2)+$AF21</f>
        <v>0</v>
      </c>
      <c r="BU21" s="5">
        <f>($E8-$D8)*('Extrapolation average con.'!BU$15-$D$2)/($E$2-$D$2)+$AF21</f>
        <v>0</v>
      </c>
      <c r="BV21" s="5">
        <f>($E8-$D8)*('Extrapolation average con.'!BV$15-$D$2)/($E$2-$D$2)+$AF21</f>
        <v>0</v>
      </c>
      <c r="BW21" s="5">
        <f>($E8-$D8)*('Extrapolation average con.'!BW$15-$D$2)/($E$2-$D$2)+$AF21</f>
        <v>0</v>
      </c>
      <c r="BX21" s="5">
        <f>($E8-$D8)*('Extrapolation average con.'!BX$15-$D$2)/($E$2-$D$2)+$AF21</f>
        <v>0</v>
      </c>
      <c r="BY21" s="5">
        <f>($E8-$D8)*('Extrapolation average con.'!BY$15-$D$2)/($E$2-$D$2)+$AF21</f>
        <v>0</v>
      </c>
      <c r="BZ21" s="5">
        <f>($E8-$D8)*('Extrapolation average con.'!BZ$15-$D$2)/($E$2-$D$2)+$AF21</f>
        <v>0</v>
      </c>
      <c r="CA21" s="5">
        <f>($E8-$D8)*('Extrapolation average con.'!CA$15-$D$2)/($E$2-$D$2)+$AF21</f>
        <v>0</v>
      </c>
      <c r="CB21" s="5">
        <f>($E8-$D8)*('Extrapolation average con.'!CB$15-$D$2)/($E$2-$D$2)+$AF21</f>
        <v>0</v>
      </c>
      <c r="CC21" s="5">
        <f>($E8-$D8)*('Extrapolation average con.'!CC$15-$D$2)/($E$2-$D$2)+$AF21</f>
        <v>0</v>
      </c>
      <c r="CD21" s="5">
        <f>($E8-$D8)*('Extrapolation average con.'!CD$15-$D$2)/($E$2-$D$2)+$AF21</f>
        <v>0</v>
      </c>
    </row>
    <row r="22" spans="1:82">
      <c r="A22" s="366" t="s">
        <v>13</v>
      </c>
      <c r="B22" t="s">
        <v>25</v>
      </c>
      <c r="C22" s="2">
        <f>$C9*('Extrapolation average con.'!C$15-Parameters_Results!$D$10)/($C$2-Parameters_Results!$D$10)</f>
        <v>0</v>
      </c>
      <c r="D22" s="2">
        <f>$C9*('Extrapolation average con.'!D$15-Parameters_Results!$D$10)/($C$2-Parameters_Results!$D$10)</f>
        <v>0</v>
      </c>
      <c r="E22" s="2">
        <f>$C9*('Extrapolation average con.'!E$15-Parameters_Results!$D$10)/($C$2-Parameters_Results!$D$10)</f>
        <v>0</v>
      </c>
      <c r="F22" s="2">
        <f>$C9*('Extrapolation average con.'!F$15-Parameters_Results!$D$10)/($C$2-Parameters_Results!$D$10)</f>
        <v>0</v>
      </c>
      <c r="G22" s="2">
        <f>$C9*('Extrapolation average con.'!G$15-Parameters_Results!$D$10)/($C$2-Parameters_Results!$D$10)</f>
        <v>0</v>
      </c>
      <c r="H22" s="2">
        <f>$C9*('Extrapolation average con.'!H$15-Parameters_Results!$D$10)/($C$2-Parameters_Results!$D$10)</f>
        <v>0</v>
      </c>
      <c r="I22" s="2">
        <f>$C9*('Extrapolation average con.'!I$15-Parameters_Results!$D$10)/($C$2-Parameters_Results!$D$10)</f>
        <v>0</v>
      </c>
      <c r="J22" s="2">
        <f>$C9*('Extrapolation average con.'!J$15-Parameters_Results!$D$10)/($C$2-Parameters_Results!$D$10)</f>
        <v>0</v>
      </c>
      <c r="K22" s="2">
        <f>$C9*('Extrapolation average con.'!K$15-Parameters_Results!$D$10)/($C$2-Parameters_Results!$D$10)</f>
        <v>0</v>
      </c>
      <c r="L22" s="7">
        <f>$C9*('Extrapolation average con.'!L$15-Parameters_Results!$D$10)/($C$2-Parameters_Results!$D$10)</f>
        <v>0</v>
      </c>
      <c r="M22" s="2">
        <f>($D9-$C9)*('Extrapolation average con.'!M$15-$C$2)/($D$2-$C$2)+$L22</f>
        <v>0</v>
      </c>
      <c r="N22" s="2">
        <f>($D9-$C9)*('Extrapolation average con.'!N$15-$C$2)/($D$2-$C$2)+$L22</f>
        <v>0</v>
      </c>
      <c r="O22" s="2">
        <f>($D9-$C9)*('Extrapolation average con.'!O$15-$C$2)/($D$2-$C$2)+$L22</f>
        <v>0</v>
      </c>
      <c r="P22" s="2">
        <f>($D9-$C9)*('Extrapolation average con.'!P$15-$C$2)/($D$2-$C$2)+$L22</f>
        <v>0</v>
      </c>
      <c r="Q22" s="2">
        <f>($D9-$C9)*('Extrapolation average con.'!Q$15-$C$2)/($D$2-$C$2)+$L22</f>
        <v>0</v>
      </c>
      <c r="R22" s="2">
        <f>($D9-$C9)*('Extrapolation average con.'!R$15-$C$2)/($D$2-$C$2)+$L22</f>
        <v>0</v>
      </c>
      <c r="S22" s="2">
        <f>($D9-$C9)*('Extrapolation average con.'!S$15-$C$2)/($D$2-$C$2)+$L22</f>
        <v>0</v>
      </c>
      <c r="T22" s="2">
        <f>($D9-$C9)*('Extrapolation average con.'!T$15-$C$2)/($D$2-$C$2)+$L22</f>
        <v>0</v>
      </c>
      <c r="U22" s="2">
        <f>($D9-$C9)*('Extrapolation average con.'!U$15-$C$2)/($D$2-$C$2)+$L22</f>
        <v>0</v>
      </c>
      <c r="V22" s="2">
        <f>($D9-$C9)*('Extrapolation average con.'!V$15-$C$2)/($D$2-$C$2)+$L22</f>
        <v>0</v>
      </c>
      <c r="W22" s="2">
        <f>($D9-$C9)*('Extrapolation average con.'!W$15-$C$2)/($D$2-$C$2)+$L22</f>
        <v>0</v>
      </c>
      <c r="X22" s="2">
        <f>($D9-$C9)*('Extrapolation average con.'!X$15-$C$2)/($D$2-$C$2)+$L22</f>
        <v>0</v>
      </c>
      <c r="Y22" s="2">
        <f>($D9-$C9)*('Extrapolation average con.'!Y$15-$C$2)/($D$2-$C$2)+$L22</f>
        <v>0</v>
      </c>
      <c r="Z22" s="2">
        <f>($D9-$C9)*('Extrapolation average con.'!Z$15-$C$2)/($D$2-$C$2)+$L22</f>
        <v>0</v>
      </c>
      <c r="AA22" s="2">
        <f>($D9-$C9)*('Extrapolation average con.'!AA$15-$C$2)/($D$2-$C$2)+$L22</f>
        <v>0</v>
      </c>
      <c r="AB22" s="2">
        <f>($D9-$C9)*('Extrapolation average con.'!AB$15-$C$2)/($D$2-$C$2)+$L22</f>
        <v>0</v>
      </c>
      <c r="AC22" s="2">
        <f>($D9-$C9)*('Extrapolation average con.'!AC$15-$C$2)/($D$2-$C$2)+$L22</f>
        <v>0</v>
      </c>
      <c r="AD22" s="2">
        <f>($D9-$C9)*('Extrapolation average con.'!AD$15-$C$2)/($D$2-$C$2)+$L22</f>
        <v>0</v>
      </c>
      <c r="AE22" s="2">
        <f>($D9-$C9)*('Extrapolation average con.'!AE$15-$C$2)/($D$2-$C$2)+$L22</f>
        <v>0</v>
      </c>
      <c r="AF22" s="2">
        <f>($D9-$C9)*('Extrapolation average con.'!AF$15-$C$2)/($D$2-$C$2)+$L22</f>
        <v>0</v>
      </c>
      <c r="AG22" s="5">
        <f>($E9-$D9)*('Extrapolation average con.'!AG$15-$D$2)/($E$2-$D$2)+$AF22</f>
        <v>0</v>
      </c>
      <c r="AH22" s="5">
        <f>($E9-$D9)*('Extrapolation average con.'!AH$15-$D$2)/($E$2-$D$2)+$AF22</f>
        <v>0</v>
      </c>
      <c r="AI22" s="5">
        <f>($E9-$D9)*('Extrapolation average con.'!AI$15-$D$2)/($E$2-$D$2)+$AF22</f>
        <v>0</v>
      </c>
      <c r="AJ22" s="5">
        <f>($E9-$D9)*('Extrapolation average con.'!AJ$15-$D$2)/($E$2-$D$2)+$AF22</f>
        <v>0</v>
      </c>
      <c r="AK22" s="5">
        <f>($E9-$D9)*('Extrapolation average con.'!AK$15-$D$2)/($E$2-$D$2)+$AF22</f>
        <v>0</v>
      </c>
      <c r="AL22" s="5">
        <f>($E9-$D9)*('Extrapolation average con.'!AL$15-$D$2)/($E$2-$D$2)+$AF22</f>
        <v>0</v>
      </c>
      <c r="AM22" s="5">
        <f>($E9-$D9)*('Extrapolation average con.'!AM$15-$D$2)/($E$2-$D$2)+$AF22</f>
        <v>0</v>
      </c>
      <c r="AN22" s="5">
        <f>($E9-$D9)*('Extrapolation average con.'!AN$15-$D$2)/($E$2-$D$2)+$AF22</f>
        <v>0</v>
      </c>
      <c r="AO22" s="5">
        <f>($E9-$D9)*('Extrapolation average con.'!AO$15-$D$2)/($E$2-$D$2)+$AF22</f>
        <v>0</v>
      </c>
      <c r="AP22" s="5">
        <f>($E9-$D9)*('Extrapolation average con.'!AP$15-$D$2)/($E$2-$D$2)+$AF22</f>
        <v>0</v>
      </c>
      <c r="AQ22" s="5">
        <f>($E9-$D9)*('Extrapolation average con.'!AQ$15-$D$2)/($E$2-$D$2)+$AF22</f>
        <v>0</v>
      </c>
      <c r="AR22" s="5">
        <f>($E9-$D9)*('Extrapolation average con.'!AR$15-$D$2)/($E$2-$D$2)+$AF22</f>
        <v>0</v>
      </c>
      <c r="AS22" s="5">
        <f>($E9-$D9)*('Extrapolation average con.'!AS$15-$D$2)/($E$2-$D$2)+$AF22</f>
        <v>0</v>
      </c>
      <c r="AT22" s="5">
        <f>($E9-$D9)*('Extrapolation average con.'!AT$15-$D$2)/($E$2-$D$2)+$AF22</f>
        <v>0</v>
      </c>
      <c r="AU22" s="5">
        <f>($E9-$D9)*('Extrapolation average con.'!AU$15-$D$2)/($E$2-$D$2)+$AF22</f>
        <v>0</v>
      </c>
      <c r="AV22" s="5">
        <f>($E9-$D9)*('Extrapolation average con.'!AV$15-$D$2)/($E$2-$D$2)+$AF22</f>
        <v>0</v>
      </c>
      <c r="AW22" s="5">
        <f>($E9-$D9)*('Extrapolation average con.'!AW$15-$D$2)/($E$2-$D$2)+$AF22</f>
        <v>0</v>
      </c>
      <c r="AX22" s="5">
        <f>($E9-$D9)*('Extrapolation average con.'!AX$15-$D$2)/($E$2-$D$2)+$AF22</f>
        <v>0</v>
      </c>
      <c r="AY22" s="5">
        <f>($E9-$D9)*('Extrapolation average con.'!AY$15-$D$2)/($E$2-$D$2)+$AF22</f>
        <v>0</v>
      </c>
      <c r="AZ22" s="5">
        <f>($E9-$D9)*('Extrapolation average con.'!AZ$15-$D$2)/($E$2-$D$2)+$AF22</f>
        <v>0</v>
      </c>
      <c r="BA22" s="5">
        <f>($E9-$D9)*('Extrapolation average con.'!BA$15-$D$2)/($E$2-$D$2)+$AF22</f>
        <v>0</v>
      </c>
      <c r="BB22" s="5">
        <f>($E9-$D9)*('Extrapolation average con.'!BB$15-$D$2)/($E$2-$D$2)+$AF22</f>
        <v>0</v>
      </c>
      <c r="BC22" s="5">
        <f>($E9-$D9)*('Extrapolation average con.'!BC$15-$D$2)/($E$2-$D$2)+$AF22</f>
        <v>0</v>
      </c>
      <c r="BD22" s="5">
        <f>($E9-$D9)*('Extrapolation average con.'!BD$15-$D$2)/($E$2-$D$2)+$AF22</f>
        <v>0</v>
      </c>
      <c r="BE22" s="5">
        <f>($E9-$D9)*('Extrapolation average con.'!BE$15-$D$2)/($E$2-$D$2)+$AF22</f>
        <v>0</v>
      </c>
      <c r="BF22" s="5">
        <f>($E9-$D9)*('Extrapolation average con.'!BF$15-$D$2)/($E$2-$D$2)+$AF22</f>
        <v>0</v>
      </c>
      <c r="BG22" s="5">
        <f>($E9-$D9)*('Extrapolation average con.'!BG$15-$D$2)/($E$2-$D$2)+$AF22</f>
        <v>0</v>
      </c>
      <c r="BH22" s="5">
        <f>($E9-$D9)*('Extrapolation average con.'!BH$15-$D$2)/($E$2-$D$2)+$AF22</f>
        <v>0</v>
      </c>
      <c r="BI22" s="5">
        <f>($E9-$D9)*('Extrapolation average con.'!BI$15-$D$2)/($E$2-$D$2)+$AF22</f>
        <v>0</v>
      </c>
      <c r="BJ22" s="5">
        <f>($E9-$D9)*('Extrapolation average con.'!BJ$15-$D$2)/($E$2-$D$2)+$AF22</f>
        <v>0</v>
      </c>
      <c r="BK22" s="5">
        <f>($E9-$D9)*('Extrapolation average con.'!BK$15-$D$2)/($E$2-$D$2)+$AF22</f>
        <v>0</v>
      </c>
      <c r="BL22" s="5">
        <f>($E9-$D9)*('Extrapolation average con.'!BL$15-$D$2)/($E$2-$D$2)+$AF22</f>
        <v>0</v>
      </c>
      <c r="BM22" s="5">
        <f>($E9-$D9)*('Extrapolation average con.'!BM$15-$D$2)/($E$2-$D$2)+$AF22</f>
        <v>0</v>
      </c>
      <c r="BN22" s="5">
        <f>($E9-$D9)*('Extrapolation average con.'!BN$15-$D$2)/($E$2-$D$2)+$AF22</f>
        <v>0</v>
      </c>
      <c r="BO22" s="5">
        <f>($E9-$D9)*('Extrapolation average con.'!BO$15-$D$2)/($E$2-$D$2)+$AF22</f>
        <v>0</v>
      </c>
      <c r="BP22" s="5">
        <f>($E9-$D9)*('Extrapolation average con.'!BP$15-$D$2)/($E$2-$D$2)+$AF22</f>
        <v>0</v>
      </c>
      <c r="BQ22" s="5">
        <f>($E9-$D9)*('Extrapolation average con.'!BQ$15-$D$2)/($E$2-$D$2)+$AF22</f>
        <v>0</v>
      </c>
      <c r="BR22" s="5">
        <f>($E9-$D9)*('Extrapolation average con.'!BR$15-$D$2)/($E$2-$D$2)+$AF22</f>
        <v>0</v>
      </c>
      <c r="BS22" s="5">
        <f>($E9-$D9)*('Extrapolation average con.'!BS$15-$D$2)/($E$2-$D$2)+$AF22</f>
        <v>0</v>
      </c>
      <c r="BT22" s="5">
        <f>($E9-$D9)*('Extrapolation average con.'!BT$15-$D$2)/($E$2-$D$2)+$AF22</f>
        <v>0</v>
      </c>
      <c r="BU22" s="5">
        <f>($E9-$D9)*('Extrapolation average con.'!BU$15-$D$2)/($E$2-$D$2)+$AF22</f>
        <v>0</v>
      </c>
      <c r="BV22" s="5">
        <f>($E9-$D9)*('Extrapolation average con.'!BV$15-$D$2)/($E$2-$D$2)+$AF22</f>
        <v>0</v>
      </c>
      <c r="BW22" s="5">
        <f>($E9-$D9)*('Extrapolation average con.'!BW$15-$D$2)/($E$2-$D$2)+$AF22</f>
        <v>0</v>
      </c>
      <c r="BX22" s="5">
        <f>($E9-$D9)*('Extrapolation average con.'!BX$15-$D$2)/($E$2-$D$2)+$AF22</f>
        <v>0</v>
      </c>
      <c r="BY22" s="5">
        <f>($E9-$D9)*('Extrapolation average con.'!BY$15-$D$2)/($E$2-$D$2)+$AF22</f>
        <v>0</v>
      </c>
      <c r="BZ22" s="5">
        <f>($E9-$D9)*('Extrapolation average con.'!BZ$15-$D$2)/($E$2-$D$2)+$AF22</f>
        <v>0</v>
      </c>
      <c r="CA22" s="5">
        <f>($E9-$D9)*('Extrapolation average con.'!CA$15-$D$2)/($E$2-$D$2)+$AF22</f>
        <v>0</v>
      </c>
      <c r="CB22" s="5">
        <f>($E9-$D9)*('Extrapolation average con.'!CB$15-$D$2)/($E$2-$D$2)+$AF22</f>
        <v>0</v>
      </c>
      <c r="CC22" s="5">
        <f>($E9-$D9)*('Extrapolation average con.'!CC$15-$D$2)/($E$2-$D$2)+$AF22</f>
        <v>0</v>
      </c>
      <c r="CD22" s="5">
        <f>($E9-$D9)*('Extrapolation average con.'!CD$15-$D$2)/($E$2-$D$2)+$AF22</f>
        <v>0</v>
      </c>
    </row>
    <row r="23" spans="1:82">
      <c r="A23" s="366"/>
      <c r="B23" s="22" t="s">
        <v>190</v>
      </c>
      <c r="C23" s="2">
        <f>$C10*('Extrapolation average con.'!C$15-Parameters_Results!$D$10)/($C$2-Parameters_Results!$D$10)</f>
        <v>1.6666666666666668E-3</v>
      </c>
      <c r="D23" s="2">
        <f>$C10*('Extrapolation average con.'!D$15-Parameters_Results!$D$10)/($C$2-Parameters_Results!$D$10)</f>
        <v>3.3333333333333335E-3</v>
      </c>
      <c r="E23" s="2">
        <f>$C10*('Extrapolation average con.'!E$15-Parameters_Results!$D$10)/($C$2-Parameters_Results!$D$10)</f>
        <v>5.0000000000000001E-3</v>
      </c>
      <c r="F23" s="2">
        <f>$C10*('Extrapolation average con.'!F$15-Parameters_Results!$D$10)/($C$2-Parameters_Results!$D$10)</f>
        <v>6.6666666666666671E-3</v>
      </c>
      <c r="G23" s="2">
        <f>$C10*('Extrapolation average con.'!G$15-Parameters_Results!$D$10)/($C$2-Parameters_Results!$D$10)</f>
        <v>8.3333333333333332E-3</v>
      </c>
      <c r="H23" s="2">
        <f>$C10*('Extrapolation average con.'!H$15-Parameters_Results!$D$10)/($C$2-Parameters_Results!$D$10)</f>
        <v>0.01</v>
      </c>
      <c r="I23" s="2">
        <f>$C10*('Extrapolation average con.'!I$15-Parameters_Results!$D$10)/($C$2-Parameters_Results!$D$10)</f>
        <v>1.1666666666666667E-2</v>
      </c>
      <c r="J23" s="2">
        <f>$C10*('Extrapolation average con.'!J$15-Parameters_Results!$D$10)/($C$2-Parameters_Results!$D$10)</f>
        <v>1.3333333333333334E-2</v>
      </c>
      <c r="K23" s="2">
        <f>$C10*('Extrapolation average con.'!K$15-Parameters_Results!$D$10)/($C$2-Parameters_Results!$D$10)</f>
        <v>1.4999999999999999E-2</v>
      </c>
      <c r="L23" s="7">
        <f>$C10*('Extrapolation average con.'!L$15-Parameters_Results!$D$10)/($C$2-Parameters_Results!$D$10)</f>
        <v>1.6666666666666666E-2</v>
      </c>
      <c r="M23" s="2">
        <f>($D10-$C10)*('Extrapolation average con.'!M$15-$C$2)/($D$2-$C$2)+$L23</f>
        <v>1.5666666666666666E-2</v>
      </c>
      <c r="N23" s="2">
        <f>($D10-$C10)*('Extrapolation average con.'!N$15-$C$2)/($D$2-$C$2)+$L23</f>
        <v>1.6666666666666666E-2</v>
      </c>
      <c r="O23" s="2">
        <f>($D10-$C10)*('Extrapolation average con.'!O$15-$C$2)/($D$2-$C$2)+$L23</f>
        <v>1.7666666666666667E-2</v>
      </c>
      <c r="P23" s="2">
        <f>($D10-$C10)*('Extrapolation average con.'!P$15-$C$2)/($D$2-$C$2)+$L23</f>
        <v>1.8666666666666665E-2</v>
      </c>
      <c r="Q23" s="2">
        <f>($D10-$C10)*('Extrapolation average con.'!Q$15-$C$2)/($D$2-$C$2)+$L23</f>
        <v>1.9666666666666666E-2</v>
      </c>
      <c r="R23" s="2">
        <f>($D10-$C10)*('Extrapolation average con.'!R$15-$C$2)/($D$2-$C$2)+$L23</f>
        <v>2.0666666666666667E-2</v>
      </c>
      <c r="S23" s="2">
        <f>($D10-$C10)*('Extrapolation average con.'!S$15-$C$2)/($D$2-$C$2)+$L23</f>
        <v>2.1666666666666667E-2</v>
      </c>
      <c r="T23" s="2">
        <f>($D10-$C10)*('Extrapolation average con.'!T$15-$C$2)/($D$2-$C$2)+$L23</f>
        <v>2.2666666666666668E-2</v>
      </c>
      <c r="U23" s="2">
        <f>($D10-$C10)*('Extrapolation average con.'!U$15-$C$2)/($D$2-$C$2)+$L23</f>
        <v>2.3666666666666669E-2</v>
      </c>
      <c r="V23" s="2">
        <f>($D10-$C10)*('Extrapolation average con.'!V$15-$C$2)/($D$2-$C$2)+$L23</f>
        <v>2.4666666666666667E-2</v>
      </c>
      <c r="W23" s="2">
        <f>($D10-$C10)*('Extrapolation average con.'!W$15-$C$2)/($D$2-$C$2)+$L23</f>
        <v>2.5666666666666664E-2</v>
      </c>
      <c r="X23" s="2">
        <f>($D10-$C10)*('Extrapolation average con.'!X$15-$C$2)/($D$2-$C$2)+$L23</f>
        <v>2.6666666666666665E-2</v>
      </c>
      <c r="Y23" s="2">
        <f>($D10-$C10)*('Extrapolation average con.'!Y$15-$C$2)/($D$2-$C$2)+$L23</f>
        <v>2.7666666666666666E-2</v>
      </c>
      <c r="Z23" s="2">
        <f>($D10-$C10)*('Extrapolation average con.'!Z$15-$C$2)/($D$2-$C$2)+$L23</f>
        <v>2.8666666666666667E-2</v>
      </c>
      <c r="AA23" s="2">
        <f>($D10-$C10)*('Extrapolation average con.'!AA$15-$C$2)/($D$2-$C$2)+$L23</f>
        <v>2.9666666666666668E-2</v>
      </c>
      <c r="AB23" s="2">
        <f>($D10-$C10)*('Extrapolation average con.'!AB$15-$C$2)/($D$2-$C$2)+$L23</f>
        <v>3.0666666666666668E-2</v>
      </c>
      <c r="AC23" s="2">
        <f>($D10-$C10)*('Extrapolation average con.'!AC$15-$C$2)/($D$2-$C$2)+$L23</f>
        <v>3.1666666666666662E-2</v>
      </c>
      <c r="AD23" s="2">
        <f>($D10-$C10)*('Extrapolation average con.'!AD$15-$C$2)/($D$2-$C$2)+$L23</f>
        <v>3.2666666666666663E-2</v>
      </c>
      <c r="AE23" s="2">
        <f>($D10-$C10)*('Extrapolation average con.'!AE$15-$C$2)/($D$2-$C$2)+$L23</f>
        <v>3.3666666666666664E-2</v>
      </c>
      <c r="AF23" s="2">
        <f>($D10-$C10)*('Extrapolation average con.'!AF$15-$C$2)/($D$2-$C$2)+$L23</f>
        <v>3.4666666666666665E-2</v>
      </c>
      <c r="AG23" s="5">
        <f>($E10-$D10)*('Extrapolation average con.'!AG$15-$D$2)/($E$2-$D$2)+$AF23</f>
        <v>3.5466666666666667E-2</v>
      </c>
      <c r="AH23" s="5">
        <f>($E10-$D10)*('Extrapolation average con.'!AH$15-$D$2)/($E$2-$D$2)+$AF23</f>
        <v>3.4666666666666665E-2</v>
      </c>
      <c r="AI23" s="5">
        <f>($E10-$D10)*('Extrapolation average con.'!AI$15-$D$2)/($E$2-$D$2)+$AF23</f>
        <v>3.3866666666666663E-2</v>
      </c>
      <c r="AJ23" s="5">
        <f>($E10-$D10)*('Extrapolation average con.'!AJ$15-$D$2)/($E$2-$D$2)+$AF23</f>
        <v>3.3066666666666668E-2</v>
      </c>
      <c r="AK23" s="5">
        <f>($E10-$D10)*('Extrapolation average con.'!AK$15-$D$2)/($E$2-$D$2)+$AF23</f>
        <v>3.2266666666666666E-2</v>
      </c>
      <c r="AL23" s="5">
        <f>($E10-$D10)*('Extrapolation average con.'!AL$15-$D$2)/($E$2-$D$2)+$AF23</f>
        <v>3.1466666666666664E-2</v>
      </c>
      <c r="AM23" s="5">
        <f>($E10-$D10)*('Extrapolation average con.'!AM$15-$D$2)/($E$2-$D$2)+$AF23</f>
        <v>3.0666666666666665E-2</v>
      </c>
      <c r="AN23" s="5">
        <f>($E10-$D10)*('Extrapolation average con.'!AN$15-$D$2)/($E$2-$D$2)+$AF23</f>
        <v>2.9866666666666666E-2</v>
      </c>
      <c r="AO23" s="5">
        <f>($E10-$D10)*('Extrapolation average con.'!AO$15-$D$2)/($E$2-$D$2)+$AF23</f>
        <v>2.9066666666666664E-2</v>
      </c>
      <c r="AP23" s="5">
        <f>($E10-$D10)*('Extrapolation average con.'!AP$15-$D$2)/($E$2-$D$2)+$AF23</f>
        <v>2.8266666666666666E-2</v>
      </c>
      <c r="AQ23" s="5">
        <f>($E10-$D10)*('Extrapolation average con.'!AQ$15-$D$2)/($E$2-$D$2)+$AF23</f>
        <v>2.7466666666666667E-2</v>
      </c>
      <c r="AR23" s="5">
        <f>($E10-$D10)*('Extrapolation average con.'!AR$15-$D$2)/($E$2-$D$2)+$AF23</f>
        <v>2.6666666666666665E-2</v>
      </c>
      <c r="AS23" s="5">
        <f>($E10-$D10)*('Extrapolation average con.'!AS$15-$D$2)/($E$2-$D$2)+$AF23</f>
        <v>2.5866666666666663E-2</v>
      </c>
      <c r="AT23" s="5">
        <f>($E10-$D10)*('Extrapolation average con.'!AT$15-$D$2)/($E$2-$D$2)+$AF23</f>
        <v>2.5066666666666668E-2</v>
      </c>
      <c r="AU23" s="5">
        <f>($E10-$D10)*('Extrapolation average con.'!AU$15-$D$2)/($E$2-$D$2)+$AF23</f>
        <v>2.4266666666666666E-2</v>
      </c>
      <c r="AV23" s="5">
        <f>($E10-$D10)*('Extrapolation average con.'!AV$15-$D$2)/($E$2-$D$2)+$AF23</f>
        <v>2.3466666666666663E-2</v>
      </c>
      <c r="AW23" s="5">
        <f>($E10-$D10)*('Extrapolation average con.'!AW$15-$D$2)/($E$2-$D$2)+$AF23</f>
        <v>2.2666666666666665E-2</v>
      </c>
      <c r="AX23" s="5">
        <f>($E10-$D10)*('Extrapolation average con.'!AX$15-$D$2)/($E$2-$D$2)+$AF23</f>
        <v>2.1866666666666666E-2</v>
      </c>
      <c r="AY23" s="5">
        <f>($E10-$D10)*('Extrapolation average con.'!AY$15-$D$2)/($E$2-$D$2)+$AF23</f>
        <v>2.1066666666666664E-2</v>
      </c>
      <c r="AZ23" s="5">
        <f>($E10-$D10)*('Extrapolation average con.'!AZ$15-$D$2)/($E$2-$D$2)+$AF23</f>
        <v>2.0266666666666665E-2</v>
      </c>
      <c r="BA23" s="5">
        <f>($E10-$D10)*('Extrapolation average con.'!BA$15-$D$2)/($E$2-$D$2)+$AF23</f>
        <v>1.9466666666666667E-2</v>
      </c>
      <c r="BB23" s="5">
        <f>($E10-$D10)*('Extrapolation average con.'!BB$15-$D$2)/($E$2-$D$2)+$AF23</f>
        <v>1.8666666666666665E-2</v>
      </c>
      <c r="BC23" s="5">
        <f>($E10-$D10)*('Extrapolation average con.'!BC$15-$D$2)/($E$2-$D$2)+$AF23</f>
        <v>1.7866666666666666E-2</v>
      </c>
      <c r="BD23" s="5">
        <f>($E10-$D10)*('Extrapolation average con.'!BD$15-$D$2)/($E$2-$D$2)+$AF23</f>
        <v>1.7066666666666664E-2</v>
      </c>
      <c r="BE23" s="5">
        <f>($E10-$D10)*('Extrapolation average con.'!BE$15-$D$2)/($E$2-$D$2)+$AF23</f>
        <v>1.6266666666666665E-2</v>
      </c>
      <c r="BF23" s="5">
        <f>($E10-$D10)*('Extrapolation average con.'!BF$15-$D$2)/($E$2-$D$2)+$AF23</f>
        <v>1.5466666666666667E-2</v>
      </c>
      <c r="BG23" s="5">
        <f>($E10-$D10)*('Extrapolation average con.'!BG$15-$D$2)/($E$2-$D$2)+$AF23</f>
        <v>1.4666666666666665E-2</v>
      </c>
      <c r="BH23" s="5">
        <f>($E10-$D10)*('Extrapolation average con.'!BH$15-$D$2)/($E$2-$D$2)+$AF23</f>
        <v>1.3866666666666666E-2</v>
      </c>
      <c r="BI23" s="5">
        <f>($E10-$D10)*('Extrapolation average con.'!BI$15-$D$2)/($E$2-$D$2)+$AF23</f>
        <v>1.3066666666666664E-2</v>
      </c>
      <c r="BJ23" s="5">
        <f>($E10-$D10)*('Extrapolation average con.'!BJ$15-$D$2)/($E$2-$D$2)+$AF23</f>
        <v>1.2266666666666662E-2</v>
      </c>
      <c r="BK23" s="5">
        <f>($E10-$D10)*('Extrapolation average con.'!BK$15-$D$2)/($E$2-$D$2)+$AF23</f>
        <v>1.1466666666666667E-2</v>
      </c>
      <c r="BL23" s="5">
        <f>($E10-$D10)*('Extrapolation average con.'!BL$15-$D$2)/($E$2-$D$2)+$AF23</f>
        <v>1.0666666666666665E-2</v>
      </c>
      <c r="BM23" s="5">
        <f>($E10-$D10)*('Extrapolation average con.'!BM$15-$D$2)/($E$2-$D$2)+$AF23</f>
        <v>9.8666666666666659E-3</v>
      </c>
      <c r="BN23" s="5">
        <f>($E10-$D10)*('Extrapolation average con.'!BN$15-$D$2)/($E$2-$D$2)+$AF23</f>
        <v>9.0666666666666638E-3</v>
      </c>
      <c r="BO23" s="5">
        <f>($E10-$D10)*('Extrapolation average con.'!BO$15-$D$2)/($E$2-$D$2)+$AF23</f>
        <v>8.2666666666666652E-3</v>
      </c>
      <c r="BP23" s="5">
        <f>($E10-$D10)*('Extrapolation average con.'!BP$15-$D$2)/($E$2-$D$2)+$AF23</f>
        <v>7.4666666666666631E-3</v>
      </c>
      <c r="BQ23" s="5">
        <f>($E10-$D10)*('Extrapolation average con.'!BQ$15-$D$2)/($E$2-$D$2)+$AF23</f>
        <v>6.666666666666661E-3</v>
      </c>
      <c r="BR23" s="5">
        <f>($E10-$D10)*('Extrapolation average con.'!BR$15-$D$2)/($E$2-$D$2)+$AF23</f>
        <v>5.8666666666666659E-3</v>
      </c>
      <c r="BS23" s="5">
        <f>($E10-$D10)*('Extrapolation average con.'!BS$15-$D$2)/($E$2-$D$2)+$AF23</f>
        <v>5.0666666666666638E-3</v>
      </c>
      <c r="BT23" s="5">
        <f>($E10-$D10)*('Extrapolation average con.'!BT$15-$D$2)/($E$2-$D$2)+$AF23</f>
        <v>4.2666666666666651E-3</v>
      </c>
      <c r="BU23" s="5">
        <f>($E10-$D10)*('Extrapolation average con.'!BU$15-$D$2)/($E$2-$D$2)+$AF23</f>
        <v>3.466666666666663E-3</v>
      </c>
      <c r="BV23" s="5">
        <f>($E10-$D10)*('Extrapolation average con.'!BV$15-$D$2)/($E$2-$D$2)+$AF23</f>
        <v>2.6666666666666644E-3</v>
      </c>
      <c r="BW23" s="5">
        <f>($E10-$D10)*('Extrapolation average con.'!BW$15-$D$2)/($E$2-$D$2)+$AF23</f>
        <v>1.8666666666666623E-3</v>
      </c>
      <c r="BX23" s="5">
        <f>($E10-$D10)*('Extrapolation average con.'!BX$15-$D$2)/($E$2-$D$2)+$AF23</f>
        <v>1.0666666666666672E-3</v>
      </c>
      <c r="BY23" s="5">
        <f>($E10-$D10)*('Extrapolation average con.'!BY$15-$D$2)/($E$2-$D$2)+$AF23</f>
        <v>2.6666666666666505E-4</v>
      </c>
      <c r="BZ23" s="5">
        <f>($E10-$D10)*('Extrapolation average con.'!BZ$15-$D$2)/($E$2-$D$2)+$AF23</f>
        <v>-5.3333333333333705E-4</v>
      </c>
      <c r="CA23" s="5">
        <f>($E10-$D10)*('Extrapolation average con.'!CA$15-$D$2)/($E$2-$D$2)+$AF23</f>
        <v>-1.3333333333333391E-3</v>
      </c>
      <c r="CB23" s="5">
        <f>($E10-$D10)*('Extrapolation average con.'!CB$15-$D$2)/($E$2-$D$2)+$AF23</f>
        <v>-2.1333333333333343E-3</v>
      </c>
      <c r="CC23" s="5">
        <f>($E10-$D10)*('Extrapolation average con.'!CC$15-$D$2)/($E$2-$D$2)+$AF23</f>
        <v>-2.9333333333333364E-3</v>
      </c>
      <c r="CD23" s="5">
        <f>($E10-$D10)*('Extrapolation average con.'!CD$15-$D$2)/($E$2-$D$2)+$AF23</f>
        <v>-3.7333333333333316E-3</v>
      </c>
    </row>
    <row r="24" spans="1:82">
      <c r="A24" s="366"/>
      <c r="B24" s="22" t="s">
        <v>191</v>
      </c>
      <c r="C24" s="2">
        <f>$C11*('Extrapolation average con.'!C$15-Parameters_Results!$D$10)/($C$2-Parameters_Results!$D$10)</f>
        <v>5.0000000000000001E-3</v>
      </c>
      <c r="D24" s="2">
        <f>$C11*('Extrapolation average con.'!D$15-Parameters_Results!$D$10)/($C$2-Parameters_Results!$D$10)</f>
        <v>0.01</v>
      </c>
      <c r="E24" s="2">
        <f>$C11*('Extrapolation average con.'!E$15-Parameters_Results!$D$10)/($C$2-Parameters_Results!$D$10)</f>
        <v>1.4999999999999999E-2</v>
      </c>
      <c r="F24" s="2">
        <f>$C11*('Extrapolation average con.'!F$15-Parameters_Results!$D$10)/($C$2-Parameters_Results!$D$10)</f>
        <v>0.02</v>
      </c>
      <c r="G24" s="2">
        <f>$C11*('Extrapolation average con.'!G$15-Parameters_Results!$D$10)/($C$2-Parameters_Results!$D$10)</f>
        <v>2.4999999999999998E-2</v>
      </c>
      <c r="H24" s="2">
        <f>$C11*('Extrapolation average con.'!H$15-Parameters_Results!$D$10)/($C$2-Parameters_Results!$D$10)</f>
        <v>0.03</v>
      </c>
      <c r="I24" s="2">
        <f>$C11*('Extrapolation average con.'!I$15-Parameters_Results!$D$10)/($C$2-Parameters_Results!$D$10)</f>
        <v>3.4999999999999996E-2</v>
      </c>
      <c r="J24" s="2">
        <f>$C11*('Extrapolation average con.'!J$15-Parameters_Results!$D$10)/($C$2-Parameters_Results!$D$10)</f>
        <v>0.04</v>
      </c>
      <c r="K24" s="2">
        <f>$C11*('Extrapolation average con.'!K$15-Parameters_Results!$D$10)/($C$2-Parameters_Results!$D$10)</f>
        <v>4.5000000000000005E-2</v>
      </c>
      <c r="L24" s="7">
        <f>$C11*('Extrapolation average con.'!L$15-Parameters_Results!$D$10)/($C$2-Parameters_Results!$D$10)</f>
        <v>4.9999999999999996E-2</v>
      </c>
      <c r="M24" s="2">
        <f>($D11-$C11)*('Extrapolation average con.'!M$15-$C$2)/($D$2-$C$2)+$L24</f>
        <v>4.7999999999999994E-2</v>
      </c>
      <c r="N24" s="2">
        <f>($D11-$C11)*('Extrapolation average con.'!N$15-$C$2)/($D$2-$C$2)+$L24</f>
        <v>4.9999999999999996E-2</v>
      </c>
      <c r="O24" s="2">
        <f>($D11-$C11)*('Extrapolation average con.'!O$15-$C$2)/($D$2-$C$2)+$L24</f>
        <v>5.1999999999999998E-2</v>
      </c>
      <c r="P24" s="2">
        <f>($D11-$C11)*('Extrapolation average con.'!P$15-$C$2)/($D$2-$C$2)+$L24</f>
        <v>5.3999999999999999E-2</v>
      </c>
      <c r="Q24" s="2">
        <f>($D11-$C11)*('Extrapolation average con.'!Q$15-$C$2)/($D$2-$C$2)+$L24</f>
        <v>5.5999999999999994E-2</v>
      </c>
      <c r="R24" s="2">
        <f>($D11-$C11)*('Extrapolation average con.'!R$15-$C$2)/($D$2-$C$2)+$L24</f>
        <v>5.7999999999999996E-2</v>
      </c>
      <c r="S24" s="2">
        <f>($D11-$C11)*('Extrapolation average con.'!S$15-$C$2)/($D$2-$C$2)+$L24</f>
        <v>0.06</v>
      </c>
      <c r="T24" s="2">
        <f>($D11-$C11)*('Extrapolation average con.'!T$15-$C$2)/($D$2-$C$2)+$L24</f>
        <v>6.2E-2</v>
      </c>
      <c r="U24" s="2">
        <f>($D11-$C11)*('Extrapolation average con.'!U$15-$C$2)/($D$2-$C$2)+$L24</f>
        <v>6.4000000000000001E-2</v>
      </c>
      <c r="V24" s="2">
        <f>($D11-$C11)*('Extrapolation average con.'!V$15-$C$2)/($D$2-$C$2)+$L24</f>
        <v>6.6000000000000003E-2</v>
      </c>
      <c r="W24" s="2">
        <f>($D11-$C11)*('Extrapolation average con.'!W$15-$C$2)/($D$2-$C$2)+$L24</f>
        <v>6.8000000000000005E-2</v>
      </c>
      <c r="X24" s="2">
        <f>($D11-$C11)*('Extrapolation average con.'!X$15-$C$2)/($D$2-$C$2)+$L24</f>
        <v>7.0000000000000007E-2</v>
      </c>
      <c r="Y24" s="2">
        <f>($D11-$C11)*('Extrapolation average con.'!Y$15-$C$2)/($D$2-$C$2)+$L24</f>
        <v>7.1999999999999995E-2</v>
      </c>
      <c r="Z24" s="2">
        <f>($D11-$C11)*('Extrapolation average con.'!Z$15-$C$2)/($D$2-$C$2)+$L24</f>
        <v>7.3999999999999996E-2</v>
      </c>
      <c r="AA24" s="2">
        <f>($D11-$C11)*('Extrapolation average con.'!AA$15-$C$2)/($D$2-$C$2)+$L24</f>
        <v>7.5999999999999998E-2</v>
      </c>
      <c r="AB24" s="2">
        <f>($D11-$C11)*('Extrapolation average con.'!AB$15-$C$2)/($D$2-$C$2)+$L24</f>
        <v>7.8E-2</v>
      </c>
      <c r="AC24" s="2">
        <f>($D11-$C11)*('Extrapolation average con.'!AC$15-$C$2)/($D$2-$C$2)+$L24</f>
        <v>0.08</v>
      </c>
      <c r="AD24" s="2">
        <f>($D11-$C11)*('Extrapolation average con.'!AD$15-$C$2)/($D$2-$C$2)+$L24</f>
        <v>8.2000000000000003E-2</v>
      </c>
      <c r="AE24" s="2">
        <f>($D11-$C11)*('Extrapolation average con.'!AE$15-$C$2)/($D$2-$C$2)+$L24</f>
        <v>8.4000000000000005E-2</v>
      </c>
      <c r="AF24" s="2">
        <f>($D11-$C11)*('Extrapolation average con.'!AF$15-$C$2)/($D$2-$C$2)+$L24</f>
        <v>8.6000000000000007E-2</v>
      </c>
      <c r="AG24" s="5">
        <f>($E11-$D11)*('Extrapolation average con.'!AG$15-$D$2)/($E$2-$D$2)+$AF24</f>
        <v>8.8000000000000009E-2</v>
      </c>
      <c r="AH24" s="5">
        <f>($E11-$D11)*('Extrapolation average con.'!AH$15-$D$2)/($E$2-$D$2)+$AF24</f>
        <v>8.6000000000000007E-2</v>
      </c>
      <c r="AI24" s="5">
        <f>($E11-$D11)*('Extrapolation average con.'!AI$15-$D$2)/($E$2-$D$2)+$AF24</f>
        <v>8.4000000000000005E-2</v>
      </c>
      <c r="AJ24" s="5">
        <f>($E11-$D11)*('Extrapolation average con.'!AJ$15-$D$2)/($E$2-$D$2)+$AF24</f>
        <v>8.2000000000000003E-2</v>
      </c>
      <c r="AK24" s="5">
        <f>($E11-$D11)*('Extrapolation average con.'!AK$15-$D$2)/($E$2-$D$2)+$AF24</f>
        <v>0.08</v>
      </c>
      <c r="AL24" s="5">
        <f>($E11-$D11)*('Extrapolation average con.'!AL$15-$D$2)/($E$2-$D$2)+$AF24</f>
        <v>7.8000000000000014E-2</v>
      </c>
      <c r="AM24" s="5">
        <f>($E11-$D11)*('Extrapolation average con.'!AM$15-$D$2)/($E$2-$D$2)+$AF24</f>
        <v>7.6000000000000012E-2</v>
      </c>
      <c r="AN24" s="5">
        <f>($E11-$D11)*('Extrapolation average con.'!AN$15-$D$2)/($E$2-$D$2)+$AF24</f>
        <v>7.400000000000001E-2</v>
      </c>
      <c r="AO24" s="5">
        <f>($E11-$D11)*('Extrapolation average con.'!AO$15-$D$2)/($E$2-$D$2)+$AF24</f>
        <v>7.2000000000000008E-2</v>
      </c>
      <c r="AP24" s="5">
        <f>($E11-$D11)*('Extrapolation average con.'!AP$15-$D$2)/($E$2-$D$2)+$AF24</f>
        <v>7.0000000000000007E-2</v>
      </c>
      <c r="AQ24" s="5">
        <f>($E11-$D11)*('Extrapolation average con.'!AQ$15-$D$2)/($E$2-$D$2)+$AF24</f>
        <v>6.8000000000000005E-2</v>
      </c>
      <c r="AR24" s="5">
        <f>($E11-$D11)*('Extrapolation average con.'!AR$15-$D$2)/($E$2-$D$2)+$AF24</f>
        <v>6.6000000000000003E-2</v>
      </c>
      <c r="AS24" s="5">
        <f>($E11-$D11)*('Extrapolation average con.'!AS$15-$D$2)/($E$2-$D$2)+$AF24</f>
        <v>6.4000000000000001E-2</v>
      </c>
      <c r="AT24" s="5">
        <f>($E11-$D11)*('Extrapolation average con.'!AT$15-$D$2)/($E$2-$D$2)+$AF24</f>
        <v>6.2E-2</v>
      </c>
      <c r="AU24" s="5">
        <f>($E11-$D11)*('Extrapolation average con.'!AU$15-$D$2)/($E$2-$D$2)+$AF24</f>
        <v>6.0000000000000005E-2</v>
      </c>
      <c r="AV24" s="5">
        <f>($E11-$D11)*('Extrapolation average con.'!AV$15-$D$2)/($E$2-$D$2)+$AF24</f>
        <v>5.8000000000000003E-2</v>
      </c>
      <c r="AW24" s="5">
        <f>($E11-$D11)*('Extrapolation average con.'!AW$15-$D$2)/($E$2-$D$2)+$AF24</f>
        <v>5.6000000000000008E-2</v>
      </c>
      <c r="AX24" s="5">
        <f>($E11-$D11)*('Extrapolation average con.'!AX$15-$D$2)/($E$2-$D$2)+$AF24</f>
        <v>5.4000000000000006E-2</v>
      </c>
      <c r="AY24" s="5">
        <f>($E11-$D11)*('Extrapolation average con.'!AY$15-$D$2)/($E$2-$D$2)+$AF24</f>
        <v>5.2000000000000005E-2</v>
      </c>
      <c r="AZ24" s="5">
        <f>($E11-$D11)*('Extrapolation average con.'!AZ$15-$D$2)/($E$2-$D$2)+$AF24</f>
        <v>0.05</v>
      </c>
      <c r="BA24" s="5">
        <f>($E11-$D11)*('Extrapolation average con.'!BA$15-$D$2)/($E$2-$D$2)+$AF24</f>
        <v>4.8000000000000001E-2</v>
      </c>
      <c r="BB24" s="5">
        <f>($E11-$D11)*('Extrapolation average con.'!BB$15-$D$2)/($E$2-$D$2)+$AF24</f>
        <v>4.6000000000000006E-2</v>
      </c>
      <c r="BC24" s="5">
        <f>($E11-$D11)*('Extrapolation average con.'!BC$15-$D$2)/($E$2-$D$2)+$AF24</f>
        <v>4.4000000000000004E-2</v>
      </c>
      <c r="BD24" s="5">
        <f>($E11-$D11)*('Extrapolation average con.'!BD$15-$D$2)/($E$2-$D$2)+$AF24</f>
        <v>4.2000000000000003E-2</v>
      </c>
      <c r="BE24" s="5">
        <f>($E11-$D11)*('Extrapolation average con.'!BE$15-$D$2)/($E$2-$D$2)+$AF24</f>
        <v>0.04</v>
      </c>
      <c r="BF24" s="5">
        <f>($E11-$D11)*('Extrapolation average con.'!BF$15-$D$2)/($E$2-$D$2)+$AF24</f>
        <v>3.7999999999999999E-2</v>
      </c>
      <c r="BG24" s="5">
        <f>($E11-$D11)*('Extrapolation average con.'!BG$15-$D$2)/($E$2-$D$2)+$AF24</f>
        <v>3.6000000000000004E-2</v>
      </c>
      <c r="BH24" s="5">
        <f>($E11-$D11)*('Extrapolation average con.'!BH$15-$D$2)/($E$2-$D$2)+$AF24</f>
        <v>3.4000000000000002E-2</v>
      </c>
      <c r="BI24" s="5">
        <f>($E11-$D11)*('Extrapolation average con.'!BI$15-$D$2)/($E$2-$D$2)+$AF24</f>
        <v>3.2000000000000001E-2</v>
      </c>
      <c r="BJ24" s="5">
        <f>($E11-$D11)*('Extrapolation average con.'!BJ$15-$D$2)/($E$2-$D$2)+$AF24</f>
        <v>0.03</v>
      </c>
      <c r="BK24" s="5">
        <f>($E11-$D11)*('Extrapolation average con.'!BK$15-$D$2)/($E$2-$D$2)+$AF24</f>
        <v>2.7999999999999997E-2</v>
      </c>
      <c r="BL24" s="5">
        <f>($E11-$D11)*('Extrapolation average con.'!BL$15-$D$2)/($E$2-$D$2)+$AF24</f>
        <v>2.6000000000000009E-2</v>
      </c>
      <c r="BM24" s="5">
        <f>($E11-$D11)*('Extrapolation average con.'!BM$15-$D$2)/($E$2-$D$2)+$AF24</f>
        <v>2.4000000000000007E-2</v>
      </c>
      <c r="BN24" s="5">
        <f>($E11-$D11)*('Extrapolation average con.'!BN$15-$D$2)/($E$2-$D$2)+$AF24</f>
        <v>2.2000000000000006E-2</v>
      </c>
      <c r="BO24" s="5">
        <f>($E11-$D11)*('Extrapolation average con.'!BO$15-$D$2)/($E$2-$D$2)+$AF24</f>
        <v>2.0000000000000004E-2</v>
      </c>
      <c r="BP24" s="5">
        <f>($E11-$D11)*('Extrapolation average con.'!BP$15-$D$2)/($E$2-$D$2)+$AF24</f>
        <v>1.8000000000000002E-2</v>
      </c>
      <c r="BQ24" s="5">
        <f>($E11-$D11)*('Extrapolation average con.'!BQ$15-$D$2)/($E$2-$D$2)+$AF24</f>
        <v>1.6E-2</v>
      </c>
      <c r="BR24" s="5">
        <f>($E11-$D11)*('Extrapolation average con.'!BR$15-$D$2)/($E$2-$D$2)+$AF24</f>
        <v>1.3999999999999999E-2</v>
      </c>
      <c r="BS24" s="5">
        <f>($E11-$D11)*('Extrapolation average con.'!BS$15-$D$2)/($E$2-$D$2)+$AF24</f>
        <v>1.1999999999999997E-2</v>
      </c>
      <c r="BT24" s="5">
        <f>($E11-$D11)*('Extrapolation average con.'!BT$15-$D$2)/($E$2-$D$2)+$AF24</f>
        <v>9.999999999999995E-3</v>
      </c>
      <c r="BU24" s="5">
        <f>($E11-$D11)*('Extrapolation average con.'!BU$15-$D$2)/($E$2-$D$2)+$AF24</f>
        <v>7.9999999999999932E-3</v>
      </c>
      <c r="BV24" s="5">
        <f>($E11-$D11)*('Extrapolation average con.'!BV$15-$D$2)/($E$2-$D$2)+$AF24</f>
        <v>6.0000000000000053E-3</v>
      </c>
      <c r="BW24" s="5">
        <f>($E11-$D11)*('Extrapolation average con.'!BW$15-$D$2)/($E$2-$D$2)+$AF24</f>
        <v>3.9999999999999897E-3</v>
      </c>
      <c r="BX24" s="5">
        <f>($E11-$D11)*('Extrapolation average con.'!BX$15-$D$2)/($E$2-$D$2)+$AF24</f>
        <v>2.0000000000000018E-3</v>
      </c>
      <c r="BY24" s="5">
        <f>($E11-$D11)*('Extrapolation average con.'!BY$15-$D$2)/($E$2-$D$2)+$AF24</f>
        <v>0</v>
      </c>
      <c r="BZ24" s="5">
        <f>($E11-$D11)*('Extrapolation average con.'!BZ$15-$D$2)/($E$2-$D$2)+$AF24</f>
        <v>-2.0000000000000018E-3</v>
      </c>
      <c r="CA24" s="5">
        <f>($E11-$D11)*('Extrapolation average con.'!CA$15-$D$2)/($E$2-$D$2)+$AF24</f>
        <v>-3.9999999999999897E-3</v>
      </c>
      <c r="CB24" s="5">
        <f>($E11-$D11)*('Extrapolation average con.'!CB$15-$D$2)/($E$2-$D$2)+$AF24</f>
        <v>-6.0000000000000053E-3</v>
      </c>
      <c r="CC24" s="5">
        <f>($E11-$D11)*('Extrapolation average con.'!CC$15-$D$2)/($E$2-$D$2)+$AF24</f>
        <v>-7.9999999999999932E-3</v>
      </c>
      <c r="CD24" s="5">
        <f>($E11-$D11)*('Extrapolation average con.'!CD$15-$D$2)/($E$2-$D$2)+$AF24</f>
        <v>-1.0000000000000009E-2</v>
      </c>
    </row>
    <row r="25" spans="1:82">
      <c r="A25" s="366"/>
      <c r="C25" s="2"/>
      <c r="D25" s="2"/>
      <c r="E25" s="2"/>
      <c r="F25" s="2"/>
      <c r="G25" s="2"/>
      <c r="H25" s="2"/>
      <c r="I25" s="2"/>
      <c r="J25" s="2"/>
      <c r="K25" s="2"/>
      <c r="L25" s="7"/>
      <c r="M25" s="2"/>
      <c r="N25" s="2"/>
      <c r="O25" s="2"/>
      <c r="P25" s="2"/>
      <c r="Q25" s="2"/>
      <c r="R25" s="2"/>
      <c r="S25" s="2"/>
      <c r="T25" s="2"/>
      <c r="U25" s="2"/>
      <c r="V25" s="2"/>
      <c r="W25" s="2"/>
      <c r="X25" s="2"/>
      <c r="Y25" s="2"/>
      <c r="Z25" s="2"/>
      <c r="AA25" s="2"/>
      <c r="AB25" s="2"/>
      <c r="AC25" s="2"/>
      <c r="AD25" s="2"/>
      <c r="AE25" s="2"/>
      <c r="AF25" s="7"/>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8"/>
    </row>
    <row r="26" spans="1:82">
      <c r="A26" s="366"/>
      <c r="C26" s="2"/>
      <c r="D26" s="2"/>
      <c r="E26" s="2"/>
      <c r="F26" s="2"/>
      <c r="G26" s="2"/>
      <c r="H26" s="2"/>
      <c r="I26" s="2"/>
      <c r="J26" s="2"/>
      <c r="K26" s="2"/>
      <c r="L26" s="7"/>
      <c r="M26" s="2"/>
      <c r="N26" s="2"/>
      <c r="O26" s="2"/>
      <c r="P26" s="2"/>
      <c r="Q26" s="2"/>
      <c r="R26" s="2"/>
      <c r="S26" s="2"/>
      <c r="T26" s="2"/>
      <c r="U26" s="2"/>
      <c r="V26" s="2"/>
      <c r="W26" s="2"/>
      <c r="X26" s="2"/>
      <c r="Y26" s="2"/>
      <c r="Z26" s="2"/>
      <c r="AA26" s="2"/>
      <c r="AB26" s="2"/>
      <c r="AC26" s="2"/>
      <c r="AD26" s="2"/>
      <c r="AE26" s="2"/>
      <c r="AF26" s="7"/>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8"/>
    </row>
    <row r="27" spans="1:82">
      <c r="A27" s="366"/>
      <c r="C27" s="2"/>
      <c r="D27" s="2"/>
      <c r="E27" s="2"/>
      <c r="F27" s="2"/>
      <c r="G27" s="2"/>
      <c r="H27" s="2"/>
      <c r="I27" s="2"/>
      <c r="J27" s="2"/>
      <c r="K27" s="2"/>
      <c r="L27" s="7"/>
      <c r="M27" s="2"/>
      <c r="N27" s="2"/>
      <c r="O27" s="2"/>
      <c r="P27" s="2"/>
      <c r="Q27" s="2"/>
      <c r="R27" s="2"/>
      <c r="S27" s="2"/>
      <c r="T27" s="2"/>
      <c r="U27" s="2"/>
      <c r="V27" s="2"/>
      <c r="W27" s="2"/>
      <c r="X27" s="2"/>
      <c r="Y27" s="2"/>
      <c r="Z27" s="2"/>
      <c r="AA27" s="2"/>
      <c r="AB27" s="2"/>
      <c r="AC27" s="2"/>
      <c r="AD27" s="2"/>
      <c r="AE27" s="2"/>
      <c r="AF27" s="7"/>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8"/>
    </row>
  </sheetData>
  <mergeCells count="7">
    <mergeCell ref="A25:A27"/>
    <mergeCell ref="A3:A5"/>
    <mergeCell ref="A6:A8"/>
    <mergeCell ref="A9:A11"/>
    <mergeCell ref="A16:A18"/>
    <mergeCell ref="A19:A21"/>
    <mergeCell ref="A22:A24"/>
  </mergeCell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5" tint="0.59999389629810485"/>
  </sheetPr>
  <dimension ref="A2:AD54"/>
  <sheetViews>
    <sheetView topLeftCell="A29" zoomScaleNormal="80" zoomScalePageLayoutView="80" workbookViewId="0">
      <selection activeCell="C44" sqref="C44"/>
    </sheetView>
  </sheetViews>
  <sheetFormatPr defaultColWidth="8.81640625" defaultRowHeight="14.5"/>
  <cols>
    <col min="1" max="1" width="85.08984375" bestFit="1" customWidth="1"/>
    <col min="2" max="2" width="27.6328125" customWidth="1"/>
  </cols>
  <sheetData>
    <row r="2" spans="1:30" ht="23.5">
      <c r="A2" s="85" t="s">
        <v>111</v>
      </c>
    </row>
    <row r="3" spans="1:30">
      <c r="A3" s="62"/>
    </row>
    <row r="5" spans="1:30" ht="15" thickBot="1"/>
    <row r="6" spans="1:30" s="12" customFormat="1">
      <c r="A6" s="122" t="s">
        <v>110</v>
      </c>
      <c r="B6" s="147"/>
      <c r="C6" s="147"/>
      <c r="D6" s="147"/>
      <c r="E6" s="147"/>
      <c r="F6" s="147"/>
      <c r="G6" s="147"/>
      <c r="H6" s="147"/>
      <c r="I6" s="147"/>
      <c r="J6" s="147"/>
      <c r="K6" s="147"/>
      <c r="L6" s="147"/>
      <c r="M6" s="147"/>
      <c r="N6" s="147"/>
      <c r="O6" s="147"/>
      <c r="P6" s="147"/>
      <c r="Q6" s="147"/>
      <c r="R6" s="147"/>
      <c r="S6" s="147"/>
      <c r="T6" s="147"/>
      <c r="U6" s="147"/>
      <c r="V6" s="147"/>
      <c r="W6" s="147"/>
      <c r="X6" s="147"/>
      <c r="Y6" s="147"/>
      <c r="Z6" s="147"/>
      <c r="AA6" s="147"/>
    </row>
    <row r="7" spans="1:30">
      <c r="A7" s="21"/>
      <c r="B7" s="22"/>
      <c r="C7" s="22"/>
      <c r="D7" s="22"/>
      <c r="E7" s="22"/>
      <c r="F7" s="22"/>
      <c r="G7" s="22"/>
      <c r="H7" s="22"/>
      <c r="I7" s="22"/>
      <c r="J7" s="22"/>
      <c r="K7" s="22"/>
      <c r="L7" s="22"/>
      <c r="M7" s="22"/>
      <c r="N7" s="22"/>
      <c r="O7" s="22"/>
      <c r="P7" s="22"/>
      <c r="Q7" s="22"/>
      <c r="R7" s="22"/>
      <c r="S7" s="22"/>
      <c r="T7" s="22"/>
      <c r="U7" s="22"/>
      <c r="V7" s="22"/>
      <c r="W7" s="22"/>
      <c r="X7" s="22"/>
      <c r="Y7" s="22"/>
      <c r="Z7" s="22"/>
      <c r="AA7" s="22"/>
    </row>
    <row r="8" spans="1:30">
      <c r="A8" s="21" t="s">
        <v>3</v>
      </c>
      <c r="B8" s="22"/>
      <c r="C8" s="22">
        <f>Parameters_Results!$D$10+COLUMN()-2</f>
        <v>2019</v>
      </c>
      <c r="D8" s="22">
        <f>Parameters_Results!$D$10+COLUMN()-2</f>
        <v>2020</v>
      </c>
      <c r="E8" s="22">
        <f>Parameters_Results!$D$10+COLUMN()-2</f>
        <v>2021</v>
      </c>
      <c r="F8" s="22">
        <f>Parameters_Results!$D$10+COLUMN()-2</f>
        <v>2022</v>
      </c>
      <c r="G8" s="22">
        <f>Parameters_Results!$D$10+COLUMN()-2</f>
        <v>2023</v>
      </c>
      <c r="H8" s="22">
        <f>Parameters_Results!$D$10+COLUMN()-2</f>
        <v>2024</v>
      </c>
      <c r="I8" s="22">
        <f>Parameters_Results!$D$10+COLUMN()-2</f>
        <v>2025</v>
      </c>
      <c r="J8" s="22">
        <f>Parameters_Results!$D$10+COLUMN()-2</f>
        <v>2026</v>
      </c>
      <c r="K8" s="22">
        <f>Parameters_Results!$D$10+COLUMN()-2</f>
        <v>2027</v>
      </c>
      <c r="L8" s="22">
        <f>Parameters_Results!$D$10+COLUMN()-2</f>
        <v>2028</v>
      </c>
      <c r="M8" s="22">
        <f>Parameters_Results!$D$10+COLUMN()-2</f>
        <v>2029</v>
      </c>
      <c r="N8" s="22">
        <f>Parameters_Results!$D$10+COLUMN()-2</f>
        <v>2030</v>
      </c>
      <c r="O8" s="22">
        <f>Parameters_Results!$D$10+COLUMN()-2</f>
        <v>2031</v>
      </c>
      <c r="P8" s="22">
        <f>Parameters_Results!$D$10+COLUMN()-2</f>
        <v>2032</v>
      </c>
      <c r="Q8" s="22">
        <f>Parameters_Results!$D$10+COLUMN()-2</f>
        <v>2033</v>
      </c>
      <c r="R8" s="22">
        <f>Parameters_Results!$D$10+COLUMN()-2</f>
        <v>2034</v>
      </c>
      <c r="S8" s="22">
        <f>Parameters_Results!$D$10+COLUMN()-2</f>
        <v>2035</v>
      </c>
      <c r="T8" s="22">
        <f>Parameters_Results!$D$10+COLUMN()-2</f>
        <v>2036</v>
      </c>
      <c r="U8" s="22">
        <f>Parameters_Results!$D$10+COLUMN()-2</f>
        <v>2037</v>
      </c>
      <c r="V8" s="22">
        <f>Parameters_Results!$D$10+COLUMN()-2</f>
        <v>2038</v>
      </c>
      <c r="W8" s="22">
        <f>Parameters_Results!$D$10+COLUMN()-2</f>
        <v>2039</v>
      </c>
      <c r="X8" s="22">
        <f>Parameters_Results!$D$10+COLUMN()-2</f>
        <v>2040</v>
      </c>
      <c r="Y8" s="22">
        <f>Parameters_Results!$D$10+COLUMN()-2</f>
        <v>2041</v>
      </c>
      <c r="Z8" s="22">
        <f>Parameters_Results!$D$10+COLUMN()-2</f>
        <v>2042</v>
      </c>
      <c r="AA8" s="22">
        <f>Parameters_Results!$D$10+COLUMN()-2</f>
        <v>2043</v>
      </c>
    </row>
    <row r="9" spans="1:30">
      <c r="A9" s="319" t="s">
        <v>0</v>
      </c>
      <c r="B9" s="22" t="s">
        <v>25</v>
      </c>
      <c r="C9" s="149">
        <f>Parameters_Results!$D$27*'Baseline scenario'!D31+(1-Parameters_Results!$D$27)*'Baseline scenario'!D12</f>
        <v>0</v>
      </c>
      <c r="D9" s="149">
        <f>Parameters_Results!$D$27*'Baseline scenario'!E31+(1-Parameters_Results!$D$27)*'Baseline scenario'!E12</f>
        <v>933.08133600000008</v>
      </c>
      <c r="E9" s="149">
        <f>Parameters_Results!$D$27*'Baseline scenario'!F31+(1-Parameters_Results!$D$27)*'Baseline scenario'!F12</f>
        <v>974.26470400000005</v>
      </c>
      <c r="F9" s="149">
        <f>Parameters_Results!$D$27*'Baseline scenario'!G31+(1-Parameters_Results!$D$27)*'Baseline scenario'!G12</f>
        <v>1456.1167120000002</v>
      </c>
      <c r="G9" s="149">
        <f>Parameters_Results!$D$27*'Baseline scenario'!H31+(1-Parameters_Results!$D$27)*'Baseline scenario'!H12</f>
        <v>56.879999999999995</v>
      </c>
      <c r="H9" s="149">
        <f>Parameters_Results!$D$27*'Baseline scenario'!I31+(1-Parameters_Results!$D$27)*'Baseline scenario'!I12</f>
        <v>63.000449999999994</v>
      </c>
      <c r="I9" s="149">
        <f>Parameters_Results!$D$27*'Baseline scenario'!J31+(1-Parameters_Results!$D$27)*'Baseline scenario'!J12</f>
        <v>0</v>
      </c>
      <c r="J9" s="149">
        <f>Parameters_Results!$D$27*'Baseline scenario'!K31+(1-Parameters_Results!$D$27)*'Baseline scenario'!K12</f>
        <v>0</v>
      </c>
      <c r="K9" s="149">
        <f>Parameters_Results!$D$27*'Baseline scenario'!L31+(1-Parameters_Results!$D$27)*'Baseline scenario'!L12</f>
        <v>0</v>
      </c>
      <c r="L9" s="149">
        <f>Parameters_Results!$D$27*'Baseline scenario'!M31+(1-Parameters_Results!$D$27)*'Baseline scenario'!M12</f>
        <v>56.879999999999995</v>
      </c>
      <c r="M9" s="149">
        <f>Parameters_Results!$D$27*'Baseline scenario'!N31+(1-Parameters_Results!$D$27)*'Baseline scenario'!N12</f>
        <v>63.000449999999994</v>
      </c>
      <c r="N9" s="149">
        <f>Parameters_Results!$D$27*'Baseline scenario'!O31+(1-Parameters_Results!$D$27)*'Baseline scenario'!O12</f>
        <v>0</v>
      </c>
      <c r="O9" s="149">
        <f>Parameters_Results!$D$27*'Baseline scenario'!P31+(1-Parameters_Results!$D$27)*'Baseline scenario'!P12</f>
        <v>56.879999999999995</v>
      </c>
      <c r="P9" s="149">
        <f>Parameters_Results!$D$27*'Baseline scenario'!Q31+(1-Parameters_Results!$D$27)*'Baseline scenario'!Q12</f>
        <v>63.000449999999994</v>
      </c>
      <c r="Q9" s="149">
        <f>Parameters_Results!$D$27*'Baseline scenario'!R31+(1-Parameters_Results!$D$27)*'Baseline scenario'!R12</f>
        <v>0</v>
      </c>
      <c r="R9" s="149">
        <f>Parameters_Results!$D$27*'Baseline scenario'!S31+(1-Parameters_Results!$D$27)*'Baseline scenario'!S12</f>
        <v>56.879999999999995</v>
      </c>
      <c r="S9" s="149">
        <f>Parameters_Results!$D$27*'Baseline scenario'!T31+(1-Parameters_Results!$D$27)*'Baseline scenario'!T12</f>
        <v>63.000449999999994</v>
      </c>
      <c r="T9" s="149">
        <f>Parameters_Results!$D$27*'Baseline scenario'!U31+(1-Parameters_Results!$D$27)*'Baseline scenario'!U12</f>
        <v>933.08133600000008</v>
      </c>
      <c r="U9" s="149">
        <f>Parameters_Results!$D$27*'Baseline scenario'!V31+(1-Parameters_Results!$D$27)*'Baseline scenario'!V12</f>
        <v>0</v>
      </c>
      <c r="V9" s="149">
        <f>Parameters_Results!$D$27*'Baseline scenario'!W31+(1-Parameters_Results!$D$27)*'Baseline scenario'!W12</f>
        <v>0</v>
      </c>
      <c r="W9" s="149">
        <f>Parameters_Results!$D$27*'Baseline scenario'!X31+(1-Parameters_Results!$D$27)*'Baseline scenario'!X12</f>
        <v>0</v>
      </c>
      <c r="X9" s="149">
        <f>Parameters_Results!$D$27*'Baseline scenario'!Y31+(1-Parameters_Results!$D$27)*'Baseline scenario'!Y12</f>
        <v>56.879999999999995</v>
      </c>
      <c r="Y9" s="149">
        <f>Parameters_Results!$D$27*'Baseline scenario'!Z31+(1-Parameters_Results!$D$27)*'Baseline scenario'!Z12</f>
        <v>63.000449999999994</v>
      </c>
      <c r="Z9" s="149">
        <f>Parameters_Results!$D$27*'Baseline scenario'!AA31+(1-Parameters_Results!$D$27)*'Baseline scenario'!AA12</f>
        <v>0</v>
      </c>
      <c r="AA9" s="149">
        <f>Parameters_Results!$D$27*'Baseline scenario'!AB31+(1-Parameters_Results!$D$27)*'Baseline scenario'!AB12</f>
        <v>-748.65003200000001</v>
      </c>
    </row>
    <row r="10" spans="1:30">
      <c r="A10" s="319"/>
      <c r="B10" s="22" t="s">
        <v>190</v>
      </c>
      <c r="C10" s="149">
        <f>Parameters_Results!$D$27*'Baseline scenario'!D32+(1-Parameters_Results!$D$27)*'Baseline scenario'!D13</f>
        <v>0.14417977000000001</v>
      </c>
      <c r="D10" s="149">
        <f>Parameters_Results!$D$27*'Baseline scenario'!E32+(1-Parameters_Results!$D$27)*'Baseline scenario'!E13</f>
        <v>0</v>
      </c>
      <c r="E10" s="149">
        <f>Parameters_Results!$D$27*'Baseline scenario'!F32+(1-Parameters_Results!$D$27)*'Baseline scenario'!F13</f>
        <v>0</v>
      </c>
      <c r="F10" s="149">
        <f>Parameters_Results!$D$27*'Baseline scenario'!G32+(1-Parameters_Results!$D$27)*'Baseline scenario'!G13</f>
        <v>59.151551999999995</v>
      </c>
      <c r="G10" s="149">
        <f>Parameters_Results!$D$27*'Baseline scenario'!H32+(1-Parameters_Results!$D$27)*'Baseline scenario'!H13</f>
        <v>50.619564999999994</v>
      </c>
      <c r="H10" s="149">
        <f>Parameters_Results!$D$27*'Baseline scenario'!I32+(1-Parameters_Results!$D$27)*'Baseline scenario'!I13</f>
        <v>0</v>
      </c>
      <c r="I10" s="149">
        <f>Parameters_Results!$D$27*'Baseline scenario'!J32+(1-Parameters_Results!$D$27)*'Baseline scenario'!J13</f>
        <v>0</v>
      </c>
      <c r="J10" s="149">
        <f>Parameters_Results!$D$27*'Baseline scenario'!K32+(1-Parameters_Results!$D$27)*'Baseline scenario'!K13</f>
        <v>0</v>
      </c>
      <c r="K10" s="149">
        <f>Parameters_Results!$D$27*'Baseline scenario'!L32+(1-Parameters_Results!$D$27)*'Baseline scenario'!L13</f>
        <v>0</v>
      </c>
      <c r="L10" s="149">
        <f>Parameters_Results!$D$27*'Baseline scenario'!M32+(1-Parameters_Results!$D$27)*'Baseline scenario'!M13</f>
        <v>0.15310362</v>
      </c>
      <c r="M10" s="149">
        <f>Parameters_Results!$D$27*'Baseline scenario'!N32+(1-Parameters_Results!$D$27)*'Baseline scenario'!N13</f>
        <v>7.6551809999999998E-2</v>
      </c>
      <c r="N10" s="149">
        <f>Parameters_Results!$D$27*'Baseline scenario'!O32+(1-Parameters_Results!$D$27)*'Baseline scenario'!O13</f>
        <v>0</v>
      </c>
      <c r="O10" s="149">
        <f>Parameters_Results!$D$27*'Baseline scenario'!P32+(1-Parameters_Results!$D$27)*'Baseline scenario'!P13</f>
        <v>0</v>
      </c>
      <c r="P10" s="149">
        <f>Parameters_Results!$D$27*'Baseline scenario'!Q32+(1-Parameters_Results!$D$27)*'Baseline scenario'!Q13</f>
        <v>0</v>
      </c>
      <c r="Q10" s="149">
        <f>Parameters_Results!$D$27*'Baseline scenario'!R32+(1-Parameters_Results!$D$27)*'Baseline scenario'!R13</f>
        <v>0</v>
      </c>
      <c r="R10" s="149">
        <f>Parameters_Results!$D$27*'Baseline scenario'!S32+(1-Parameters_Results!$D$27)*'Baseline scenario'!S13</f>
        <v>3.7772799999999995E-2</v>
      </c>
      <c r="S10" s="149">
        <f>Parameters_Results!$D$27*'Baseline scenario'!T32+(1-Parameters_Results!$D$27)*'Baseline scenario'!T13</f>
        <v>1.7833889999999998E-2</v>
      </c>
      <c r="T10" s="149">
        <f>Parameters_Results!$D$27*'Baseline scenario'!U32+(1-Parameters_Results!$D$27)*'Baseline scenario'!U13</f>
        <v>0</v>
      </c>
      <c r="U10" s="149">
        <f>Parameters_Results!$D$27*'Baseline scenario'!V32+(1-Parameters_Results!$D$27)*'Baseline scenario'!V13</f>
        <v>0</v>
      </c>
      <c r="V10" s="149">
        <f>Parameters_Results!$D$27*'Baseline scenario'!W32+(1-Parameters_Results!$D$27)*'Baseline scenario'!W13</f>
        <v>0</v>
      </c>
      <c r="W10" s="149">
        <f>Parameters_Results!$D$27*'Baseline scenario'!X32+(1-Parameters_Results!$D$27)*'Baseline scenario'!X13</f>
        <v>0</v>
      </c>
      <c r="X10" s="149">
        <f>Parameters_Results!$D$27*'Baseline scenario'!Y32+(1-Parameters_Results!$D$27)*'Baseline scenario'!Y13</f>
        <v>5.590701E-2</v>
      </c>
      <c r="Y10" s="149">
        <f>Parameters_Results!$D$27*'Baseline scenario'!Z32+(1-Parameters_Results!$D$27)*'Baseline scenario'!Z13</f>
        <v>1.7833889999999998E-2</v>
      </c>
      <c r="Z10" s="149">
        <f>Parameters_Results!$D$27*'Baseline scenario'!AA32+(1-Parameters_Results!$D$27)*'Baseline scenario'!AA13</f>
        <v>0</v>
      </c>
      <c r="AA10" s="149">
        <f>Parameters_Results!$D$27*'Baseline scenario'!AB32+(1-Parameters_Results!$D$27)*'Baseline scenario'!AB13</f>
        <v>0</v>
      </c>
    </row>
    <row r="11" spans="1:30">
      <c r="A11" s="319"/>
      <c r="B11" s="22" t="s">
        <v>191</v>
      </c>
      <c r="C11" s="149">
        <f>Parameters_Results!$D$27*'Baseline scenario'!D33+(1-Parameters_Results!$D$27)*'Baseline scenario'!D14</f>
        <v>0.14417976999999998</v>
      </c>
      <c r="D11" s="149">
        <f>Parameters_Results!$D$27*'Baseline scenario'!E33+(1-Parameters_Results!$D$27)*'Baseline scenario'!E14</f>
        <v>0.89825962000000015</v>
      </c>
      <c r="E11" s="149">
        <f>Parameters_Results!$D$27*'Baseline scenario'!F33+(1-Parameters_Results!$D$27)*'Baseline scenario'!F14</f>
        <v>1.79862693</v>
      </c>
      <c r="F11" s="149">
        <f>Parameters_Results!$D$27*'Baseline scenario'!G33+(1-Parameters_Results!$D$27)*'Baseline scenario'!G14</f>
        <v>2.52030771</v>
      </c>
      <c r="G11" s="149">
        <f>Parameters_Results!$D$27*'Baseline scenario'!H33+(1-Parameters_Results!$D$27)*'Baseline scenario'!H14</f>
        <v>2.9916176800000001</v>
      </c>
      <c r="H11" s="149">
        <f>Parameters_Results!$D$27*'Baseline scenario'!I33+(1-Parameters_Results!$D$27)*'Baseline scenario'!I14</f>
        <v>3.1691729299999998</v>
      </c>
      <c r="I11" s="149">
        <f>Parameters_Results!$D$27*'Baseline scenario'!J33+(1-Parameters_Results!$D$27)*'Baseline scenario'!J14</f>
        <v>3.3006500600000002</v>
      </c>
      <c r="J11" s="149">
        <f>Parameters_Results!$D$27*'Baseline scenario'!K33+(1-Parameters_Results!$D$27)*'Baseline scenario'!K14</f>
        <v>3.43831336</v>
      </c>
      <c r="K11" s="149">
        <f>Parameters_Results!$D$27*'Baseline scenario'!L33+(1-Parameters_Results!$D$27)*'Baseline scenario'!L14</f>
        <v>3.5829906699999996</v>
      </c>
      <c r="L11" s="149">
        <f>Parameters_Results!$D$27*'Baseline scenario'!M33+(1-Parameters_Results!$D$27)*'Baseline scenario'!M14</f>
        <v>3.7350721400000002</v>
      </c>
      <c r="M11" s="149">
        <f>Parameters_Results!$D$27*'Baseline scenario'!N33+(1-Parameters_Results!$D$27)*'Baseline scenario'!N14</f>
        <v>3.8948851699999998</v>
      </c>
      <c r="N11" s="149">
        <f>Parameters_Results!$D$27*'Baseline scenario'!O33+(1-Parameters_Results!$D$27)*'Baseline scenario'!O14</f>
        <v>4.0627426699999996</v>
      </c>
      <c r="O11" s="149">
        <f>Parameters_Results!$D$27*'Baseline scenario'!P33+(1-Parameters_Results!$D$27)*'Baseline scenario'!P14</f>
        <v>4.1919373800000006</v>
      </c>
      <c r="P11" s="149">
        <f>Parameters_Results!$D$27*'Baseline scenario'!Q33+(1-Parameters_Results!$D$27)*'Baseline scenario'!Q14</f>
        <v>4.2931481500000013</v>
      </c>
      <c r="Q11" s="149">
        <f>Parameters_Results!$D$27*'Baseline scenario'!R33+(1-Parameters_Results!$D$27)*'Baseline scenario'!R14</f>
        <v>4.3975445999999998</v>
      </c>
      <c r="R11" s="149">
        <f>Parameters_Results!$D$27*'Baseline scenario'!S33+(1-Parameters_Results!$D$27)*'Baseline scenario'!S14</f>
        <v>4.5078150299999997</v>
      </c>
      <c r="S11" s="149">
        <f>Parameters_Results!$D$27*'Baseline scenario'!T33+(1-Parameters_Results!$D$27)*'Baseline scenario'!T14</f>
        <v>4.6286310000000004</v>
      </c>
      <c r="T11" s="149">
        <f>Parameters_Results!$D$27*'Baseline scenario'!U33+(1-Parameters_Results!$D$27)*'Baseline scenario'!U14</f>
        <v>4.7617586999999997</v>
      </c>
      <c r="U11" s="149">
        <f>Parameters_Results!$D$27*'Baseline scenario'!V33+(1-Parameters_Results!$D$27)*'Baseline scenario'!V14</f>
        <v>4.9055741599999996</v>
      </c>
      <c r="V11" s="149">
        <f>Parameters_Results!$D$27*'Baseline scenario'!W33+(1-Parameters_Results!$D$27)*'Baseline scenario'!W14</f>
        <v>5.05786625</v>
      </c>
      <c r="W11" s="149">
        <f>Parameters_Results!$D$27*'Baseline scenario'!X33+(1-Parameters_Results!$D$27)*'Baseline scenario'!X14</f>
        <v>5.2184691399999998</v>
      </c>
      <c r="X11" s="149">
        <f>Parameters_Results!$D$27*'Baseline scenario'!Y33+(1-Parameters_Results!$D$27)*'Baseline scenario'!Y14</f>
        <v>5.3877134399999989</v>
      </c>
      <c r="Y11" s="149">
        <f>Parameters_Results!$D$27*'Baseline scenario'!Z33+(1-Parameters_Results!$D$27)*'Baseline scenario'!Z14</f>
        <v>5.5660371599999996</v>
      </c>
      <c r="Z11" s="149">
        <f>Parameters_Results!$D$27*'Baseline scenario'!AA33+(1-Parameters_Results!$D$27)*'Baseline scenario'!AA14</f>
        <v>5.7539219799999985</v>
      </c>
      <c r="AA11" s="149">
        <f>Parameters_Results!$D$27*'Baseline scenario'!AB33+(1-Parameters_Results!$D$27)*'Baseline scenario'!AB14</f>
        <v>5.9518778200000009</v>
      </c>
    </row>
    <row r="12" spans="1:30">
      <c r="A12" s="319" t="s">
        <v>1</v>
      </c>
      <c r="B12" s="22" t="s">
        <v>188</v>
      </c>
      <c r="C12" s="149">
        <f>Parameters_Results!$D$27*'Baseline scenario'!D34+(1-Parameters_Results!$D$27)*'Baseline scenario'!D15</f>
        <v>-4812.6769661812723</v>
      </c>
      <c r="D12" s="149">
        <f>Parameters_Results!$D$27*'Baseline scenario'!E34+(1-Parameters_Results!$D$27)*'Baseline scenario'!E15</f>
        <v>-5084.3337385832438</v>
      </c>
      <c r="E12" s="149">
        <f>Parameters_Results!$D$27*'Baseline scenario'!F34+(1-Parameters_Results!$D$27)*'Baseline scenario'!F15</f>
        <v>-5355.3384280050832</v>
      </c>
      <c r="F12" s="149">
        <f>Parameters_Results!$D$27*'Baseline scenario'!G34+(1-Parameters_Results!$D$27)*'Baseline scenario'!G15</f>
        <v>-5703.8607742947988</v>
      </c>
      <c r="G12" s="149">
        <f>Parameters_Results!$D$27*'Baseline scenario'!H34+(1-Parameters_Results!$D$27)*'Baseline scenario'!H15</f>
        <v>-5705.4901251743613</v>
      </c>
      <c r="H12" s="149">
        <f>Parameters_Results!$D$27*'Baseline scenario'!I34+(1-Parameters_Results!$D$27)*'Baseline scenario'!I15</f>
        <v>-5663.7252160190983</v>
      </c>
      <c r="I12" s="149">
        <f>Parameters_Results!$D$27*'Baseline scenario'!J34+(1-Parameters_Results!$D$27)*'Baseline scenario'!J15</f>
        <v>-5981.7856957704353</v>
      </c>
      <c r="J12" s="149">
        <f>Parameters_Results!$D$27*'Baseline scenario'!K34+(1-Parameters_Results!$D$27)*'Baseline scenario'!K15</f>
        <v>-6327.7309395449884</v>
      </c>
      <c r="K12" s="149">
        <f>Parameters_Results!$D$27*'Baseline scenario'!L34+(1-Parameters_Results!$D$27)*'Baseline scenario'!L15</f>
        <v>-7389.7455345817061</v>
      </c>
      <c r="L12" s="149">
        <f>Parameters_Results!$D$27*'Baseline scenario'!M34+(1-Parameters_Results!$D$27)*'Baseline scenario'!M15</f>
        <v>-7821.9257577450117</v>
      </c>
      <c r="M12" s="149">
        <f>Parameters_Results!$D$27*'Baseline scenario'!N34+(1-Parameters_Results!$D$27)*'Baseline scenario'!N15</f>
        <v>-8249.5771394634976</v>
      </c>
      <c r="N12" s="149">
        <f>Parameters_Results!$D$27*'Baseline scenario'!O34+(1-Parameters_Results!$D$27)*'Baseline scenario'!O15</f>
        <v>-8700.0565985113553</v>
      </c>
      <c r="O12" s="149">
        <f>Parameters_Results!$D$27*'Baseline scenario'!P34+(1-Parameters_Results!$D$27)*'Baseline scenario'!P15</f>
        <v>-9179.3778106358623</v>
      </c>
      <c r="P12" s="149">
        <f>Parameters_Results!$D$27*'Baseline scenario'!Q34+(1-Parameters_Results!$D$27)*'Baseline scenario'!Q15</f>
        <v>-9697.0593244885567</v>
      </c>
      <c r="Q12" s="149">
        <f>Parameters_Results!$D$27*'Baseline scenario'!R34+(1-Parameters_Results!$D$27)*'Baseline scenario'!R15</f>
        <v>-10250.926160580213</v>
      </c>
      <c r="R12" s="149">
        <f>Parameters_Results!$D$27*'Baseline scenario'!S34+(1-Parameters_Results!$D$27)*'Baseline scenario'!S15</f>
        <v>-10856.02662722177</v>
      </c>
      <c r="S12" s="149">
        <f>Parameters_Results!$D$27*'Baseline scenario'!T34+(1-Parameters_Results!$D$27)*'Baseline scenario'!T15</f>
        <v>-11519.962858953229</v>
      </c>
      <c r="T12" s="149">
        <f>Parameters_Results!$D$27*'Baseline scenario'!U34+(1-Parameters_Results!$D$27)*'Baseline scenario'!U15</f>
        <v>-12231.389819629669</v>
      </c>
      <c r="U12" s="149">
        <f>Parameters_Results!$D$27*'Baseline scenario'!V34+(1-Parameters_Results!$D$27)*'Baseline scenario'!V15</f>
        <v>-13004.663699846136</v>
      </c>
      <c r="V12" s="149">
        <f>Parameters_Results!$D$27*'Baseline scenario'!W34+(1-Parameters_Results!$D$27)*'Baseline scenario'!W15</f>
        <v>-13874.045323059003</v>
      </c>
      <c r="W12" s="149">
        <f>Parameters_Results!$D$27*'Baseline scenario'!X34+(1-Parameters_Results!$D$27)*'Baseline scenario'!X15</f>
        <v>-14815.760586733337</v>
      </c>
      <c r="X12" s="149">
        <f>Parameters_Results!$D$27*'Baseline scenario'!Y34+(1-Parameters_Results!$D$27)*'Baseline scenario'!Y15</f>
        <v>-15829.457192492173</v>
      </c>
      <c r="Y12" s="149">
        <f>Parameters_Results!$D$27*'Baseline scenario'!Z34+(1-Parameters_Results!$D$27)*'Baseline scenario'!Z15</f>
        <v>-16931.29741971425</v>
      </c>
      <c r="Z12" s="149">
        <f>Parameters_Results!$D$27*'Baseline scenario'!AA34+(1-Parameters_Results!$D$27)*'Baseline scenario'!AA15</f>
        <v>-18037.805983799484</v>
      </c>
      <c r="AA12" s="149">
        <f>Parameters_Results!$D$27*'Baseline scenario'!AB34+(1-Parameters_Results!$D$27)*'Baseline scenario'!AB15</f>
        <v>-19287.443373028149</v>
      </c>
      <c r="AD12">
        <v>0</v>
      </c>
    </row>
    <row r="13" spans="1:30">
      <c r="A13" s="319"/>
      <c r="B13" s="22" t="s">
        <v>189</v>
      </c>
      <c r="C13" s="149">
        <f>Parameters_Results!$D$27*'Baseline scenario'!D35+(1-Parameters_Results!$D$27)*'Baseline scenario'!D16</f>
        <v>-4812.6769661812723</v>
      </c>
      <c r="D13" s="149">
        <f>Parameters_Results!$D$27*'Baseline scenario'!E35+(1-Parameters_Results!$D$27)*'Baseline scenario'!E16</f>
        <v>-5085.2319982032441</v>
      </c>
      <c r="E13" s="149">
        <f>Parameters_Results!$D$27*'Baseline scenario'!F35+(1-Parameters_Results!$D$27)*'Baseline scenario'!F16</f>
        <v>-5398.2858618226692</v>
      </c>
      <c r="F13" s="149">
        <f>Parameters_Results!$D$27*'Baseline scenario'!G35+(1-Parameters_Results!$D$27)*'Baseline scenario'!G16</f>
        <v>-5785.2502104073137</v>
      </c>
      <c r="G13" s="149">
        <f>Parameters_Results!$D$27*'Baseline scenario'!H35+(1-Parameters_Results!$D$27)*'Baseline scenario'!H16</f>
        <v>-6292.3865886217809</v>
      </c>
      <c r="H13" s="149">
        <f>Parameters_Results!$D$27*'Baseline scenario'!I35+(1-Parameters_Results!$D$27)*'Baseline scenario'!I16</f>
        <v>-6781.2327584022951</v>
      </c>
      <c r="I13" s="149">
        <f>Parameters_Results!$D$27*'Baseline scenario'!J35+(1-Parameters_Results!$D$27)*'Baseline scenario'!J16</f>
        <v>-7214.5215412668949</v>
      </c>
      <c r="J13" s="149">
        <f>Parameters_Results!$D$27*'Baseline scenario'!K35+(1-Parameters_Results!$D$27)*'Baseline scenario'!K16</f>
        <v>-7705.7698839771856</v>
      </c>
      <c r="K13" s="149">
        <f>Parameters_Results!$D$27*'Baseline scenario'!L35+(1-Parameters_Results!$D$27)*'Baseline scenario'!L16</f>
        <v>-8363.8710452971827</v>
      </c>
      <c r="L13" s="149">
        <f>Parameters_Results!$D$27*'Baseline scenario'!M35+(1-Parameters_Results!$D$27)*'Baseline scenario'!M16</f>
        <v>-8954.5207165289758</v>
      </c>
      <c r="M13" s="149">
        <f>Parameters_Results!$D$27*'Baseline scenario'!N35+(1-Parameters_Results!$D$27)*'Baseline scenario'!N16</f>
        <v>-9492.9395224298969</v>
      </c>
      <c r="N13" s="149">
        <f>Parameters_Results!$D$27*'Baseline scenario'!O35+(1-Parameters_Results!$D$27)*'Baseline scenario'!O16</f>
        <v>-10042.440358974098</v>
      </c>
      <c r="O13" s="149">
        <f>Parameters_Results!$D$27*'Baseline scenario'!P35+(1-Parameters_Results!$D$27)*'Baseline scenario'!P16</f>
        <v>-10616.863364720431</v>
      </c>
      <c r="P13" s="149">
        <f>Parameters_Results!$D$27*'Baseline scenario'!Q35+(1-Parameters_Results!$D$27)*'Baseline scenario'!Q16</f>
        <v>-11226.975852825552</v>
      </c>
      <c r="Q13" s="149">
        <f>Parameters_Results!$D$27*'Baseline scenario'!R35+(1-Parameters_Results!$D$27)*'Baseline scenario'!R16</f>
        <v>-11880.51458846523</v>
      </c>
      <c r="R13" s="149">
        <f>Parameters_Results!$D$27*'Baseline scenario'!S35+(1-Parameters_Results!$D$27)*'Baseline scenario'!S16</f>
        <v>-12584.541103657401</v>
      </c>
      <c r="S13" s="149">
        <f>Parameters_Results!$D$27*'Baseline scenario'!T35+(1-Parameters_Results!$D$27)*'Baseline scenario'!T16</f>
        <v>-13342.524044006455</v>
      </c>
      <c r="T13" s="149">
        <f>Parameters_Results!$D$27*'Baseline scenario'!U35+(1-Parameters_Results!$D$27)*'Baseline scenario'!U16</f>
        <v>-14145.402493854901</v>
      </c>
      <c r="U13" s="149">
        <f>Parameters_Results!$D$27*'Baseline scenario'!V35+(1-Parameters_Results!$D$27)*'Baseline scenario'!V16</f>
        <v>-14996.87476628502</v>
      </c>
      <c r="V13" s="149">
        <f>Parameters_Results!$D$27*'Baseline scenario'!W35+(1-Parameters_Results!$D$27)*'Baseline scenario'!W16</f>
        <v>-15933.823295341019</v>
      </c>
      <c r="W13" s="149">
        <f>Parameters_Results!$D$27*'Baseline scenario'!X35+(1-Parameters_Results!$D$27)*'Baseline scenario'!X16</f>
        <v>-16956.783869891809</v>
      </c>
      <c r="X13" s="149">
        <f>Parameters_Results!$D$27*'Baseline scenario'!Y35+(1-Parameters_Results!$D$27)*'Baseline scenario'!Y16</f>
        <v>-18088.345369379938</v>
      </c>
      <c r="Y13" s="149">
        <f>Parameters_Results!$D$27*'Baseline scenario'!Z35+(1-Parameters_Results!$D$27)*'Baseline scenario'!Z16</f>
        <v>-19373.334769080251</v>
      </c>
      <c r="Z13" s="149">
        <f>Parameters_Results!$D$27*'Baseline scenario'!AA35+(1-Parameters_Results!$D$27)*'Baseline scenario'!AA16</f>
        <v>-20776.512972569675</v>
      </c>
      <c r="AA13" s="149">
        <f>Parameters_Results!$D$27*'Baseline scenario'!AB35+(1-Parameters_Results!$D$27)*'Baseline scenario'!AB16</f>
        <v>-22380.734694204395</v>
      </c>
    </row>
    <row r="14" spans="1:30">
      <c r="A14" s="319"/>
      <c r="B14" s="22"/>
      <c r="C14" s="149">
        <f>Parameters_Results!$D$27*'Baseline scenario'!D36+(1-Parameters_Results!$D$27)*'Baseline scenario'!D17</f>
        <v>0</v>
      </c>
      <c r="D14" s="149">
        <f>Parameters_Results!$D$27*'Baseline scenario'!E36+(1-Parameters_Results!$D$27)*'Baseline scenario'!E17</f>
        <v>0</v>
      </c>
      <c r="E14" s="149">
        <f>Parameters_Results!$D$27*'Baseline scenario'!F36+(1-Parameters_Results!$D$27)*'Baseline scenario'!F17</f>
        <v>0</v>
      </c>
      <c r="F14" s="149">
        <f>Parameters_Results!$D$27*'Baseline scenario'!G36+(1-Parameters_Results!$D$27)*'Baseline scenario'!G17</f>
        <v>0</v>
      </c>
      <c r="G14" s="149">
        <f>Parameters_Results!$D$27*'Baseline scenario'!H36+(1-Parameters_Results!$D$27)*'Baseline scenario'!H17</f>
        <v>0</v>
      </c>
      <c r="H14" s="149">
        <f>Parameters_Results!$D$27*'Baseline scenario'!I36+(1-Parameters_Results!$D$27)*'Baseline scenario'!I17</f>
        <v>0</v>
      </c>
      <c r="I14" s="149">
        <f>Parameters_Results!$D$27*'Baseline scenario'!J36+(1-Parameters_Results!$D$27)*'Baseline scenario'!J17</f>
        <v>0</v>
      </c>
      <c r="J14" s="149">
        <f>Parameters_Results!$D$27*'Baseline scenario'!K36+(1-Parameters_Results!$D$27)*'Baseline scenario'!K17</f>
        <v>0</v>
      </c>
      <c r="K14" s="149">
        <f>Parameters_Results!$D$27*'Baseline scenario'!L36+(1-Parameters_Results!$D$27)*'Baseline scenario'!L17</f>
        <v>0</v>
      </c>
      <c r="L14" s="149">
        <f>Parameters_Results!$D$27*'Baseline scenario'!M36+(1-Parameters_Results!$D$27)*'Baseline scenario'!M17</f>
        <v>0</v>
      </c>
      <c r="M14" s="149">
        <f>Parameters_Results!$D$27*'Baseline scenario'!N36+(1-Parameters_Results!$D$27)*'Baseline scenario'!N17</f>
        <v>0</v>
      </c>
      <c r="N14" s="149">
        <f>Parameters_Results!$D$27*'Baseline scenario'!O36+(1-Parameters_Results!$D$27)*'Baseline scenario'!O17</f>
        <v>0</v>
      </c>
      <c r="O14" s="149">
        <f>Parameters_Results!$D$27*'Baseline scenario'!P36+(1-Parameters_Results!$D$27)*'Baseline scenario'!P17</f>
        <v>0</v>
      </c>
      <c r="P14" s="149">
        <f>Parameters_Results!$D$27*'Baseline scenario'!Q36+(1-Parameters_Results!$D$27)*'Baseline scenario'!Q17</f>
        <v>0</v>
      </c>
      <c r="Q14" s="149">
        <f>Parameters_Results!$D$27*'Baseline scenario'!R36+(1-Parameters_Results!$D$27)*'Baseline scenario'!R17</f>
        <v>0</v>
      </c>
      <c r="R14" s="149">
        <f>Parameters_Results!$D$27*'Baseline scenario'!S36+(1-Parameters_Results!$D$27)*'Baseline scenario'!S17</f>
        <v>0</v>
      </c>
      <c r="S14" s="149">
        <f>Parameters_Results!$D$27*'Baseline scenario'!T36+(1-Parameters_Results!$D$27)*'Baseline scenario'!T17</f>
        <v>0</v>
      </c>
      <c r="T14" s="149">
        <f>Parameters_Results!$D$27*'Baseline scenario'!U36+(1-Parameters_Results!$D$27)*'Baseline scenario'!U17</f>
        <v>0</v>
      </c>
      <c r="U14" s="149">
        <f>Parameters_Results!$D$27*'Baseline scenario'!V36+(1-Parameters_Results!$D$27)*'Baseline scenario'!V17</f>
        <v>0</v>
      </c>
      <c r="V14" s="149">
        <f>Parameters_Results!$D$27*'Baseline scenario'!W36+(1-Parameters_Results!$D$27)*'Baseline scenario'!W17</f>
        <v>0</v>
      </c>
      <c r="W14" s="149">
        <f>Parameters_Results!$D$27*'Baseline scenario'!X36+(1-Parameters_Results!$D$27)*'Baseline scenario'!X17</f>
        <v>0</v>
      </c>
      <c r="X14" s="149">
        <f>Parameters_Results!$D$27*'Baseline scenario'!Y36+(1-Parameters_Results!$D$27)*'Baseline scenario'!Y17</f>
        <v>0</v>
      </c>
      <c r="Y14" s="149">
        <f>Parameters_Results!$D$27*'Baseline scenario'!Z36+(1-Parameters_Results!$D$27)*'Baseline scenario'!Z17</f>
        <v>0</v>
      </c>
      <c r="Z14" s="149">
        <f>Parameters_Results!$D$27*'Baseline scenario'!AA36+(1-Parameters_Results!$D$27)*'Baseline scenario'!AA17</f>
        <v>0</v>
      </c>
      <c r="AA14" s="149">
        <f>Parameters_Results!$D$27*'Baseline scenario'!AB36+(1-Parameters_Results!$D$27)*'Baseline scenario'!AB17</f>
        <v>0</v>
      </c>
    </row>
    <row r="15" spans="1:30">
      <c r="A15" s="21"/>
      <c r="B15" s="22"/>
      <c r="C15" s="22"/>
      <c r="D15" s="22"/>
      <c r="E15" s="22"/>
      <c r="F15" s="22"/>
      <c r="G15" s="22"/>
      <c r="H15" s="22"/>
      <c r="I15" s="22"/>
      <c r="J15" s="22"/>
      <c r="K15" s="22"/>
      <c r="L15" s="22"/>
      <c r="M15" s="22"/>
      <c r="N15" s="22"/>
      <c r="O15" s="22"/>
      <c r="P15" s="22"/>
      <c r="Q15" s="22"/>
      <c r="R15" s="22"/>
      <c r="S15" s="22"/>
      <c r="T15" s="22"/>
      <c r="U15" s="22"/>
      <c r="V15" s="22"/>
      <c r="W15" s="22"/>
      <c r="X15" s="22"/>
      <c r="Y15" s="22"/>
      <c r="Z15" s="22"/>
      <c r="AA15" s="22"/>
    </row>
    <row r="16" spans="1:30" ht="12.5" customHeight="1">
      <c r="A16" s="21"/>
      <c r="B16" s="22"/>
      <c r="C16" s="22"/>
      <c r="D16" s="22"/>
      <c r="E16" s="22"/>
      <c r="F16" s="22"/>
      <c r="G16" s="22"/>
      <c r="H16" s="22"/>
      <c r="I16" s="22"/>
      <c r="J16" s="22"/>
      <c r="K16" s="22"/>
      <c r="L16" s="22"/>
      <c r="M16" s="22"/>
      <c r="N16" s="22"/>
      <c r="O16" s="22"/>
      <c r="P16" s="22"/>
      <c r="Q16" s="22"/>
      <c r="R16" s="22"/>
      <c r="S16" s="22"/>
      <c r="T16" s="22"/>
      <c r="U16" s="22"/>
      <c r="V16" s="22"/>
      <c r="W16" s="22"/>
      <c r="X16" s="22"/>
      <c r="Y16" s="22"/>
      <c r="Z16" s="22"/>
      <c r="AA16" s="22"/>
    </row>
    <row r="17" spans="1:27">
      <c r="A17" s="21" t="s">
        <v>80</v>
      </c>
      <c r="B17" s="22"/>
      <c r="C17" s="22">
        <f>SUM(C9:C11)/(1+Parameters_Results!$D$12)^('Expected flows'!C$8-'Expected flows'!$C$8)</f>
        <v>0.28835953999999997</v>
      </c>
      <c r="D17" s="22">
        <f>SUM(D9:D11)/(1+Parameters_Results!$D$12)^('Expected flows'!D$8-'Expected flows'!$C$8)</f>
        <v>881.11282605660381</v>
      </c>
      <c r="E17" s="22">
        <f>SUM(E9:E11)/(1+Parameters_Results!$D$12)^('Expected flows'!E$8-'Expected flows'!$C$8)</f>
        <v>868.69288975614086</v>
      </c>
      <c r="F17" s="22">
        <f>SUM(F9:F11)/(1+Parameters_Results!$D$12)^('Expected flows'!F$8-'Expected flows'!$C$8)</f>
        <v>1274.3645523737716</v>
      </c>
      <c r="G17" s="22">
        <f>SUM(G9:G11)/(1+Parameters_Results!$D$12)^('Expected flows'!G$8-'Expected flows'!$C$8)</f>
        <v>87.519365644502514</v>
      </c>
      <c r="H17" s="22">
        <f>SUM(H9:H11)/(1+Parameters_Results!$D$12)^('Expected flows'!H$8-'Expected flows'!$C$8)</f>
        <v>49.44579152990773</v>
      </c>
      <c r="I17" s="22">
        <f>SUM(I9:I11)/(1+Parameters_Results!$D$12)^('Expected flows'!I$8-'Expected flows'!$C$8)</f>
        <v>2.3268280500998499</v>
      </c>
      <c r="J17" s="22">
        <f>SUM(J9:J11)/(1+Parameters_Results!$D$12)^('Expected flows'!J$8-'Expected flows'!$C$8)</f>
        <v>2.2866747589307161</v>
      </c>
      <c r="K17" s="22">
        <f>SUM(K9:K11)/(1+Parameters_Results!$D$12)^('Expected flows'!K$8-'Expected flows'!$C$8)</f>
        <v>2.2480126727603396</v>
      </c>
      <c r="L17" s="22">
        <f>SUM(L9:L11)/(1+Parameters_Results!$D$12)^('Expected flows'!L$8-'Expected flows'!$C$8)</f>
        <v>35.968589863866505</v>
      </c>
      <c r="M17" s="22">
        <f>SUM(M9:M11)/(1+Parameters_Results!$D$12)^('Expected flows'!M$8-'Expected flows'!$C$8)</f>
        <v>37.396751889781584</v>
      </c>
      <c r="N17" s="22">
        <f>SUM(N9:N11)/(1+Parameters_Results!$D$12)^('Expected flows'!N$8-'Expected flows'!$C$8)</f>
        <v>2.140202157432245</v>
      </c>
      <c r="O17" s="22">
        <f>SUM(O9:O11)/(1+Parameters_Results!$D$12)^('Expected flows'!O$8-'Expected flows'!$C$8)</f>
        <v>30.350881852153023</v>
      </c>
      <c r="P17" s="22">
        <f>SUM(P9:P11)/(1+Parameters_Results!$D$12)^('Expected flows'!P$8-'Expected flows'!$C$8)</f>
        <v>31.549864759822558</v>
      </c>
      <c r="Q17" s="22">
        <f>SUM(Q9:Q11)/(1+Parameters_Results!$D$12)^('Expected flows'!Q$8-'Expected flows'!$C$8)</f>
        <v>1.9450382174826228</v>
      </c>
      <c r="R17" s="22">
        <f>SUM(R9:R11)/(1+Parameters_Results!$D$12)^('Expected flows'!R$8-'Expected flows'!$C$8)</f>
        <v>25.630751636601218</v>
      </c>
      <c r="S17" s="22">
        <f>SUM(S9:S11)/(1+Parameters_Results!$D$12)^('Expected flows'!S$8-'Expected flows'!$C$8)</f>
        <v>26.628956651082813</v>
      </c>
      <c r="T17" s="22">
        <f>SUM(T9:T11)/(1+Parameters_Results!$D$12)^('Expected flows'!T$8-'Expected flows'!$C$8)</f>
        <v>348.281555598436</v>
      </c>
      <c r="U17" s="22">
        <f>SUM(U9:U11)/(1+Parameters_Results!$D$12)^('Expected flows'!U$8-'Expected flows'!$C$8)</f>
        <v>1.7186374488798619</v>
      </c>
      <c r="V17" s="22">
        <f>SUM(V9:V11)/(1+Parameters_Results!$D$12)^('Expected flows'!V$8-'Expected flows'!$C$8)</f>
        <v>1.6716906009900487</v>
      </c>
      <c r="W17" s="22">
        <f>SUM(W9:W11)/(1+Parameters_Results!$D$12)^('Expected flows'!W$8-'Expected flows'!$C$8)</f>
        <v>1.627143344961159</v>
      </c>
      <c r="X17" s="22">
        <f>SUM(X9:X11)/(1+Parameters_Results!$D$12)^('Expected flows'!X$8-'Expected flows'!$C$8)</f>
        <v>18.332829672607755</v>
      </c>
      <c r="Y17" s="22">
        <f>SUM(Y9:Y11)/(1+Parameters_Results!$D$12)^('Expected flows'!Y$8-'Expected flows'!$C$8)</f>
        <v>19.032498659365221</v>
      </c>
      <c r="Z17" s="22">
        <f>SUM(Z9:Z11)/(1+Parameters_Results!$D$12)^('Expected flows'!Z$8-'Expected flows'!$C$8)</f>
        <v>1.5063610157191307</v>
      </c>
      <c r="AA17" s="22">
        <f>SUM(AA9:AA11)/(1+Parameters_Results!$D$12)^('Expected flows'!AA$8-'Expected flows'!$C$8)</f>
        <v>-183.43051196981349</v>
      </c>
    </row>
    <row r="18" spans="1:27">
      <c r="A18" s="21" t="s">
        <v>4</v>
      </c>
      <c r="B18" s="22"/>
      <c r="C18" s="22">
        <f>(C12-C13)/(1+Parameters_Results!$D$12)^('Expected flows'!C$8-'Expected flows'!$C$8)</f>
        <v>0</v>
      </c>
      <c r="D18" s="22">
        <f>(D12-D13)/(1+Parameters_Results!$D$12)^('Expected flows'!D$8-'Expected flows'!$C$8)</f>
        <v>0.84741473584935578</v>
      </c>
      <c r="E18" s="22">
        <f>(E12-E13)/(1+Parameters_Results!$D$12)^('Expected flows'!E$8-'Expected flows'!$C$8)</f>
        <v>38.223063205398702</v>
      </c>
      <c r="F18" s="22">
        <f>(F12-F13)/(1+Parameters_Results!$D$12)^('Expected flows'!F$8-'Expected flows'!$C$8)</f>
        <v>68.336139995193065</v>
      </c>
      <c r="G18" s="22">
        <f>(G12-G13)/(1+Parameters_Results!$D$12)^('Expected flows'!G$8-'Expected flows'!$C$8)</f>
        <v>464.87696967350553</v>
      </c>
      <c r="H18" s="22">
        <f>(H12-H13)/(1+Parameters_Results!$D$12)^('Expected flows'!H$8-'Expected flows'!$C$8)</f>
        <v>835.0666442853053</v>
      </c>
      <c r="I18" s="22">
        <f>(I12-I13)/(1+Parameters_Results!$D$12)^('Expected flows'!I$8-'Expected flows'!$C$8)</f>
        <v>869.03012786054546</v>
      </c>
      <c r="J18" s="22">
        <f>(J12-J13)/(1+Parameters_Results!$D$12)^('Expected flows'!J$8-'Expected flows'!$C$8)</f>
        <v>916.47460284324779</v>
      </c>
      <c r="K18" s="22">
        <f>(K12-K13)/(1+Parameters_Results!$D$12)^('Expected flows'!K$8-'Expected flows'!$C$8)</f>
        <v>611.17839666256498</v>
      </c>
      <c r="L18" s="22">
        <f>(L12-L13)/(1+Parameters_Results!$D$12)^('Expected flows'!L$8-'Expected flows'!$C$8)</f>
        <v>670.38121590608034</v>
      </c>
      <c r="M18" s="22">
        <f>(M12-M13)/(1+Parameters_Results!$D$12)^('Expected flows'!M$8-'Expected flows'!$C$8)</f>
        <v>694.2870604611719</v>
      </c>
      <c r="N18" s="22">
        <f>(N12-N13)/(1+Parameters_Results!$D$12)^('Expected flows'!N$8-'Expected flows'!$C$8)</f>
        <v>707.15101930006597</v>
      </c>
      <c r="O18" s="22">
        <f>(O12-O13)/(1+Parameters_Results!$D$12)^('Expected flows'!O$8-'Expected flows'!$C$8)</f>
        <v>714.38628096454033</v>
      </c>
      <c r="P18" s="22">
        <f>(P12-P13)/(1+Parameters_Results!$D$12)^('Expected flows'!P$8-'Expected flows'!$C$8)</f>
        <v>717.28456925808518</v>
      </c>
      <c r="Q18" s="22">
        <f>(Q12-Q13)/(1+Parameters_Results!$D$12)^('Expected flows'!Q$8-'Expected flows'!$C$8)</f>
        <v>720.76853319549809</v>
      </c>
      <c r="R18" s="22">
        <f>(R12-R13)/(1+Parameters_Results!$D$12)^('Expected flows'!R$8-'Expected flows'!$C$8)</f>
        <v>721.2486979921739</v>
      </c>
      <c r="S18" s="22">
        <f>(S12-S13)/(1+Parameters_Results!$D$12)^('Expected flows'!S$8-'Expected flows'!$C$8)</f>
        <v>717.44443733535184</v>
      </c>
      <c r="T18" s="22">
        <f>(T12-T13)/(1+Parameters_Results!$D$12)^('Expected flows'!T$8-'Expected flows'!$C$8)</f>
        <v>710.79620395085942</v>
      </c>
      <c r="U18" s="22">
        <f>(U12-U13)/(1+Parameters_Results!$D$12)^('Expected flows'!U$8-'Expected flows'!$C$8)</f>
        <v>697.95877774575365</v>
      </c>
      <c r="V18" s="22">
        <f>(V12-V13)/(1+Parameters_Results!$D$12)^('Expected flows'!V$8-'Expected flows'!$C$8)</f>
        <v>680.78341857896839</v>
      </c>
      <c r="W18" s="22">
        <f>(W12-W13)/(1+Parameters_Results!$D$12)^('Expected flows'!W$8-'Expected flows'!$C$8)</f>
        <v>667.58118006197503</v>
      </c>
      <c r="X18" s="22">
        <f>(X12-X13)/(1+Parameters_Results!$D$12)^('Expected flows'!X$8-'Expected flows'!$C$8)</f>
        <v>664.46416137801361</v>
      </c>
      <c r="Y18" s="22">
        <f>(Y12-Y13)/(1+Parameters_Results!$D$12)^('Expected flows'!Y$8-'Expected flows'!$C$8)</f>
        <v>677.67781128932256</v>
      </c>
      <c r="Z18" s="22">
        <f>(Z12-Z13)/(1+Parameters_Results!$D$12)^('Expected flows'!Z$8-'Expected flows'!$C$8)</f>
        <v>716.98598898293505</v>
      </c>
      <c r="AA18" s="22">
        <f>(AA12-AA13)/(1+Parameters_Results!$D$12)^('Expected flows'!AA$8-'Expected flows'!$C$8)</f>
        <v>763.97660007866909</v>
      </c>
    </row>
    <row r="19" spans="1:27">
      <c r="A19" s="21"/>
      <c r="B19" s="22"/>
      <c r="C19" s="22"/>
      <c r="D19" s="22"/>
      <c r="E19" s="22"/>
      <c r="F19" s="22"/>
      <c r="G19" s="22"/>
      <c r="H19" s="22"/>
      <c r="I19" s="22"/>
      <c r="J19" s="22"/>
      <c r="K19" s="22"/>
      <c r="L19" s="22"/>
      <c r="M19" s="22"/>
      <c r="N19" s="22"/>
      <c r="O19" s="22"/>
      <c r="P19" s="22"/>
      <c r="Q19" s="22"/>
      <c r="R19" s="22"/>
      <c r="S19" s="22"/>
      <c r="T19" s="22"/>
      <c r="U19" s="22"/>
      <c r="V19" s="22"/>
      <c r="W19" s="22"/>
      <c r="X19" s="22"/>
      <c r="Y19" s="22"/>
      <c r="Z19" s="22"/>
      <c r="AA19" s="22"/>
    </row>
    <row r="20" spans="1:27">
      <c r="A20" s="140" t="s">
        <v>8</v>
      </c>
      <c r="B20" s="55"/>
      <c r="C20" s="138">
        <f>SUM(C18:XW18)-SUM(C17:XW17)</f>
        <v>11478.572773958989</v>
      </c>
      <c r="D20" s="22"/>
      <c r="E20" s="17" t="s">
        <v>26</v>
      </c>
      <c r="F20" s="22"/>
      <c r="G20" s="22">
        <f>SUM(C17:XW17)</f>
        <v>3568.6365417820853</v>
      </c>
      <c r="H20" s="22"/>
      <c r="I20" s="22"/>
      <c r="J20" s="22"/>
      <c r="K20" s="22"/>
      <c r="L20" s="22"/>
      <c r="M20" s="22"/>
      <c r="N20" s="22"/>
      <c r="O20" s="22"/>
      <c r="P20" s="22"/>
      <c r="Q20" s="22"/>
      <c r="R20" s="22"/>
      <c r="S20" s="22"/>
      <c r="T20" s="22"/>
      <c r="U20" s="22"/>
      <c r="V20" s="22"/>
      <c r="W20" s="22"/>
      <c r="X20" s="22"/>
      <c r="Y20" s="22"/>
      <c r="Z20" s="22"/>
      <c r="AA20" s="22"/>
    </row>
    <row r="21" spans="1:27" ht="15" thickBot="1">
      <c r="A21" s="141" t="s">
        <v>24</v>
      </c>
      <c r="B21" s="72"/>
      <c r="C21" s="139">
        <f>SUM(C18:XW18)/SUM(C17:XW17)</f>
        <v>4.2165149461331488</v>
      </c>
      <c r="D21" s="34"/>
      <c r="E21" s="34" t="s">
        <v>27</v>
      </c>
      <c r="F21" s="34"/>
      <c r="G21" s="34">
        <f>SUM(C18:XW18)</f>
        <v>15047.209315741075</v>
      </c>
      <c r="H21" s="34"/>
      <c r="I21" s="34"/>
      <c r="J21" s="34"/>
      <c r="K21" s="34"/>
      <c r="L21" s="34"/>
      <c r="M21" s="34"/>
      <c r="N21" s="34"/>
      <c r="O21" s="34"/>
      <c r="P21" s="34"/>
      <c r="Q21" s="34"/>
      <c r="R21" s="34"/>
      <c r="S21" s="34"/>
      <c r="T21" s="34"/>
      <c r="U21" s="34"/>
      <c r="V21" s="34"/>
      <c r="W21" s="34"/>
      <c r="X21" s="34"/>
      <c r="Y21" s="34"/>
      <c r="Z21" s="34"/>
      <c r="AA21" s="34"/>
    </row>
    <row r="22" spans="1:27" ht="15" thickBot="1"/>
    <row r="23" spans="1:27" s="12" customFormat="1">
      <c r="A23" s="122" t="s">
        <v>109</v>
      </c>
      <c r="B23" s="147"/>
      <c r="C23" s="147"/>
      <c r="D23" s="147"/>
      <c r="E23" s="147"/>
      <c r="F23" s="147"/>
      <c r="G23" s="147"/>
      <c r="H23" s="147"/>
      <c r="I23" s="147"/>
      <c r="J23" s="147"/>
      <c r="K23" s="147"/>
      <c r="L23" s="147"/>
      <c r="M23" s="147"/>
      <c r="N23" s="147"/>
      <c r="O23" s="147"/>
      <c r="P23" s="147"/>
      <c r="Q23" s="147"/>
      <c r="R23" s="147"/>
      <c r="S23" s="147"/>
      <c r="T23" s="147"/>
      <c r="U23" s="147"/>
      <c r="V23" s="147"/>
      <c r="W23" s="147"/>
      <c r="X23" s="147"/>
      <c r="Y23" s="147"/>
      <c r="Z23" s="147"/>
      <c r="AA23" s="147"/>
    </row>
    <row r="24" spans="1:27">
      <c r="A24" s="21" t="s">
        <v>3</v>
      </c>
      <c r="B24" s="22"/>
      <c r="C24" s="22">
        <f>Parameters_Results!$D$10+COLUMN()-2</f>
        <v>2019</v>
      </c>
      <c r="D24" s="22">
        <f>Parameters_Results!$D$10+COLUMN()-2</f>
        <v>2020</v>
      </c>
      <c r="E24" s="22">
        <f>Parameters_Results!$D$10+COLUMN()-2</f>
        <v>2021</v>
      </c>
      <c r="F24" s="22">
        <f>Parameters_Results!$D$10+COLUMN()-2</f>
        <v>2022</v>
      </c>
      <c r="G24" s="22">
        <f>Parameters_Results!$D$10+COLUMN()-2</f>
        <v>2023</v>
      </c>
      <c r="H24" s="22">
        <f>Parameters_Results!$D$10+COLUMN()-2</f>
        <v>2024</v>
      </c>
      <c r="I24" s="22">
        <f>Parameters_Results!$D$10+COLUMN()-2</f>
        <v>2025</v>
      </c>
      <c r="J24" s="22">
        <f>Parameters_Results!$D$10+COLUMN()-2</f>
        <v>2026</v>
      </c>
      <c r="K24" s="22">
        <f>Parameters_Results!$D$10+COLUMN()-2</f>
        <v>2027</v>
      </c>
      <c r="L24" s="22">
        <f>Parameters_Results!$D$10+COLUMN()-2</f>
        <v>2028</v>
      </c>
      <c r="M24" s="22">
        <f>Parameters_Results!$D$10+COLUMN()-2</f>
        <v>2029</v>
      </c>
      <c r="N24" s="22">
        <f>Parameters_Results!$D$10+COLUMN()-2</f>
        <v>2030</v>
      </c>
      <c r="O24" s="22">
        <f>Parameters_Results!$D$10+COLUMN()-2</f>
        <v>2031</v>
      </c>
      <c r="P24" s="22">
        <f>Parameters_Results!$D$10+COLUMN()-2</f>
        <v>2032</v>
      </c>
      <c r="Q24" s="22">
        <f>Parameters_Results!$D$10+COLUMN()-2</f>
        <v>2033</v>
      </c>
      <c r="R24" s="22">
        <f>Parameters_Results!$D$10+COLUMN()-2</f>
        <v>2034</v>
      </c>
      <c r="S24" s="22">
        <f>Parameters_Results!$D$10+COLUMN()-2</f>
        <v>2035</v>
      </c>
      <c r="T24" s="22">
        <f>Parameters_Results!$D$10+COLUMN()-2</f>
        <v>2036</v>
      </c>
      <c r="U24" s="22">
        <f>Parameters_Results!$D$10+COLUMN()-2</f>
        <v>2037</v>
      </c>
      <c r="V24" s="22">
        <f>Parameters_Results!$D$10+COLUMN()-2</f>
        <v>2038</v>
      </c>
      <c r="W24" s="22">
        <f>Parameters_Results!$D$10+COLUMN()-2</f>
        <v>2039</v>
      </c>
      <c r="X24" s="22">
        <f>Parameters_Results!$D$10+COLUMN()-2</f>
        <v>2040</v>
      </c>
      <c r="Y24" s="22">
        <f>Parameters_Results!$D$10+COLUMN()-2</f>
        <v>2041</v>
      </c>
      <c r="Z24" s="22">
        <f>Parameters_Results!$D$10+COLUMN()-2</f>
        <v>2042</v>
      </c>
      <c r="AA24" s="22">
        <f>Parameters_Results!$D$10+COLUMN()-2</f>
        <v>2043</v>
      </c>
    </row>
    <row r="25" spans="1:27">
      <c r="A25" s="319" t="s">
        <v>0</v>
      </c>
      <c r="B25" s="22" t="s">
        <v>25</v>
      </c>
      <c r="C25" s="22">
        <f>C9*(1+'Extrapolation average con.'!C22)</f>
        <v>0</v>
      </c>
      <c r="D25" s="22">
        <f>D9*(1+'Extrapolation average con.'!D22)</f>
        <v>933.08133600000008</v>
      </c>
      <c r="E25" s="22">
        <f>E9*(1+'Extrapolation average con.'!E22)</f>
        <v>974.26470400000005</v>
      </c>
      <c r="F25" s="22">
        <f>F9*(1+'Extrapolation average con.'!F22)</f>
        <v>1456.1167120000002</v>
      </c>
      <c r="G25" s="22">
        <f>G9*(1+'Extrapolation average con.'!G22)</f>
        <v>56.879999999999995</v>
      </c>
      <c r="H25" s="22">
        <f>H9*(1+'Extrapolation average con.'!H22)</f>
        <v>63.000449999999994</v>
      </c>
      <c r="I25" s="22">
        <f>I9*(1+'Extrapolation average con.'!I22)</f>
        <v>0</v>
      </c>
      <c r="J25" s="22">
        <f>J9*(1+'Extrapolation average con.'!J22)</f>
        <v>0</v>
      </c>
      <c r="K25" s="22">
        <f>K9*(1+'Extrapolation average con.'!K22)</f>
        <v>0</v>
      </c>
      <c r="L25" s="22">
        <f>L9*(1+'Extrapolation average con.'!L22)</f>
        <v>56.879999999999995</v>
      </c>
      <c r="M25" s="22">
        <f>M9*(1+'Extrapolation average con.'!M22)</f>
        <v>63.000449999999994</v>
      </c>
      <c r="N25" s="22">
        <f>N9*(1+'Extrapolation average con.'!N22)</f>
        <v>0</v>
      </c>
      <c r="O25" s="22">
        <f>O9*(1+'Extrapolation average con.'!O22)</f>
        <v>56.879999999999995</v>
      </c>
      <c r="P25" s="22">
        <f>P9*(1+'Extrapolation average con.'!P22)</f>
        <v>63.000449999999994</v>
      </c>
      <c r="Q25" s="22">
        <f>Q9*(1+'Extrapolation average con.'!Q22)</f>
        <v>0</v>
      </c>
      <c r="R25" s="22">
        <f>R9*(1+'Extrapolation average con.'!R22)</f>
        <v>56.879999999999995</v>
      </c>
      <c r="S25" s="22">
        <f>S9*(1+'Extrapolation average con.'!S22)</f>
        <v>63.000449999999994</v>
      </c>
      <c r="T25" s="22">
        <f>T9*(1+'Extrapolation average con.'!T22)</f>
        <v>933.08133600000008</v>
      </c>
      <c r="U25" s="22">
        <f>U9*(1+'Extrapolation average con.'!U22)</f>
        <v>0</v>
      </c>
      <c r="V25" s="22">
        <f>V9*(1+'Extrapolation average con.'!V22)</f>
        <v>0</v>
      </c>
      <c r="W25" s="22">
        <f>W9*(1+'Extrapolation average con.'!W22)</f>
        <v>0</v>
      </c>
      <c r="X25" s="22">
        <f>X9*(1+'Extrapolation average con.'!X22)</f>
        <v>56.879999999999995</v>
      </c>
      <c r="Y25" s="22">
        <f>Y9*(1+'Extrapolation average con.'!Y22)</f>
        <v>63.000449999999994</v>
      </c>
      <c r="Z25" s="22">
        <f>Z9*(1+'Extrapolation average con.'!Z22)</f>
        <v>0</v>
      </c>
      <c r="AA25" s="22">
        <f>AA9*(1+'Extrapolation average con.'!AA22)</f>
        <v>-748.65003200000001</v>
      </c>
    </row>
    <row r="26" spans="1:27">
      <c r="A26" s="319"/>
      <c r="B26" s="22" t="s">
        <v>190</v>
      </c>
      <c r="C26" s="22">
        <f>C10*(1+'Extrapolation average con.'!C23)</f>
        <v>0.14442006961666667</v>
      </c>
      <c r="D26" s="22">
        <f>D10*(1+'Extrapolation average con.'!D23)</f>
        <v>0</v>
      </c>
      <c r="E26" s="22">
        <f>E10*(1+'Extrapolation average con.'!E23)</f>
        <v>0</v>
      </c>
      <c r="F26" s="22">
        <f>F10*(1+'Extrapolation average con.'!F23)</f>
        <v>59.545895679999994</v>
      </c>
      <c r="G26" s="22">
        <f>G10*(1+'Extrapolation average con.'!G23)</f>
        <v>51.041394708333328</v>
      </c>
      <c r="H26" s="22">
        <f>H10*(1+'Extrapolation average con.'!H23)</f>
        <v>0</v>
      </c>
      <c r="I26" s="22">
        <f>I10*(1+'Extrapolation average con.'!I23)</f>
        <v>0</v>
      </c>
      <c r="J26" s="22">
        <f>J10*(1+'Extrapolation average con.'!J23)</f>
        <v>0</v>
      </c>
      <c r="K26" s="22">
        <f>K10*(1+'Extrapolation average con.'!K23)</f>
        <v>0</v>
      </c>
      <c r="L26" s="22">
        <f>L10*(1+'Extrapolation average con.'!L23)</f>
        <v>0.155655347</v>
      </c>
      <c r="M26" s="22">
        <f>M10*(1+'Extrapolation average con.'!M23)</f>
        <v>7.7751121690000008E-2</v>
      </c>
      <c r="N26" s="22">
        <f>N10*(1+'Extrapolation average con.'!N23)</f>
        <v>0</v>
      </c>
      <c r="O26" s="22">
        <f>O10*(1+'Extrapolation average con.'!O23)</f>
        <v>0</v>
      </c>
      <c r="P26" s="22">
        <f>P10*(1+'Extrapolation average con.'!P23)</f>
        <v>0</v>
      </c>
      <c r="Q26" s="22">
        <f>Q10*(1+'Extrapolation average con.'!Q23)</f>
        <v>0</v>
      </c>
      <c r="R26" s="22">
        <f>R10*(1+'Extrapolation average con.'!R23)</f>
        <v>3.8553437866666658E-2</v>
      </c>
      <c r="S26" s="22">
        <f>S10*(1+'Extrapolation average con.'!S23)</f>
        <v>1.8220290949999999E-2</v>
      </c>
      <c r="T26" s="22">
        <f>T10*(1+'Extrapolation average con.'!T23)</f>
        <v>0</v>
      </c>
      <c r="U26" s="22">
        <f>U10*(1+'Extrapolation average con.'!U23)</f>
        <v>0</v>
      </c>
      <c r="V26" s="22">
        <f>V10*(1+'Extrapolation average con.'!V23)</f>
        <v>0</v>
      </c>
      <c r="W26" s="22">
        <f>W10*(1+'Extrapolation average con.'!W23)</f>
        <v>0</v>
      </c>
      <c r="X26" s="22">
        <f>X10*(1+'Extrapolation average con.'!X23)</f>
        <v>5.7397863599999994E-2</v>
      </c>
      <c r="Y26" s="22">
        <f>Y10*(1+'Extrapolation average con.'!Y23)</f>
        <v>1.8327294290000001E-2</v>
      </c>
      <c r="Z26" s="22">
        <f>Z10*(1+'Extrapolation average con.'!Z23)</f>
        <v>0</v>
      </c>
      <c r="AA26" s="22">
        <f>AA10*(1+'Extrapolation average con.'!AA23)</f>
        <v>0</v>
      </c>
    </row>
    <row r="27" spans="1:27">
      <c r="A27" s="319"/>
      <c r="B27" s="22" t="s">
        <v>191</v>
      </c>
      <c r="C27" s="22">
        <f>C11*(1+'Extrapolation average con.'!C24)</f>
        <v>0.14490066884999997</v>
      </c>
      <c r="D27" s="22">
        <f>D11*(1+'Extrapolation average con.'!D24)</f>
        <v>0.90724221620000012</v>
      </c>
      <c r="E27" s="22">
        <f>E11*(1+'Extrapolation average con.'!E24)</f>
        <v>1.8256063339499997</v>
      </c>
      <c r="F27" s="22">
        <f>F11*(1+'Extrapolation average con.'!F24)</f>
        <v>2.5707138642</v>
      </c>
      <c r="G27" s="22">
        <f>G11*(1+'Extrapolation average con.'!G24)</f>
        <v>3.0664081219999999</v>
      </c>
      <c r="H27" s="22">
        <f>H11*(1+'Extrapolation average con.'!H24)</f>
        <v>3.2642481178999998</v>
      </c>
      <c r="I27" s="22">
        <f>I11*(1+'Extrapolation average con.'!I24)</f>
        <v>3.4161728121000001</v>
      </c>
      <c r="J27" s="22">
        <f>J11*(1+'Extrapolation average con.'!J24)</f>
        <v>3.5758458944</v>
      </c>
      <c r="K27" s="22">
        <f>K11*(1+'Extrapolation average con.'!K24)</f>
        <v>3.7442252501499995</v>
      </c>
      <c r="L27" s="22">
        <f>L11*(1+'Extrapolation average con.'!L24)</f>
        <v>3.9218257470000002</v>
      </c>
      <c r="M27" s="22">
        <f>M11*(1+'Extrapolation average con.'!M24)</f>
        <v>4.0818396581599998</v>
      </c>
      <c r="N27" s="22">
        <f>N11*(1+'Extrapolation average con.'!N24)</f>
        <v>4.2658798034999998</v>
      </c>
      <c r="O27" s="22">
        <f>O11*(1+'Extrapolation average con.'!O24)</f>
        <v>4.4099181237600007</v>
      </c>
      <c r="P27" s="22">
        <f>P11*(1+'Extrapolation average con.'!P24)</f>
        <v>4.5249781501000017</v>
      </c>
      <c r="Q27" s="22">
        <f>Q11*(1+'Extrapolation average con.'!Q24)</f>
        <v>4.6438070975999999</v>
      </c>
      <c r="R27" s="22">
        <f>R11*(1+'Extrapolation average con.'!R24)</f>
        <v>4.7692683017400004</v>
      </c>
      <c r="S27" s="22">
        <f>S11*(1+'Extrapolation average con.'!S24)</f>
        <v>4.9063488600000005</v>
      </c>
      <c r="T27" s="22">
        <f>T11*(1+'Extrapolation average con.'!T24)</f>
        <v>5.0569877394000002</v>
      </c>
      <c r="U27" s="22">
        <f>U11*(1+'Extrapolation average con.'!U24)</f>
        <v>5.2195309062400002</v>
      </c>
      <c r="V27" s="22">
        <f>V11*(1+'Extrapolation average con.'!V24)</f>
        <v>5.3916854225000002</v>
      </c>
      <c r="W27" s="22">
        <f>W11*(1+'Extrapolation average con.'!W24)</f>
        <v>5.5733250415200004</v>
      </c>
      <c r="X27" s="22">
        <f>X11*(1+'Extrapolation average con.'!X24)</f>
        <v>5.7648533807999991</v>
      </c>
      <c r="Y27" s="22">
        <f>Y11*(1+'Extrapolation average con.'!Y24)</f>
        <v>5.9667918355199996</v>
      </c>
      <c r="Z27" s="22">
        <f>Z11*(1+'Extrapolation average con.'!Z24)</f>
        <v>6.1797122065199988</v>
      </c>
      <c r="AA27" s="22">
        <f>AA11*(1+'Extrapolation average con.'!AA24)</f>
        <v>6.4042205343200012</v>
      </c>
    </row>
    <row r="28" spans="1:27">
      <c r="A28" s="319" t="s">
        <v>1</v>
      </c>
      <c r="B28" s="22" t="s">
        <v>188</v>
      </c>
      <c r="C28" s="22">
        <f>C12*(1+'Extrapolation average con.'!C16)*(1+'Extrapolation average con.'!C19)</f>
        <v>-4811.0727405258785</v>
      </c>
      <c r="D28" s="22">
        <f>D12*(1+'Extrapolation average con.'!D16)*(1+'Extrapolation average con.'!D19)</f>
        <v>-5080.944182757521</v>
      </c>
      <c r="E28" s="22">
        <f>E12*(1+'Extrapolation average con.'!E16)*(1+'Extrapolation average con.'!E19)</f>
        <v>-5349.9830895770783</v>
      </c>
      <c r="F28" s="22">
        <f>F12*(1+'Extrapolation average con.'!F16)*(1+'Extrapolation average con.'!F19)</f>
        <v>-5696.2556265957392</v>
      </c>
      <c r="G28" s="22">
        <f>G12*(1+'Extrapolation average con.'!G16)*(1+'Extrapolation average con.'!G19)</f>
        <v>-5695.980974965737</v>
      </c>
      <c r="H28" s="22">
        <f>H12*(1+'Extrapolation average con.'!H16)*(1+'Extrapolation average con.'!H19)</f>
        <v>-5652.3977655870603</v>
      </c>
      <c r="I28" s="22">
        <f>I12*(1+'Extrapolation average con.'!I16)*(1+'Extrapolation average con.'!I19)</f>
        <v>-5967.8281958136376</v>
      </c>
      <c r="J28" s="22">
        <f>J12*(1+'Extrapolation average con.'!J16)*(1+'Extrapolation average con.'!J19)</f>
        <v>-6310.8569903728685</v>
      </c>
      <c r="K28" s="22">
        <f>K12*(1+'Extrapolation average con.'!K16)*(1+'Extrapolation average con.'!K19)</f>
        <v>-7367.5762979779611</v>
      </c>
      <c r="L28" s="22">
        <f>L12*(1+'Extrapolation average con.'!L16)*(1+'Extrapolation average con.'!L19)</f>
        <v>-7795.852671885862</v>
      </c>
      <c r="M28" s="22">
        <f>M12*(1+'Extrapolation average con.'!M16)*(1+'Extrapolation average con.'!M19)</f>
        <v>-8223.7284644265128</v>
      </c>
      <c r="N28" s="22">
        <f>N12*(1+'Extrapolation average con.'!N16)*(1+'Extrapolation average con.'!N19)</f>
        <v>-8671.0564098496507</v>
      </c>
      <c r="O28" s="22">
        <f>O12*(1+'Extrapolation average con.'!O16)*(1+'Extrapolation average con.'!O19)</f>
        <v>-9146.9440090382814</v>
      </c>
      <c r="P28" s="22">
        <f>P12*(1+'Extrapolation average con.'!P16)*(1+'Extrapolation average con.'!P19)</f>
        <v>-9660.8569696771319</v>
      </c>
      <c r="Q28" s="22">
        <f>Q12*(1+'Extrapolation average con.'!Q16)*(1+'Extrapolation average con.'!Q19)</f>
        <v>-10210.605851015263</v>
      </c>
      <c r="R28" s="22">
        <f>R12*(1+'Extrapolation average con.'!R16)*(1+'Extrapolation average con.'!R19)</f>
        <v>-10811.155050495921</v>
      </c>
      <c r="S28" s="22">
        <f>S12*(1+'Extrapolation average con.'!S16)*(1+'Extrapolation average con.'!S19)</f>
        <v>-11470.043019897766</v>
      </c>
      <c r="T28" s="22">
        <f>T12*(1+'Extrapolation average con.'!T16)*(1+'Extrapolation average con.'!T19)</f>
        <v>-12175.940852447347</v>
      </c>
      <c r="U28" s="22">
        <f>U12*(1+'Extrapolation average con.'!U16)*(1+'Extrapolation average con.'!U19)</f>
        <v>-12943.108291666864</v>
      </c>
      <c r="V28" s="22">
        <f>V12*(1+'Extrapolation average con.'!V16)*(1+'Extrapolation average con.'!V19)</f>
        <v>-13805.600032798578</v>
      </c>
      <c r="W28" s="22">
        <f>W12*(1+'Extrapolation average con.'!W16)*(1+'Extrapolation average con.'!W19)</f>
        <v>-14739.706349054772</v>
      </c>
      <c r="X28" s="22">
        <f>X12*(1+'Extrapolation average con.'!X16)*(1+'Extrapolation average con.'!X19)</f>
        <v>-15745.033420798882</v>
      </c>
      <c r="Y28" s="22">
        <f>Y12*(1+'Extrapolation average con.'!Y16)*(1+'Extrapolation average con.'!Y19)</f>
        <v>-16837.610907325165</v>
      </c>
      <c r="Z28" s="22">
        <f>Z12*(1+'Extrapolation average con.'!Z16)*(1+'Extrapolation average con.'!Z19)</f>
        <v>-17934.389229492368</v>
      </c>
      <c r="AA28" s="22">
        <f>AA12*(1+'Extrapolation average con.'!AA16)*(1+'Extrapolation average con.'!AA19)</f>
        <v>-19173.004542348182</v>
      </c>
    </row>
    <row r="29" spans="1:27">
      <c r="A29" s="319"/>
      <c r="B29" s="22" t="s">
        <v>189</v>
      </c>
      <c r="C29" s="22">
        <f>C13*(1+'Extrapolation average con.'!C17)*(1+'Extrapolation average con.'!C20)</f>
        <v>-4807.864289215091</v>
      </c>
      <c r="D29" s="22">
        <f>D13*(1+'Extrapolation average con.'!D17)*(1+'Extrapolation average con.'!D20)</f>
        <v>-5075.0615342068377</v>
      </c>
      <c r="E29" s="22">
        <f>E13*(1+'Extrapolation average con.'!E17)*(1+'Extrapolation average con.'!E20)</f>
        <v>-5382.0910042372016</v>
      </c>
      <c r="F29" s="22">
        <f>F13*(1+'Extrapolation average con.'!F17)*(1+'Extrapolation average con.'!F20)</f>
        <v>-5762.1092095656841</v>
      </c>
      <c r="G29" s="22">
        <f>G13*(1+'Extrapolation average con.'!G17)*(1+'Extrapolation average con.'!G20)</f>
        <v>-6260.924655678672</v>
      </c>
      <c r="H29" s="22">
        <f>H13*(1+'Extrapolation average con.'!H17)*(1+'Extrapolation average con.'!H20)</f>
        <v>-6740.5453618518814</v>
      </c>
      <c r="I29" s="22">
        <f>I13*(1+'Extrapolation average con.'!I17)*(1+'Extrapolation average con.'!I20)</f>
        <v>-7164.0198904780264</v>
      </c>
      <c r="J29" s="22">
        <f>J13*(1+'Extrapolation average con.'!J17)*(1+'Extrapolation average con.'!J20)</f>
        <v>-7644.1237249053684</v>
      </c>
      <c r="K29" s="22">
        <f>K13*(1+'Extrapolation average con.'!K17)*(1+'Extrapolation average con.'!K20)</f>
        <v>-8288.5962058895075</v>
      </c>
      <c r="L29" s="22">
        <f>L13*(1+'Extrapolation average con.'!L17)*(1+'Extrapolation average con.'!L20)</f>
        <v>-8864.9755093636868</v>
      </c>
      <c r="M29" s="22">
        <f>M13*(1+'Extrapolation average con.'!M17)*(1+'Extrapolation average con.'!M20)</f>
        <v>-9411.7748895131226</v>
      </c>
      <c r="N29" s="22">
        <f>N13*(1+'Extrapolation average con.'!N17)*(1+'Extrapolation average con.'!N20)</f>
        <v>-9942.0159553843569</v>
      </c>
      <c r="O29" s="22">
        <f>O13*(1+'Extrapolation average con.'!O17)*(1+'Extrapolation average con.'!O20)</f>
        <v>-10495.300279194384</v>
      </c>
      <c r="P29" s="22">
        <f>P13*(1+'Extrapolation average con.'!P17)*(1+'Extrapolation average con.'!P20)</f>
        <v>-11082.147864324103</v>
      </c>
      <c r="Q29" s="22">
        <f>Q13*(1+'Extrapolation average con.'!Q17)*(1+'Extrapolation average con.'!Q20)</f>
        <v>-11710.029204120754</v>
      </c>
      <c r="R29" s="22">
        <f>R13*(1+'Extrapolation average con.'!R17)*(1+'Extrapolation average con.'!R20)</f>
        <v>-12385.705354219614</v>
      </c>
      <c r="S29" s="22">
        <f>S13*(1+'Extrapolation average con.'!S17)*(1+'Extrapolation average con.'!S20)</f>
        <v>-13112.365504247344</v>
      </c>
      <c r="T29" s="22">
        <f>T13*(1+'Extrapolation average con.'!T17)*(1+'Extrapolation average con.'!T20)</f>
        <v>-13880.883467219814</v>
      </c>
      <c r="U29" s="22">
        <f>U13*(1+'Extrapolation average con.'!U17)*(1+'Extrapolation average con.'!U20)</f>
        <v>-14694.687739744377</v>
      </c>
      <c r="V29" s="22">
        <f>V13*(1+'Extrapolation average con.'!V17)*(1+'Extrapolation average con.'!V20)</f>
        <v>-15589.652712161653</v>
      </c>
      <c r="W29" s="22">
        <f>W13*(1+'Extrapolation average con.'!W17)*(1+'Extrapolation average con.'!W20)</f>
        <v>-16565.930001690802</v>
      </c>
      <c r="X29" s="22">
        <f>X13*(1+'Extrapolation average con.'!X17)*(1+'Extrapolation average con.'!X20)</f>
        <v>-17645.18090783013</v>
      </c>
      <c r="Y29" s="22">
        <f>Y13*(1+'Extrapolation average con.'!Y17)*(1+'Extrapolation average con.'!Y20)</f>
        <v>-18870.596731822618</v>
      </c>
      <c r="Z29" s="22">
        <f>Z13*(1+'Extrapolation average con.'!Z17)*(1+'Extrapolation average con.'!Z20)</f>
        <v>-20207.236517121266</v>
      </c>
      <c r="AA29" s="22">
        <f>AA13*(1+'Extrapolation average con.'!AA17)*(1+'Extrapolation average con.'!AA20)</f>
        <v>-21735.050498276596</v>
      </c>
    </row>
    <row r="30" spans="1:27">
      <c r="A30" s="319"/>
      <c r="B30" s="22"/>
      <c r="C30" s="22">
        <f>C14*(1+'Extrapolation average con.'!C18)*(1+'Extrapolation average con.'!C21)</f>
        <v>0</v>
      </c>
      <c r="D30" s="22">
        <f>D14*(1+'Extrapolation average con.'!D18)*(1+'Extrapolation average con.'!D21)</f>
        <v>0</v>
      </c>
      <c r="E30" s="22">
        <f>E14*(1+'Extrapolation average con.'!E18)*(1+'Extrapolation average con.'!E21)</f>
        <v>0</v>
      </c>
      <c r="F30" s="22">
        <f>F14*(1+'Extrapolation average con.'!F18)*(1+'Extrapolation average con.'!F21)</f>
        <v>0</v>
      </c>
      <c r="G30" s="22">
        <f>G14*(1+'Extrapolation average con.'!G18)*(1+'Extrapolation average con.'!G21)</f>
        <v>0</v>
      </c>
      <c r="H30" s="22">
        <f>H14*(1+'Extrapolation average con.'!H18)*(1+'Extrapolation average con.'!H21)</f>
        <v>0</v>
      </c>
      <c r="I30" s="22">
        <f>I14*(1+'Extrapolation average con.'!I18)*(1+'Extrapolation average con.'!I21)</f>
        <v>0</v>
      </c>
      <c r="J30" s="22">
        <f>J14*(1+'Extrapolation average con.'!J18)*(1+'Extrapolation average con.'!J21)</f>
        <v>0</v>
      </c>
      <c r="K30" s="22">
        <f>K14*(1+'Extrapolation average con.'!K18)*(1+'Extrapolation average con.'!K21)</f>
        <v>0</v>
      </c>
      <c r="L30" s="22">
        <f>L14*(1+'Extrapolation average con.'!L18)*(1+'Extrapolation average con.'!L21)</f>
        <v>0</v>
      </c>
      <c r="M30" s="22">
        <f>M14*(1+'Extrapolation average con.'!M18)*(1+'Extrapolation average con.'!M21)</f>
        <v>0</v>
      </c>
      <c r="N30" s="22">
        <f>N14*(1+'Extrapolation average con.'!N18)*(1+'Extrapolation average con.'!N21)</f>
        <v>0</v>
      </c>
      <c r="O30" s="22">
        <f>O14*(1+'Extrapolation average con.'!O18)*(1+'Extrapolation average con.'!O21)</f>
        <v>0</v>
      </c>
      <c r="P30" s="22">
        <f>P14*(1+'Extrapolation average con.'!P18)*(1+'Extrapolation average con.'!P21)</f>
        <v>0</v>
      </c>
      <c r="Q30" s="22">
        <f>Q14*(1+'Extrapolation average con.'!Q18)*(1+'Extrapolation average con.'!Q21)</f>
        <v>0</v>
      </c>
      <c r="R30" s="22">
        <f>R14*(1+'Extrapolation average con.'!R18)*(1+'Extrapolation average con.'!R21)</f>
        <v>0</v>
      </c>
      <c r="S30" s="22">
        <f>S14*(1+'Extrapolation average con.'!S18)*(1+'Extrapolation average con.'!S21)</f>
        <v>0</v>
      </c>
      <c r="T30" s="22">
        <f>T14*(1+'Extrapolation average con.'!T18)*(1+'Extrapolation average con.'!T21)</f>
        <v>0</v>
      </c>
      <c r="U30" s="22">
        <f>U14*(1+'Extrapolation average con.'!U18)*(1+'Extrapolation average con.'!U21)</f>
        <v>0</v>
      </c>
      <c r="V30" s="22">
        <f>V14*(1+'Extrapolation average con.'!V18)*(1+'Extrapolation average con.'!V21)</f>
        <v>0</v>
      </c>
      <c r="W30" s="22">
        <f>W14*(1+'Extrapolation average con.'!W18)*(1+'Extrapolation average con.'!W21)</f>
        <v>0</v>
      </c>
      <c r="X30" s="22">
        <f>X14*(1+'Extrapolation average con.'!X18)*(1+'Extrapolation average con.'!X21)</f>
        <v>0</v>
      </c>
      <c r="Y30" s="22">
        <f>Y14*(1+'Extrapolation average con.'!Y18)*(1+'Extrapolation average con.'!Y21)</f>
        <v>0</v>
      </c>
      <c r="Z30" s="22">
        <f>Z14*(1+'Extrapolation average con.'!Z18)*(1+'Extrapolation average con.'!Z21)</f>
        <v>0</v>
      </c>
      <c r="AA30" s="22">
        <f>AA14*(1+'Extrapolation average con.'!AA18)*(1+'Extrapolation average con.'!AA21)</f>
        <v>0</v>
      </c>
    </row>
    <row r="31" spans="1:27">
      <c r="A31" s="21"/>
      <c r="B31" s="22"/>
      <c r="C31" s="22"/>
      <c r="D31" s="22"/>
      <c r="E31" s="22"/>
      <c r="F31" s="22"/>
      <c r="G31" s="22"/>
      <c r="H31" s="22"/>
      <c r="I31" s="22"/>
      <c r="J31" s="22"/>
      <c r="K31" s="22"/>
      <c r="L31" s="22"/>
      <c r="M31" s="22"/>
      <c r="N31" s="22"/>
      <c r="O31" s="22"/>
      <c r="P31" s="22"/>
      <c r="Q31" s="22"/>
      <c r="R31" s="22"/>
      <c r="S31" s="22"/>
      <c r="T31" s="22"/>
      <c r="U31" s="22"/>
      <c r="V31" s="22"/>
      <c r="W31" s="22"/>
      <c r="X31" s="22"/>
      <c r="Y31" s="22"/>
      <c r="Z31" s="22"/>
      <c r="AA31" s="22"/>
    </row>
    <row r="32" spans="1:27">
      <c r="A32" s="21"/>
      <c r="B32" s="22"/>
      <c r="C32" s="22"/>
      <c r="D32" s="22"/>
      <c r="E32" s="22"/>
      <c r="F32" s="22"/>
      <c r="G32" s="22"/>
      <c r="H32" s="22"/>
      <c r="I32" s="22"/>
      <c r="J32" s="22"/>
      <c r="K32" s="22"/>
      <c r="L32" s="22"/>
      <c r="M32" s="22"/>
      <c r="N32" s="22"/>
      <c r="O32" s="22"/>
      <c r="P32" s="22"/>
      <c r="Q32" s="22"/>
      <c r="R32" s="22"/>
      <c r="S32" s="22"/>
      <c r="T32" s="22"/>
      <c r="U32" s="22"/>
      <c r="V32" s="22"/>
      <c r="W32" s="22"/>
      <c r="X32" s="22"/>
      <c r="Y32" s="22"/>
      <c r="Z32" s="22"/>
      <c r="AA32" s="22"/>
    </row>
    <row r="33" spans="1:27">
      <c r="A33" s="21" t="s">
        <v>107</v>
      </c>
      <c r="B33" s="22"/>
      <c r="C33" s="22">
        <f>SUM(C25:C27)/(1+Parameters_Results!$D$12)^('Expected flows'!C$8-'Expected flows'!$C$8)</f>
        <v>0.28932073846666662</v>
      </c>
      <c r="D33" s="22">
        <f>SUM(D25:D27)/(1+Parameters_Results!$D$12)^('Expected flows'!D$8-'Expected flows'!$C$8)</f>
        <v>881.12130020396228</v>
      </c>
      <c r="E33" s="22">
        <f>SUM(E25:E27)/(1+Parameters_Results!$D$12)^('Expected flows'!E$8-'Expected flows'!$C$8)</f>
        <v>868.7169013296101</v>
      </c>
      <c r="F33" s="22">
        <f>SUM(F25:F27)/(1+Parameters_Results!$D$12)^('Expected flows'!F$8-'Expected flows'!$C$8)</f>
        <v>1274.7379729106913</v>
      </c>
      <c r="G33" s="22">
        <f>SUM(G25:G27)/(1+Parameters_Results!$D$12)^('Expected flows'!G$8-'Expected flows'!$C$8)</f>
        <v>87.912735318617848</v>
      </c>
      <c r="H33" s="22">
        <f>SUM(H25:H27)/(1+Parameters_Results!$D$12)^('Expected flows'!H$8-'Expected flows'!$C$8)</f>
        <v>49.516837241102792</v>
      </c>
      <c r="I33" s="22">
        <f>SUM(I25:I27)/(1+Parameters_Results!$D$12)^('Expected flows'!I$8-'Expected flows'!$C$8)</f>
        <v>2.4082670318533448</v>
      </c>
      <c r="J33" s="22">
        <f>SUM(J25:J27)/(1+Parameters_Results!$D$12)^('Expected flows'!J$8-'Expected flows'!$C$8)</f>
        <v>2.3781417492879444</v>
      </c>
      <c r="K33" s="22">
        <f>SUM(K25:K27)/(1+Parameters_Results!$D$12)^('Expected flows'!K$8-'Expected flows'!$C$8)</f>
        <v>2.3491732430345547</v>
      </c>
      <c r="L33" s="22">
        <f>SUM(L25:L27)/(1+Parameters_Results!$D$12)^('Expected flows'!L$8-'Expected flows'!$C$8)</f>
        <v>36.080639400199146</v>
      </c>
      <c r="M33" s="22">
        <f>SUM(M25:M27)/(1+Parameters_Results!$D$12)^('Expected flows'!M$8-'Expected flows'!$C$8)</f>
        <v>37.501815988874554</v>
      </c>
      <c r="N33" s="22">
        <f>SUM(N25:N27)/(1+Parameters_Results!$D$12)^('Expected flows'!N$8-'Expected flows'!$C$8)</f>
        <v>2.2472122653038573</v>
      </c>
      <c r="O33" s="22">
        <f>SUM(O25:O27)/(1+Parameters_Results!$D$12)^('Expected flows'!O$8-'Expected flows'!$C$8)</f>
        <v>30.459211603651475</v>
      </c>
      <c r="P33" s="22">
        <f>SUM(P25:P27)/(1+Parameters_Results!$D$12)^('Expected flows'!P$8-'Expected flows'!$C$8)</f>
        <v>31.658555710395913</v>
      </c>
      <c r="Q33" s="22">
        <f>SUM(Q25:Q27)/(1+Parameters_Results!$D$12)^('Expected flows'!Q$8-'Expected flows'!$C$8)</f>
        <v>2.0539603576616496</v>
      </c>
      <c r="R33" s="22">
        <f>SUM(R25:R27)/(1+Parameters_Results!$D$12)^('Expected flows'!R$8-'Expected flows'!$C$8)</f>
        <v>25.740172684820159</v>
      </c>
      <c r="S33" s="22">
        <f>SUM(S25:S27)/(1+Parameters_Results!$D$12)^('Expected flows'!S$8-'Expected flows'!$C$8)</f>
        <v>26.73843135989047</v>
      </c>
      <c r="T33" s="22">
        <f>SUM(T25:T27)/(1+Parameters_Results!$D$12)^('Expected flows'!T$8-'Expected flows'!$C$8)</f>
        <v>348.39119315900575</v>
      </c>
      <c r="U33" s="22">
        <f>SUM(U25:U27)/(1+Parameters_Results!$D$12)^('Expected flows'!U$8-'Expected flows'!$C$8)</f>
        <v>1.8286302456081731</v>
      </c>
      <c r="V33" s="22">
        <f>SUM(V25:V27)/(1+Parameters_Results!$D$12)^('Expected flows'!V$8-'Expected flows'!$C$8)</f>
        <v>1.782022180655392</v>
      </c>
      <c r="W33" s="22">
        <f>SUM(W25:W27)/(1+Parameters_Results!$D$12)^('Expected flows'!W$8-'Expected flows'!$C$8)</f>
        <v>1.737789092418518</v>
      </c>
      <c r="X33" s="22">
        <f>SUM(X25:X27)/(1+Parameters_Results!$D$12)^('Expected flows'!X$8-'Expected flows'!$C$8)</f>
        <v>18.444205966417712</v>
      </c>
      <c r="Y33" s="22">
        <f>SUM(Y25:Y27)/(1+Parameters_Results!$D$12)^('Expected flows'!Y$8-'Expected flows'!$C$8)</f>
        <v>19.143847046637138</v>
      </c>
      <c r="Z33" s="22">
        <f>SUM(Z25:Z27)/(1+Parameters_Results!$D$12)^('Expected flows'!Z$8-'Expected flows'!$C$8)</f>
        <v>1.6178317308823464</v>
      </c>
      <c r="AA33" s="22">
        <f>SUM(AA25:AA27)/(1+Parameters_Results!$D$12)^('Expected flows'!AA$8-'Expected flows'!$C$8)</f>
        <v>-183.31879302288124</v>
      </c>
    </row>
    <row r="34" spans="1:27">
      <c r="A34" s="21" t="s">
        <v>105</v>
      </c>
      <c r="B34" s="22"/>
      <c r="C34" s="22">
        <f>(C28-C29)/(1+Parameters_Results!$D$12)^('Expected flows'!C$8-'Expected flows'!$C$8)</f>
        <v>-3.2084513107874955</v>
      </c>
      <c r="D34" s="22">
        <f>(D28-D29)/(1+Parameters_Results!$D$12)^('Expected flows'!D$8-'Expected flows'!$C$8)</f>
        <v>-5.5496684440409156</v>
      </c>
      <c r="E34" s="22">
        <f>(E28-E29)/(1+Parameters_Results!$D$12)^('Expected flows'!E$8-'Expected flows'!$C$8)</f>
        <v>28.575929743790706</v>
      </c>
      <c r="F34" s="22">
        <f>(F28-F29)/(1+Parameters_Results!$D$12)^('Expected flows'!F$8-'Expected flows'!$C$8)</f>
        <v>55.291938118333334</v>
      </c>
      <c r="G34" s="22">
        <f>(G28-G29)/(1+Parameters_Results!$D$12)^('Expected flows'!G$8-'Expected flows'!$C$8)</f>
        <v>447.48830957907927</v>
      </c>
      <c r="H34" s="22">
        <f>(H28-H29)/(1+Parameters_Results!$D$12)^('Expected flows'!H$8-'Expected flows'!$C$8)</f>
        <v>813.12718459344194</v>
      </c>
      <c r="I34" s="22">
        <f>(I28-I29)/(1+Parameters_Results!$D$12)^('Expected flows'!I$8-'Expected flows'!$C$8)</f>
        <v>843.26794354005972</v>
      </c>
      <c r="J34" s="22">
        <f>(J28-J29)/(1+Parameters_Results!$D$12)^('Expected flows'!J$8-'Expected flows'!$C$8)</f>
        <v>886.6985261568617</v>
      </c>
      <c r="K34" s="22">
        <f>(K28-K29)/(1+Parameters_Results!$D$12)^('Expected flows'!K$8-'Expected flows'!$C$8)</f>
        <v>577.85928447581398</v>
      </c>
      <c r="L34" s="22">
        <f>(L28-L29)/(1+Parameters_Results!$D$12)^('Expected flows'!L$8-'Expected flows'!$C$8)</f>
        <v>632.81216482798516</v>
      </c>
      <c r="M34" s="22">
        <f>(M28-M29)/(1+Parameters_Results!$D$12)^('Expected flows'!M$8-'Expected flows'!$C$8)</f>
        <v>663.39891850104084</v>
      </c>
      <c r="N34" s="22">
        <f>(N28-N29)/(1+Parameters_Results!$D$12)^('Expected flows'!N$8-'Expected flows'!$C$8)</f>
        <v>669.52563386508655</v>
      </c>
      <c r="O34" s="22">
        <f>(O28-O29)/(1+Parameters_Results!$D$12)^('Expected flows'!O$8-'Expected flows'!$C$8)</f>
        <v>670.09175745453626</v>
      </c>
      <c r="P34" s="22">
        <f>(P28-P29)/(1+Parameters_Results!$D$12)^('Expected flows'!P$8-'Expected flows'!$C$8)</f>
        <v>666.35663336838729</v>
      </c>
      <c r="Q34" s="22">
        <f>(Q28-Q29)/(1+Parameters_Results!$D$12)^('Expected flows'!Q$8-'Expected flows'!$C$8)</f>
        <v>663.19639509196134</v>
      </c>
      <c r="R34" s="22">
        <f>(R28-R29)/(1+Parameters_Results!$D$12)^('Expected flows'!R$8-'Expected flows'!$C$8)</f>
        <v>657.00482811442998</v>
      </c>
      <c r="S34" s="22">
        <f>(S28-S29)/(1+Parameters_Results!$D$12)^('Expected flows'!S$8-'Expected flows'!$C$8)</f>
        <v>646.49414262214157</v>
      </c>
      <c r="T34" s="22">
        <f>(T28-T29)/(1+Parameters_Results!$D$12)^('Expected flows'!T$8-'Expected flows'!$C$8)</f>
        <v>633.15502287615186</v>
      </c>
      <c r="U34" s="22">
        <f>(U28-U29)/(1+Parameters_Results!$D$12)^('Expected flows'!U$8-'Expected flows'!$C$8)</f>
        <v>613.6549843034752</v>
      </c>
      <c r="V34" s="22">
        <f>(V28-V29)/(1+Parameters_Results!$D$12)^('Expected flows'!V$8-'Expected flows'!$C$8)</f>
        <v>589.65262194554168</v>
      </c>
      <c r="W34" s="22">
        <f>(W28-W29)/(1+Parameters_Results!$D$12)^('Expected flows'!W$8-'Expected flows'!$C$8)</f>
        <v>569.42516724308462</v>
      </c>
      <c r="X34" s="22">
        <f>(X28-X29)/(1+Parameters_Results!$D$12)^('Expected flows'!X$8-'Expected flows'!$C$8)</f>
        <v>558.93864928024311</v>
      </c>
      <c r="Y34" s="22">
        <f>(Y28-Y29)/(1+Parameters_Results!$D$12)^('Expected flows'!Y$8-'Expected flows'!$C$8)</f>
        <v>564.16392824021807</v>
      </c>
      <c r="Z34" s="22">
        <f>(Z28-Z29)/(1+Parameters_Results!$D$12)^('Expected flows'!Z$8-'Expected flows'!$C$8)</f>
        <v>595.02519510477248</v>
      </c>
      <c r="AA34" s="22">
        <f>(AA28-AA29)/(1+Parameters_Results!$D$12)^('Expected flows'!AA$8-'Expected flows'!$C$8)</f>
        <v>632.77039096052533</v>
      </c>
    </row>
    <row r="35" spans="1:27">
      <c r="A35" s="21"/>
      <c r="B35" s="22"/>
      <c r="C35" s="22"/>
      <c r="D35" s="22"/>
      <c r="E35" s="22"/>
      <c r="F35" s="22"/>
      <c r="G35" s="22"/>
      <c r="H35" s="22"/>
      <c r="I35" s="22"/>
      <c r="J35" s="22"/>
      <c r="K35" s="22"/>
      <c r="L35" s="22"/>
      <c r="M35" s="22"/>
      <c r="N35" s="22"/>
      <c r="O35" s="22"/>
      <c r="P35" s="22"/>
      <c r="Q35" s="22"/>
      <c r="R35" s="22"/>
      <c r="S35" s="22"/>
      <c r="T35" s="22"/>
      <c r="U35" s="22"/>
      <c r="V35" s="22"/>
      <c r="W35" s="22"/>
      <c r="X35" s="22"/>
      <c r="Y35" s="22"/>
      <c r="Z35" s="22"/>
      <c r="AA35" s="22"/>
    </row>
    <row r="36" spans="1:27">
      <c r="A36" s="140" t="s">
        <v>52</v>
      </c>
      <c r="B36" s="55"/>
      <c r="C36" s="138">
        <f>SUM(C34:XW34)-SUM(C33:XW33)</f>
        <v>10097.680054715966</v>
      </c>
      <c r="D36" s="22"/>
      <c r="E36" s="17" t="s">
        <v>26</v>
      </c>
      <c r="F36" s="22"/>
      <c r="G36" s="22">
        <f>SUM(C33:XW33)</f>
        <v>3571.5373755361679</v>
      </c>
      <c r="H36" s="22"/>
      <c r="I36" s="22"/>
      <c r="J36" s="22"/>
      <c r="K36" s="22"/>
      <c r="L36" s="22"/>
      <c r="M36" s="22"/>
      <c r="N36" s="22"/>
      <c r="O36" s="22"/>
      <c r="P36" s="22"/>
      <c r="Q36" s="22"/>
      <c r="R36" s="22"/>
      <c r="S36" s="22"/>
      <c r="T36" s="22"/>
      <c r="U36" s="22"/>
      <c r="V36" s="22"/>
      <c r="W36" s="22"/>
      <c r="X36" s="22"/>
      <c r="Y36" s="22"/>
      <c r="Z36" s="22"/>
      <c r="AA36" s="22"/>
    </row>
    <row r="37" spans="1:27" ht="15" thickBot="1">
      <c r="A37" s="141" t="s">
        <v>53</v>
      </c>
      <c r="B37" s="72"/>
      <c r="C37" s="139">
        <f>SUM(C34:XW34)/SUM(C33:XW33)</f>
        <v>3.8272642822896614</v>
      </c>
      <c r="D37" s="34"/>
      <c r="E37" s="34" t="s">
        <v>27</v>
      </c>
      <c r="F37" s="34"/>
      <c r="G37" s="34">
        <f>SUM(C34:XW34)</f>
        <v>13669.217430252133</v>
      </c>
      <c r="H37" s="34"/>
      <c r="I37" s="34"/>
      <c r="J37" s="34"/>
      <c r="K37" s="34"/>
      <c r="L37" s="34"/>
      <c r="M37" s="34"/>
      <c r="N37" s="34"/>
      <c r="O37" s="34"/>
      <c r="P37" s="34"/>
      <c r="Q37" s="34"/>
      <c r="R37" s="34"/>
      <c r="S37" s="34"/>
      <c r="T37" s="34"/>
      <c r="U37" s="34"/>
      <c r="V37" s="34"/>
      <c r="W37" s="34"/>
      <c r="X37" s="34"/>
      <c r="Y37" s="34"/>
      <c r="Z37" s="34"/>
      <c r="AA37" s="34"/>
    </row>
    <row r="38" spans="1:27" ht="15" thickBot="1">
      <c r="A38" s="10"/>
    </row>
    <row r="39" spans="1:27" s="12" customFormat="1">
      <c r="A39" s="148" t="s">
        <v>104</v>
      </c>
      <c r="B39" s="147"/>
      <c r="C39" s="147"/>
      <c r="D39" s="147"/>
      <c r="E39" s="147"/>
      <c r="F39" s="147"/>
      <c r="G39" s="147"/>
      <c r="H39" s="147"/>
      <c r="I39" s="147"/>
      <c r="J39" s="147"/>
      <c r="K39" s="147"/>
      <c r="L39" s="147"/>
      <c r="M39" s="147"/>
      <c r="N39" s="147"/>
      <c r="O39" s="147"/>
      <c r="P39" s="147"/>
      <c r="Q39" s="147"/>
      <c r="R39" s="147"/>
      <c r="S39" s="147"/>
      <c r="T39" s="147"/>
      <c r="U39" s="147"/>
      <c r="V39" s="147"/>
      <c r="W39" s="147"/>
      <c r="X39" s="147"/>
      <c r="Y39" s="147"/>
      <c r="Z39" s="147"/>
      <c r="AA39" s="147"/>
    </row>
    <row r="40" spans="1:27">
      <c r="A40" s="21" t="s">
        <v>3</v>
      </c>
      <c r="B40" s="22"/>
      <c r="C40" s="22">
        <f>Parameters_Results!$D$10+COLUMN()-2</f>
        <v>2019</v>
      </c>
      <c r="D40" s="22">
        <f>Parameters_Results!$D$10+COLUMN()-2</f>
        <v>2020</v>
      </c>
      <c r="E40" s="22">
        <f>Parameters_Results!$D$10+COLUMN()-2</f>
        <v>2021</v>
      </c>
      <c r="F40" s="22">
        <f>Parameters_Results!$D$10+COLUMN()-2</f>
        <v>2022</v>
      </c>
      <c r="G40" s="22">
        <f>Parameters_Results!$D$10+COLUMN()-2</f>
        <v>2023</v>
      </c>
      <c r="H40" s="22">
        <f>Parameters_Results!$D$10+COLUMN()-2</f>
        <v>2024</v>
      </c>
      <c r="I40" s="22">
        <f>Parameters_Results!$D$10+COLUMN()-2</f>
        <v>2025</v>
      </c>
      <c r="J40" s="22">
        <f>Parameters_Results!$D$10+COLUMN()-2</f>
        <v>2026</v>
      </c>
      <c r="K40" s="22">
        <f>Parameters_Results!$D$10+COLUMN()-2</f>
        <v>2027</v>
      </c>
      <c r="L40" s="22">
        <f>Parameters_Results!$D$10+COLUMN()-2</f>
        <v>2028</v>
      </c>
      <c r="M40" s="22">
        <f>Parameters_Results!$D$10+COLUMN()-2</f>
        <v>2029</v>
      </c>
      <c r="N40" s="22">
        <f>Parameters_Results!$D$10+COLUMN()-2</f>
        <v>2030</v>
      </c>
      <c r="O40" s="22">
        <f>Parameters_Results!$D$10+COLUMN()-2</f>
        <v>2031</v>
      </c>
      <c r="P40" s="22">
        <f>Parameters_Results!$D$10+COLUMN()-2</f>
        <v>2032</v>
      </c>
      <c r="Q40" s="22">
        <f>Parameters_Results!$D$10+COLUMN()-2</f>
        <v>2033</v>
      </c>
      <c r="R40" s="22">
        <f>Parameters_Results!$D$10+COLUMN()-2</f>
        <v>2034</v>
      </c>
      <c r="S40" s="22">
        <f>Parameters_Results!$D$10+COLUMN()-2</f>
        <v>2035</v>
      </c>
      <c r="T40" s="22">
        <f>Parameters_Results!$D$10+COLUMN()-2</f>
        <v>2036</v>
      </c>
      <c r="U40" s="22">
        <f>Parameters_Results!$D$10+COLUMN()-2</f>
        <v>2037</v>
      </c>
      <c r="V40" s="22">
        <f>Parameters_Results!$D$10+COLUMN()-2</f>
        <v>2038</v>
      </c>
      <c r="W40" s="22">
        <f>Parameters_Results!$D$10+COLUMN()-2</f>
        <v>2039</v>
      </c>
      <c r="X40" s="22">
        <f>Parameters_Results!$D$10+COLUMN()-2</f>
        <v>2040</v>
      </c>
      <c r="Y40" s="22">
        <f>Parameters_Results!$D$10+COLUMN()-2</f>
        <v>2041</v>
      </c>
      <c r="Z40" s="22">
        <f>Parameters_Results!$D$10+COLUMN()-2</f>
        <v>2042</v>
      </c>
      <c r="AA40" s="22">
        <f>Parameters_Results!$D$10+COLUMN()-2</f>
        <v>2043</v>
      </c>
    </row>
    <row r="41" spans="1:27">
      <c r="A41" s="319" t="s">
        <v>0</v>
      </c>
      <c r="B41" s="22" t="s">
        <v>25</v>
      </c>
      <c r="C41" s="22">
        <f>C25+'Extrapolation disasters'!D71+'Extrapolation disasters'!AF71+'Extrapolation disasters'!BH71</f>
        <v>117.01502311380005</v>
      </c>
      <c r="D41" s="43">
        <f>D25+'Extrapolation disasters'!E71+'Extrapolation disasters'!AG71+'Extrapolation disasters'!BI71</f>
        <v>1063.0054897776001</v>
      </c>
      <c r="E41" s="43">
        <f>E25+'Extrapolation disasters'!F71+'Extrapolation disasters'!AH71+'Extrapolation disasters'!BJ71</f>
        <v>1117.0979884414003</v>
      </c>
      <c r="F41" s="43">
        <f>F25+'Extrapolation disasters'!G71+'Extrapolation disasters'!AI71+'Extrapolation disasters'!BK71</f>
        <v>1611.8591271052003</v>
      </c>
      <c r="G41" s="43">
        <f>G25+'Extrapolation disasters'!H71+'Extrapolation disasters'!AJ71+'Extrapolation disasters'!BL71</f>
        <v>225.53154576900005</v>
      </c>
      <c r="H41" s="43">
        <f>H25+'Extrapolation disasters'!I71+'Extrapolation disasters'!AK71+'Extrapolation disasters'!BM71</f>
        <v>244.56112643280005</v>
      </c>
      <c r="I41" s="43">
        <f>I25+'Extrapolation disasters'!J71+'Extrapolation disasters'!AL71+'Extrapolation disasters'!BN71</f>
        <v>194.46980709660005</v>
      </c>
      <c r="J41" s="43">
        <f>J25+'Extrapolation disasters'!K71+'Extrapolation disasters'!AM71+'Extrapolation disasters'!BO71</f>
        <v>207.37893776040011</v>
      </c>
      <c r="K41" s="43">
        <f>K25+'Extrapolation disasters'!L71+'Extrapolation disasters'!AN71+'Extrapolation disasters'!BP71</f>
        <v>220.28806842420011</v>
      </c>
      <c r="L41" s="43">
        <f>L25+'Extrapolation disasters'!M71+'Extrapolation disasters'!AO71+'Extrapolation disasters'!BQ71</f>
        <v>290.07719908800004</v>
      </c>
      <c r="M41" s="22">
        <f>M25+'Extrapolation disasters'!N71+'Extrapolation disasters'!AP71+'Extrapolation disasters'!BR71</f>
        <v>321.1830632760001</v>
      </c>
      <c r="N41" s="22">
        <f>N25+'Extrapolation disasters'!O71+'Extrapolation disasters'!AQ71+'Extrapolation disasters'!BS71</f>
        <v>258.1826132760001</v>
      </c>
      <c r="O41" s="22">
        <f>O25+'Extrapolation disasters'!P71+'Extrapolation disasters'!AR71+'Extrapolation disasters'!BT71</f>
        <v>315.06261327600009</v>
      </c>
      <c r="P41" s="22">
        <f>P25+'Extrapolation disasters'!Q71+'Extrapolation disasters'!AS71+'Extrapolation disasters'!BU71</f>
        <v>321.1830632760001</v>
      </c>
      <c r="Q41" s="22">
        <f>Q25+'Extrapolation disasters'!R71+'Extrapolation disasters'!AT71+'Extrapolation disasters'!BV71</f>
        <v>258.1826132760001</v>
      </c>
      <c r="R41" s="22">
        <f>R25+'Extrapolation disasters'!S71+'Extrapolation disasters'!AU71+'Extrapolation disasters'!BW71</f>
        <v>315.06261327600009</v>
      </c>
      <c r="S41" s="22">
        <f>S25+'Extrapolation disasters'!T71+'Extrapolation disasters'!AV71+'Extrapolation disasters'!BX71</f>
        <v>321.1830632760001</v>
      </c>
      <c r="T41" s="22">
        <f>T25+'Extrapolation disasters'!U71+'Extrapolation disasters'!AW71+'Extrapolation disasters'!BY71</f>
        <v>1191.2639492760002</v>
      </c>
      <c r="U41" s="22">
        <f>U25+'Extrapolation disasters'!V71+'Extrapolation disasters'!AX71+'Extrapolation disasters'!BZ71</f>
        <v>258.1826132760001</v>
      </c>
      <c r="V41" s="22">
        <f>V25+'Extrapolation disasters'!W71+'Extrapolation disasters'!AY71+'Extrapolation disasters'!CA71</f>
        <v>258.1826132760001</v>
      </c>
      <c r="W41" s="22">
        <f>W25+'Extrapolation disasters'!X71+'Extrapolation disasters'!AZ71+'Extrapolation disasters'!CB71</f>
        <v>258.1826132760001</v>
      </c>
      <c r="X41" s="22">
        <f>X25+'Extrapolation disasters'!Y71+'Extrapolation disasters'!BA71+'Extrapolation disasters'!CC71</f>
        <v>315.06261327600009</v>
      </c>
      <c r="Y41" s="22">
        <f>Y25+'Extrapolation disasters'!Z71+'Extrapolation disasters'!BB71+'Extrapolation disasters'!CD71</f>
        <v>321.1830632760001</v>
      </c>
      <c r="Z41" s="22">
        <f>Z25+'Extrapolation disasters'!AA71+'Extrapolation disasters'!BC71+'Extrapolation disasters'!CE71</f>
        <v>258.1826132760001</v>
      </c>
      <c r="AA41" s="22">
        <f>AA25+'Extrapolation disasters'!AB71+'Extrapolation disasters'!BD71+'Extrapolation disasters'!CF71</f>
        <v>-490.46741872399986</v>
      </c>
    </row>
    <row r="42" spans="1:27">
      <c r="A42" s="319"/>
      <c r="B42" s="22" t="s">
        <v>190</v>
      </c>
      <c r="C42" s="22">
        <f>C26</f>
        <v>0.14442006961666667</v>
      </c>
      <c r="D42" s="43">
        <f t="shared" ref="D42:AA42" si="0">D26</f>
        <v>0</v>
      </c>
      <c r="E42" s="43">
        <f t="shared" si="0"/>
        <v>0</v>
      </c>
      <c r="F42" s="43">
        <f t="shared" si="0"/>
        <v>59.545895679999994</v>
      </c>
      <c r="G42" s="43">
        <f t="shared" si="0"/>
        <v>51.041394708333328</v>
      </c>
      <c r="H42" s="43">
        <f t="shared" si="0"/>
        <v>0</v>
      </c>
      <c r="I42" s="43">
        <f t="shared" si="0"/>
        <v>0</v>
      </c>
      <c r="J42" s="43">
        <f t="shared" si="0"/>
        <v>0</v>
      </c>
      <c r="K42" s="43">
        <f t="shared" si="0"/>
        <v>0</v>
      </c>
      <c r="L42" s="43">
        <f t="shared" si="0"/>
        <v>0.155655347</v>
      </c>
      <c r="M42" s="22">
        <f t="shared" si="0"/>
        <v>7.7751121690000008E-2</v>
      </c>
      <c r="N42" s="22">
        <f t="shared" si="0"/>
        <v>0</v>
      </c>
      <c r="O42" s="22">
        <f t="shared" si="0"/>
        <v>0</v>
      </c>
      <c r="P42" s="22">
        <f t="shared" si="0"/>
        <v>0</v>
      </c>
      <c r="Q42" s="22">
        <f t="shared" si="0"/>
        <v>0</v>
      </c>
      <c r="R42" s="22">
        <f t="shared" si="0"/>
        <v>3.8553437866666658E-2</v>
      </c>
      <c r="S42" s="22">
        <f t="shared" si="0"/>
        <v>1.8220290949999999E-2</v>
      </c>
      <c r="T42" s="22">
        <f t="shared" si="0"/>
        <v>0</v>
      </c>
      <c r="U42" s="22">
        <f t="shared" si="0"/>
        <v>0</v>
      </c>
      <c r="V42" s="22">
        <f t="shared" si="0"/>
        <v>0</v>
      </c>
      <c r="W42" s="22">
        <f t="shared" si="0"/>
        <v>0</v>
      </c>
      <c r="X42" s="22">
        <f t="shared" si="0"/>
        <v>5.7397863599999994E-2</v>
      </c>
      <c r="Y42" s="22">
        <f t="shared" si="0"/>
        <v>1.8327294290000001E-2</v>
      </c>
      <c r="Z42" s="22">
        <f t="shared" si="0"/>
        <v>0</v>
      </c>
      <c r="AA42" s="22">
        <f t="shared" si="0"/>
        <v>0</v>
      </c>
    </row>
    <row r="43" spans="1:27">
      <c r="A43" s="319"/>
      <c r="B43" s="22" t="s">
        <v>191</v>
      </c>
      <c r="C43" s="22">
        <f>C27</f>
        <v>0.14490066884999997</v>
      </c>
      <c r="D43" s="22">
        <f t="shared" ref="D43:AA43" si="1">D27</f>
        <v>0.90724221620000012</v>
      </c>
      <c r="E43" s="22">
        <f t="shared" si="1"/>
        <v>1.8256063339499997</v>
      </c>
      <c r="F43" s="22">
        <f t="shared" si="1"/>
        <v>2.5707138642</v>
      </c>
      <c r="G43" s="22">
        <f t="shared" si="1"/>
        <v>3.0664081219999999</v>
      </c>
      <c r="H43" s="22">
        <f t="shared" si="1"/>
        <v>3.2642481178999998</v>
      </c>
      <c r="I43" s="22">
        <f t="shared" si="1"/>
        <v>3.4161728121000001</v>
      </c>
      <c r="J43" s="22">
        <f t="shared" si="1"/>
        <v>3.5758458944</v>
      </c>
      <c r="K43" s="22">
        <f t="shared" si="1"/>
        <v>3.7442252501499995</v>
      </c>
      <c r="L43" s="22">
        <f t="shared" si="1"/>
        <v>3.9218257470000002</v>
      </c>
      <c r="M43" s="22">
        <f t="shared" si="1"/>
        <v>4.0818396581599998</v>
      </c>
      <c r="N43" s="22">
        <f t="shared" si="1"/>
        <v>4.2658798034999998</v>
      </c>
      <c r="O43" s="22">
        <f t="shared" si="1"/>
        <v>4.4099181237600007</v>
      </c>
      <c r="P43" s="22">
        <f t="shared" si="1"/>
        <v>4.5249781501000017</v>
      </c>
      <c r="Q43" s="22">
        <f t="shared" si="1"/>
        <v>4.6438070975999999</v>
      </c>
      <c r="R43" s="22">
        <f t="shared" si="1"/>
        <v>4.7692683017400004</v>
      </c>
      <c r="S43" s="22">
        <f t="shared" si="1"/>
        <v>4.9063488600000005</v>
      </c>
      <c r="T43" s="22">
        <f t="shared" si="1"/>
        <v>5.0569877394000002</v>
      </c>
      <c r="U43" s="22">
        <f t="shared" si="1"/>
        <v>5.2195309062400002</v>
      </c>
      <c r="V43" s="22">
        <f t="shared" si="1"/>
        <v>5.3916854225000002</v>
      </c>
      <c r="W43" s="22">
        <f t="shared" si="1"/>
        <v>5.5733250415200004</v>
      </c>
      <c r="X43" s="22">
        <f t="shared" si="1"/>
        <v>5.7648533807999991</v>
      </c>
      <c r="Y43" s="22">
        <f t="shared" si="1"/>
        <v>5.9667918355199996</v>
      </c>
      <c r="Z43" s="22">
        <f t="shared" si="1"/>
        <v>6.1797122065199988</v>
      </c>
      <c r="AA43" s="22">
        <f t="shared" si="1"/>
        <v>6.4042205343200012</v>
      </c>
    </row>
    <row r="44" spans="1:27">
      <c r="A44" s="319" t="s">
        <v>1</v>
      </c>
      <c r="B44" s="22" t="s">
        <v>188</v>
      </c>
      <c r="C44" s="22">
        <f>C28*(1+'Extrapolation disasters'!D$69+'Extrapolation disasters'!AF$69+'Extrapolation disasters'!BH$69)</f>
        <v>-4312.3568084327544</v>
      </c>
      <c r="D44" s="22">
        <f>D28*(1+'Extrapolation disasters'!E$69+'Extrapolation disasters'!AG$69+'Extrapolation disasters'!BI$69)</f>
        <v>-4495.5567711262602</v>
      </c>
      <c r="E44" s="22">
        <f>E28*(1+'Extrapolation disasters'!F$69+'Extrapolation disasters'!AH$69+'Extrapolation disasters'!BJ$69)</f>
        <v>-4671.7944619877098</v>
      </c>
      <c r="F44" s="22">
        <f>F28*(1+'Extrapolation disasters'!G$69+'Extrapolation disasters'!AI$69+'Extrapolation disasters'!BK$69)</f>
        <v>-4908.3670272463924</v>
      </c>
      <c r="G44" s="22">
        <f>G28*(1+'Extrapolation disasters'!H$69+'Extrapolation disasters'!AJ$69+'Extrapolation disasters'!BL$69)</f>
        <v>-4842.3286757672759</v>
      </c>
      <c r="H44" s="22">
        <f>H28*(1+'Extrapolation disasters'!I$69+'Extrapolation disasters'!AK$69+'Extrapolation disasters'!BM$69)</f>
        <v>-4739.9790460940849</v>
      </c>
      <c r="I44" s="22">
        <f>I28*(1+'Extrapolation disasters'!J$69+'Extrapolation disasters'!AL$69+'Extrapolation disasters'!BN$69)</f>
        <v>-4935.550062483826</v>
      </c>
      <c r="J44" s="22">
        <f>J28*(1+'Extrapolation disasters'!K$69+'Extrapolation disasters'!AM$69+'Extrapolation disasters'!BO$69)</f>
        <v>-5146.3389288663693</v>
      </c>
      <c r="K44" s="22">
        <f>K28*(1+'Extrapolation disasters'!L$69+'Extrapolation disasters'!AN$69+'Extrapolation disasters'!BP$69)</f>
        <v>-5922.9534430005542</v>
      </c>
      <c r="L44" s="22">
        <f>L28*(1+'Extrapolation disasters'!M$69+'Extrapolation disasters'!AO$69+'Extrapolation disasters'!BQ$69)</f>
        <v>-6177.1940148270769</v>
      </c>
      <c r="M44" s="22">
        <f>M28*(1+'Extrapolation disasters'!N$69+'Extrapolation disasters'!AP$69+'Extrapolation disasters'!BR$69)</f>
        <v>-6323.6686723269986</v>
      </c>
      <c r="N44" s="22">
        <f>N28*(1+'Extrapolation disasters'!O$69+'Extrapolation disasters'!AQ$69+'Extrapolation disasters'!BS$69)</f>
        <v>-6667.6432730163424</v>
      </c>
      <c r="O44" s="22">
        <f>O28*(1+'Extrapolation disasters'!P$69+'Extrapolation disasters'!AR$69+'Extrapolation disasters'!BT$69)</f>
        <v>-7033.5789329248209</v>
      </c>
      <c r="P44" s="22">
        <f>P28*(1+'Extrapolation disasters'!Q$69+'Extrapolation disasters'!AS$69+'Extrapolation disasters'!BU$69)</f>
        <v>-7428.7543455801006</v>
      </c>
      <c r="Q44" s="22">
        <f>Q28*(1+'Extrapolation disasters'!R$69+'Extrapolation disasters'!AT$69+'Extrapolation disasters'!BV$69)</f>
        <v>-7851.4859318189692</v>
      </c>
      <c r="R44" s="22">
        <f>R28*(1+'Extrapolation disasters'!S$69+'Extrapolation disasters'!AU$69+'Extrapolation disasters'!BW$69)</f>
        <v>-8313.280624503017</v>
      </c>
      <c r="S44" s="22">
        <f>S28*(1+'Extrapolation disasters'!T$69+'Extrapolation disasters'!AV$69+'Extrapolation disasters'!BX$69)</f>
        <v>-8819.9351460747184</v>
      </c>
      <c r="T44" s="22">
        <f>T28*(1+'Extrapolation disasters'!U$69+'Extrapolation disasters'!AW$69+'Extrapolation disasters'!BY$69)</f>
        <v>-9362.7380886653809</v>
      </c>
      <c r="U44" s="22">
        <f>U28*(1+'Extrapolation disasters'!V$69+'Extrapolation disasters'!AX$69+'Extrapolation disasters'!BZ$69)</f>
        <v>-9952.6545387047008</v>
      </c>
      <c r="V44" s="22">
        <f>V28*(1+'Extrapolation disasters'!W$69+'Extrapolation disasters'!AY$69+'Extrapolation disasters'!CA$69)</f>
        <v>-10615.870989384986</v>
      </c>
      <c r="W44" s="22">
        <f>W28*(1+'Extrapolation disasters'!X$69+'Extrapolation disasters'!AZ$69+'Extrapolation disasters'!CB$69)</f>
        <v>-11334.155752103497</v>
      </c>
      <c r="X44" s="22">
        <f>X28*(1+'Extrapolation disasters'!Y$69+'Extrapolation disasters'!BA$69+'Extrapolation disasters'!CC$69)</f>
        <v>-12107.205997686211</v>
      </c>
      <c r="Y44" s="22">
        <f>Y28*(1+'Extrapolation disasters'!Z$69+'Extrapolation disasters'!BB$69+'Extrapolation disasters'!CD$69)</f>
        <v>-12947.347796326912</v>
      </c>
      <c r="Z44" s="22">
        <f>Z28*(1+'Extrapolation disasters'!AA$69+'Extrapolation disasters'!BC$69+'Extrapolation disasters'!CE$69)</f>
        <v>-13790.719844221952</v>
      </c>
      <c r="AA44" s="22">
        <f>AA28*(1+'Extrapolation disasters'!AB$69+'Extrapolation disasters'!BD$69+'Extrapolation disasters'!CF$69)</f>
        <v>-14743.158009569017</v>
      </c>
    </row>
    <row r="45" spans="1:27">
      <c r="A45" s="319"/>
      <c r="B45" s="22" t="s">
        <v>189</v>
      </c>
      <c r="C45" s="22">
        <f>C29*(1+'Extrapolation disasters'!D$69+'Extrapolation disasters'!AF$69+'Extrapolation disasters'!BH$69)</f>
        <v>-4309.4809452727459</v>
      </c>
      <c r="D45" s="22">
        <f>D29*(1+'Extrapolation disasters'!E$69+'Extrapolation disasters'!AG$69+'Extrapolation disasters'!BI$69)</f>
        <v>-4490.3518762144195</v>
      </c>
      <c r="E45" s="22">
        <f>E29*(1+'Extrapolation disasters'!F$69+'Extrapolation disasters'!AH$69+'Extrapolation disasters'!BJ$69)</f>
        <v>-4699.8322287214723</v>
      </c>
      <c r="F45" s="22">
        <f>F29*(1+'Extrapolation disasters'!G$69+'Extrapolation disasters'!AI$69+'Extrapolation disasters'!BK$69)</f>
        <v>-4965.1119446912026</v>
      </c>
      <c r="G45" s="22">
        <f>G29*(1+'Extrapolation disasters'!H$69+'Extrapolation disasters'!AJ$69+'Extrapolation disasters'!BL$69)</f>
        <v>-5322.6046804332173</v>
      </c>
      <c r="H45" s="22">
        <f>H29*(1+'Extrapolation disasters'!I$69+'Extrapolation disasters'!AK$69+'Extrapolation disasters'!BM$69)</f>
        <v>-5652.4761878831159</v>
      </c>
      <c r="I45" s="22">
        <f>I29*(1+'Extrapolation disasters'!J$69+'Extrapolation disasters'!AL$69+'Extrapolation disasters'!BN$69)</f>
        <v>-5924.8318915895879</v>
      </c>
      <c r="J45" s="22">
        <f>J29*(1+'Extrapolation disasters'!K$69+'Extrapolation disasters'!AM$69+'Extrapolation disasters'!BO$69)</f>
        <v>-6233.5831033032464</v>
      </c>
      <c r="K45" s="22">
        <f>K29*(1+'Extrapolation disasters'!L$69+'Extrapolation disasters'!AN$69+'Extrapolation disasters'!BP$69)</f>
        <v>-6663.381205673867</v>
      </c>
      <c r="L45" s="22">
        <f>L29*(1+'Extrapolation disasters'!M$69+'Extrapolation disasters'!AO$69+'Extrapolation disasters'!BQ$69)</f>
        <v>-7024.3340867013922</v>
      </c>
      <c r="M45" s="22">
        <f>M29*(1+'Extrapolation disasters'!N$69+'Extrapolation disasters'!AP$69+'Extrapolation disasters'!BR$69)</f>
        <v>-7237.221690533831</v>
      </c>
      <c r="N45" s="22">
        <f>N29*(1+'Extrapolation disasters'!O$69+'Extrapolation disasters'!AQ$69+'Extrapolation disasters'!BS$69)</f>
        <v>-7644.9526645726282</v>
      </c>
      <c r="O45" s="22">
        <f>O29*(1+'Extrapolation disasters'!P$69+'Extrapolation disasters'!AR$69+'Extrapolation disasters'!BT$69)</f>
        <v>-8070.4028433451685</v>
      </c>
      <c r="P45" s="22">
        <f>P29*(1+'Extrapolation disasters'!Q$69+'Extrapolation disasters'!AS$69+'Extrapolation disasters'!BU$69)</f>
        <v>-8521.6616252429903</v>
      </c>
      <c r="Q45" s="22">
        <f>Q29*(1+'Extrapolation disasters'!R$69+'Extrapolation disasters'!AT$69+'Extrapolation disasters'!BV$69)</f>
        <v>-9004.4734758027571</v>
      </c>
      <c r="R45" s="22">
        <f>R29*(1+'Extrapolation disasters'!S$69+'Extrapolation disasters'!AU$69+'Extrapolation disasters'!BW$69)</f>
        <v>-9524.0373356142009</v>
      </c>
      <c r="S45" s="22">
        <f>S29*(1+'Extrapolation disasters'!T$69+'Extrapolation disasters'!AV$69+'Extrapolation disasters'!BX$69)</f>
        <v>-10082.805544710127</v>
      </c>
      <c r="T45" s="22">
        <f>T29*(1+'Extrapolation disasters'!U$69+'Extrapolation disasters'!AW$69+'Extrapolation disasters'!BY$69)</f>
        <v>-10673.760485354373</v>
      </c>
      <c r="U45" s="22">
        <f>U29*(1+'Extrapolation disasters'!V$69+'Extrapolation disasters'!AX$69+'Extrapolation disasters'!BZ$69)</f>
        <v>-11299.538513633219</v>
      </c>
      <c r="V45" s="22">
        <f>V29*(1+'Extrapolation disasters'!W$69+'Extrapolation disasters'!AY$69+'Extrapolation disasters'!CA$69)</f>
        <v>-11987.725384513784</v>
      </c>
      <c r="W45" s="22">
        <f>W29*(1+'Extrapolation disasters'!X$69+'Extrapolation disasters'!AZ$69+'Extrapolation disasters'!CB$69)</f>
        <v>-12738.43768465906</v>
      </c>
      <c r="X45" s="22">
        <f>X29*(1+'Extrapolation disasters'!Y$69+'Extrapolation disasters'!BA$69+'Extrapolation disasters'!CC$69)</f>
        <v>-13568.331956370002</v>
      </c>
      <c r="Y45" s="22">
        <f>Y29*(1+'Extrapolation disasters'!Z$69+'Extrapolation disasters'!BB$69+'Extrapolation disasters'!CD$69)</f>
        <v>-14510.620322319286</v>
      </c>
      <c r="Z45" s="22">
        <f>Z29*(1+'Extrapolation disasters'!AA$69+'Extrapolation disasters'!BC$69+'Extrapolation disasters'!CE$69)</f>
        <v>-15538.434795163555</v>
      </c>
      <c r="AA45" s="22">
        <f>AA29*(1+'Extrapolation disasters'!AB$69+'Extrapolation disasters'!BD$69+'Extrapolation disasters'!CF$69)</f>
        <v>-16713.253425370956</v>
      </c>
    </row>
    <row r="46" spans="1:27">
      <c r="A46" s="319"/>
      <c r="B46" s="22"/>
      <c r="C46" s="22">
        <f>C30*(1+'Extrapolation disasters'!D$69+'Extrapolation disasters'!AF$69+'Extrapolation disasters'!BH$69)</f>
        <v>0</v>
      </c>
      <c r="D46" s="22">
        <f>D30*(1+'Extrapolation disasters'!E$69+'Extrapolation disasters'!AG$69+'Extrapolation disasters'!BI$69)</f>
        <v>0</v>
      </c>
      <c r="E46" s="22">
        <f>E30*(1+'Extrapolation disasters'!F$69+'Extrapolation disasters'!AH$69+'Extrapolation disasters'!BJ$69)</f>
        <v>0</v>
      </c>
      <c r="F46" s="22">
        <f>F30*(1+'Extrapolation disasters'!G$69+'Extrapolation disasters'!AI$69+'Extrapolation disasters'!BK$69)</f>
        <v>0</v>
      </c>
      <c r="G46" s="22">
        <f>G30*(1+'Extrapolation disasters'!H$69+'Extrapolation disasters'!AJ$69+'Extrapolation disasters'!BL$69)</f>
        <v>0</v>
      </c>
      <c r="H46" s="22">
        <f>H30*(1+'Extrapolation disasters'!I$69+'Extrapolation disasters'!AK$69+'Extrapolation disasters'!BM$69)</f>
        <v>0</v>
      </c>
      <c r="I46" s="22">
        <f>I30*(1+'Extrapolation disasters'!J$69+'Extrapolation disasters'!AL$69+'Extrapolation disasters'!BN$69)</f>
        <v>0</v>
      </c>
      <c r="J46" s="22">
        <f>J30*(1+'Extrapolation disasters'!K$69+'Extrapolation disasters'!AM$69+'Extrapolation disasters'!BO$69)</f>
        <v>0</v>
      </c>
      <c r="K46" s="22">
        <f>K30*(1+'Extrapolation disasters'!L$69+'Extrapolation disasters'!AN$69+'Extrapolation disasters'!BP$69)</f>
        <v>0</v>
      </c>
      <c r="L46" s="22">
        <f>L30*(1+'Extrapolation disasters'!M$69+'Extrapolation disasters'!AO$69+'Extrapolation disasters'!BQ$69)</f>
        <v>0</v>
      </c>
      <c r="M46" s="22">
        <f>M30*(1+'Extrapolation disasters'!N$69+'Extrapolation disasters'!AP$69+'Extrapolation disasters'!BR$69)</f>
        <v>0</v>
      </c>
      <c r="N46" s="22">
        <f>N30*(1+'Extrapolation disasters'!O$69+'Extrapolation disasters'!AQ$69+'Extrapolation disasters'!BS$69)</f>
        <v>0</v>
      </c>
      <c r="O46" s="22">
        <f>O30*(1+'Extrapolation disasters'!P$69+'Extrapolation disasters'!AR$69+'Extrapolation disasters'!BT$69)</f>
        <v>0</v>
      </c>
      <c r="P46" s="22">
        <f>P30*(1+'Extrapolation disasters'!Q$69+'Extrapolation disasters'!AS$69+'Extrapolation disasters'!BU$69)</f>
        <v>0</v>
      </c>
      <c r="Q46" s="22">
        <f>Q30*(1+'Extrapolation disasters'!R$69+'Extrapolation disasters'!AT$69+'Extrapolation disasters'!BV$69)</f>
        <v>0</v>
      </c>
      <c r="R46" s="22">
        <f>R30*(1+'Extrapolation disasters'!S$69+'Extrapolation disasters'!AU$69+'Extrapolation disasters'!BW$69)</f>
        <v>0</v>
      </c>
      <c r="S46" s="22">
        <f>S30*(1+'Extrapolation disasters'!T$69+'Extrapolation disasters'!AV$69+'Extrapolation disasters'!BX$69)</f>
        <v>0</v>
      </c>
      <c r="T46" s="22">
        <f>T30*(1+'Extrapolation disasters'!U$69+'Extrapolation disasters'!AW$69+'Extrapolation disasters'!BY$69)</f>
        <v>0</v>
      </c>
      <c r="U46" s="22">
        <f>U30*(1+'Extrapolation disasters'!V$69+'Extrapolation disasters'!AX$69+'Extrapolation disasters'!BZ$69)</f>
        <v>0</v>
      </c>
      <c r="V46" s="22">
        <f>V30*(1+'Extrapolation disasters'!W$69+'Extrapolation disasters'!AY$69+'Extrapolation disasters'!CA$69)</f>
        <v>0</v>
      </c>
      <c r="W46" s="22">
        <f>W30*(1+'Extrapolation disasters'!X$69+'Extrapolation disasters'!AZ$69+'Extrapolation disasters'!CB$69)</f>
        <v>0</v>
      </c>
      <c r="X46" s="22">
        <f>X30*(1+'Extrapolation disasters'!Y$69+'Extrapolation disasters'!BA$69+'Extrapolation disasters'!CC$69)</f>
        <v>0</v>
      </c>
      <c r="Y46" s="22">
        <f>Y30*(1+'Extrapolation disasters'!Z$69+'Extrapolation disasters'!BB$69+'Extrapolation disasters'!CD$69)</f>
        <v>0</v>
      </c>
      <c r="Z46" s="22">
        <f>Z30*(1+'Extrapolation disasters'!AA$69+'Extrapolation disasters'!BC$69+'Extrapolation disasters'!CE$69)</f>
        <v>0</v>
      </c>
      <c r="AA46" s="22">
        <f>AA30*(1+'Extrapolation disasters'!AB$69+'Extrapolation disasters'!BD$69+'Extrapolation disasters'!CF$69)</f>
        <v>0</v>
      </c>
    </row>
    <row r="47" spans="1:27">
      <c r="A47" s="21"/>
      <c r="B47" s="22"/>
      <c r="C47" s="22"/>
      <c r="D47" s="22"/>
      <c r="E47" s="22"/>
      <c r="F47" s="22"/>
      <c r="G47" s="22"/>
      <c r="H47" s="22"/>
      <c r="I47" s="22"/>
      <c r="J47" s="22"/>
      <c r="K47" s="22"/>
      <c r="L47" s="22"/>
      <c r="M47" s="22"/>
      <c r="N47" s="22"/>
      <c r="O47" s="22"/>
      <c r="P47" s="22"/>
      <c r="Q47" s="22"/>
      <c r="R47" s="22"/>
      <c r="S47" s="22"/>
      <c r="T47" s="22"/>
      <c r="U47" s="22"/>
      <c r="V47" s="22"/>
      <c r="W47" s="22"/>
      <c r="X47" s="22"/>
      <c r="Y47" s="22"/>
      <c r="Z47" s="22"/>
      <c r="AA47" s="22"/>
    </row>
    <row r="48" spans="1:27">
      <c r="A48" s="21"/>
      <c r="B48" s="22"/>
      <c r="C48" s="22"/>
      <c r="D48" s="22"/>
      <c r="E48" s="22"/>
      <c r="F48" s="22"/>
      <c r="G48" s="22"/>
      <c r="H48" s="22"/>
      <c r="I48" s="22"/>
      <c r="J48" s="22"/>
      <c r="K48" s="22"/>
      <c r="L48" s="22"/>
      <c r="M48" s="22"/>
      <c r="N48" s="22"/>
      <c r="O48" s="22"/>
      <c r="P48" s="22"/>
      <c r="Q48" s="22"/>
      <c r="R48" s="22"/>
      <c r="S48" s="22"/>
      <c r="T48" s="22"/>
      <c r="U48" s="22"/>
      <c r="V48" s="22"/>
      <c r="W48" s="22"/>
      <c r="X48" s="22"/>
      <c r="Y48" s="22"/>
      <c r="Z48" s="22"/>
      <c r="AA48" s="22"/>
    </row>
    <row r="49" spans="1:27">
      <c r="A49" s="21" t="s">
        <v>108</v>
      </c>
      <c r="B49" s="22"/>
      <c r="C49" s="22">
        <f>SUM(C41:C43)/(1+Parameters_Results!$D$12)^('Expected flows'!C$8-'Expected flows'!$C$8)</f>
        <v>117.30434385226673</v>
      </c>
      <c r="D49" s="22">
        <f>SUM(D41:D43)/(1+Parameters_Results!$D$12)^('Expected flows'!D$8-'Expected flows'!$C$8)</f>
        <v>1003.6912565979246</v>
      </c>
      <c r="E49" s="22">
        <f>SUM(E41:E43)/(1+Parameters_Results!$D$12)^('Expected flows'!E$8-'Expected flows'!$C$8)</f>
        <v>995.83801599799756</v>
      </c>
      <c r="F49" s="22">
        <f>SUM(F41:F43)/(1+Parameters_Results!$D$12)^('Expected flows'!F$8-'Expected flows'!$C$8)</f>
        <v>1405.5023078190384</v>
      </c>
      <c r="G49" s="22">
        <f>SUM(G41:G43)/(1+Parameters_Results!$D$12)^('Expected flows'!G$8-'Expected flows'!$C$8)</f>
        <v>221.50055601753974</v>
      </c>
      <c r="H49" s="22">
        <f>SUM(H41:H43)/(1+Parameters_Results!$D$12)^('Expected flows'!H$8-'Expected flows'!$C$8)</f>
        <v>185.18953657660231</v>
      </c>
      <c r="I49" s="22">
        <f>SUM(I41:I43)/(1+Parameters_Results!$D$12)^('Expected flows'!I$8-'Expected flows'!$C$8)</f>
        <v>139.50180734187211</v>
      </c>
      <c r="J49" s="22">
        <f>SUM(J41:J43)/(1+Parameters_Results!$D$12)^('Expected flows'!J$8-'Expected flows'!$C$8)</f>
        <v>140.29697952228571</v>
      </c>
      <c r="K49" s="22">
        <f>SUM(K41:K43)/(1+Parameters_Results!$D$12)^('Expected flows'!K$8-'Expected flows'!$C$8)</f>
        <v>140.56063263137247</v>
      </c>
      <c r="L49" s="22">
        <f>SUM(L41:L43)/(1+Parameters_Results!$D$12)^('Expected flows'!L$8-'Expected flows'!$C$8)</f>
        <v>174.10970323989173</v>
      </c>
      <c r="M49" s="22">
        <f>SUM(M41:M43)/(1+Parameters_Results!$D$12)^('Expected flows'!M$8-'Expected flows'!$C$8)</f>
        <v>181.66963873248881</v>
      </c>
      <c r="N49" s="22">
        <f>SUM(N41:N43)/(1+Parameters_Results!$D$12)^('Expected flows'!N$8-'Expected flows'!$C$8)</f>
        <v>138.25459221210971</v>
      </c>
      <c r="O49" s="22">
        <f>SUM(O41:O43)/(1+Parameters_Results!$D$12)^('Expected flows'!O$8-'Expected flows'!$C$8)</f>
        <v>158.7680606100721</v>
      </c>
      <c r="P49" s="22">
        <f>SUM(P41:P43)/(1+Parameters_Results!$D$12)^('Expected flows'!P$8-'Expected flows'!$C$8)</f>
        <v>152.70463967871723</v>
      </c>
      <c r="Q49" s="22">
        <f>SUM(Q41:Q43)/(1+Parameters_Results!$D$12)^('Expected flows'!Q$8-'Expected flows'!$C$8)</f>
        <v>116.24837919570064</v>
      </c>
      <c r="R49" s="22">
        <f>SUM(R41:R43)/(1+Parameters_Results!$D$12)^('Expected flows'!R$8-'Expected flows'!$C$8)</f>
        <v>133.47075649429087</v>
      </c>
      <c r="S49" s="22">
        <f>SUM(S41:S43)/(1+Parameters_Results!$D$12)^('Expected flows'!S$8-'Expected flows'!$C$8)</f>
        <v>128.37105759524022</v>
      </c>
      <c r="T49" s="22">
        <f>SUM(T41:T43)/(1+Parameters_Results!$D$12)^('Expected flows'!T$8-'Expected flows'!$C$8)</f>
        <v>444.27102923009039</v>
      </c>
      <c r="U49" s="22">
        <f>SUM(U41:U43)/(1+Parameters_Results!$D$12)^('Expected flows'!U$8-'Expected flows'!$C$8)</f>
        <v>92.281305784367277</v>
      </c>
      <c r="V49" s="22">
        <f>SUM(V41:V43)/(1+Parameters_Results!$D$12)^('Expected flows'!V$8-'Expected flows'!$C$8)</f>
        <v>87.114734953069643</v>
      </c>
      <c r="W49" s="22">
        <f>SUM(W41:W43)/(1+Parameters_Results!$D$12)^('Expected flows'!W$8-'Expected flows'!$C$8)</f>
        <v>82.240348311677238</v>
      </c>
      <c r="X49" s="22">
        <f>SUM(X41:X43)/(1+Parameters_Results!$D$12)^('Expected flows'!X$8-'Expected flows'!$C$8)</f>
        <v>94.39001655062404</v>
      </c>
      <c r="Y49" s="22">
        <f>SUM(Y41:Y43)/(1+Parameters_Results!$D$12)^('Expected flows'!Y$8-'Expected flows'!$C$8)</f>
        <v>90.790838163812907</v>
      </c>
      <c r="Z49" s="22">
        <f>SUM(Z41:Z43)/(1+Parameters_Results!$D$12)^('Expected flows'!Z$8-'Expected flows'!$C$8)</f>
        <v>69.209332784821754</v>
      </c>
      <c r="AA49" s="22">
        <f>SUM(AA41:AA43)/(1+Parameters_Results!$D$12)^('Expected flows'!AA$8-'Expected flows'!$C$8)</f>
        <v>-119.55322599086288</v>
      </c>
    </row>
    <row r="50" spans="1:27">
      <c r="A50" s="21" t="s">
        <v>106</v>
      </c>
      <c r="B50" s="22"/>
      <c r="C50" s="22">
        <f>(C44-C45)/(1+Parameters_Results!$D$12)^('Expected flows'!C$8-'Expected flows'!$C$8)</f>
        <v>-2.8758631600085209</v>
      </c>
      <c r="D50" s="22">
        <f>(D44-D45)/(1+Parameters_Results!$D$12)^('Expected flows'!D$8-'Expected flows'!$C$8)</f>
        <v>-4.9102782187176519</v>
      </c>
      <c r="E50" s="22">
        <f>(E44-E45)/(1+Parameters_Results!$D$12)^('Expected flows'!E$8-'Expected flows'!$C$8)</f>
        <v>24.953512578998314</v>
      </c>
      <c r="F50" s="22">
        <f>(F44-F45)/(1+Parameters_Results!$D$12)^('Expected flows'!F$8-'Expected flows'!$C$8)</f>
        <v>47.644126900738684</v>
      </c>
      <c r="G50" s="22">
        <f>(G44-G45)/(1+Parameters_Results!$D$12)^('Expected flows'!G$8-'Expected flows'!$C$8)</f>
        <v>380.42357990116608</v>
      </c>
      <c r="H50" s="22">
        <f>(H44-H45)/(1+Parameters_Results!$D$12)^('Expected flows'!H$8-'Expected flows'!$C$8)</f>
        <v>681.87094691877064</v>
      </c>
      <c r="I50" s="22">
        <f>(I44-I45)/(1+Parameters_Results!$D$12)^('Expected flows'!I$8-'Expected flows'!$C$8)</f>
        <v>697.40465289354938</v>
      </c>
      <c r="J50" s="22">
        <f>(J44-J45)/(1+Parameters_Results!$D$12)^('Expected flows'!J$8-'Expected flows'!$C$8)</f>
        <v>723.07947245368905</v>
      </c>
      <c r="K50" s="22">
        <f>(K44-K45)/(1+Parameters_Results!$D$12)^('Expected flows'!K$8-'Expected flows'!$C$8)</f>
        <v>464.55353838618635</v>
      </c>
      <c r="L50" s="22">
        <f>(L44-L45)/(1+Parameters_Results!$D$12)^('Expected flows'!L$8-'Expected flows'!$C$8)</f>
        <v>501.42090693712214</v>
      </c>
      <c r="M50" s="22">
        <f>(M44-M45)/(1+Parameters_Results!$D$12)^('Expected flows'!M$8-'Expected flows'!$C$8)</f>
        <v>510.12323380173677</v>
      </c>
      <c r="N50" s="22">
        <f>(N44-N45)/(1+Parameters_Results!$D$12)^('Expected flows'!N$8-'Expected flows'!$C$8)</f>
        <v>514.83439591992612</v>
      </c>
      <c r="O50" s="22">
        <f>(O44-O45)/(1+Parameters_Results!$D$12)^('Expected flows'!O$8-'Expected flows'!$C$8)</f>
        <v>515.26971890301706</v>
      </c>
      <c r="P50" s="22">
        <f>(P44-P45)/(1+Parameters_Results!$D$12)^('Expected flows'!P$8-'Expected flows'!$C$8)</f>
        <v>512.39758039880871</v>
      </c>
      <c r="Q50" s="22">
        <f>(Q44-Q45)/(1+Parameters_Results!$D$12)^('Expected flows'!Q$8-'Expected flows'!$C$8)</f>
        <v>509.96750262177989</v>
      </c>
      <c r="R50" s="22">
        <f>(R44-R45)/(1+Parameters_Results!$D$12)^('Expected flows'!R$8-'Expected flows'!$C$8)</f>
        <v>505.20647259777121</v>
      </c>
      <c r="S50" s="22">
        <f>(S44-S45)/(1+Parameters_Results!$D$12)^('Expected flows'!S$8-'Expected flows'!$C$8)</f>
        <v>497.12423923369806</v>
      </c>
      <c r="T50" s="22">
        <f>(T44-T45)/(1+Parameters_Results!$D$12)^('Expected flows'!T$8-'Expected flows'!$C$8)</f>
        <v>486.86707011399596</v>
      </c>
      <c r="U50" s="22">
        <f>(U44-U45)/(1+Parameters_Results!$D$12)^('Expected flows'!U$8-'Expected flows'!$C$8)</f>
        <v>471.87243798762921</v>
      </c>
      <c r="V50" s="22">
        <f>(V44-V45)/(1+Parameters_Results!$D$12)^('Expected flows'!V$8-'Expected flows'!$C$8)</f>
        <v>453.4157261006456</v>
      </c>
      <c r="W50" s="22">
        <f>(W44-W45)/(1+Parameters_Results!$D$12)^('Expected flows'!W$8-'Expected flows'!$C$8)</f>
        <v>437.8617444515499</v>
      </c>
      <c r="X50" s="22">
        <f>(X44-X45)/(1+Parameters_Results!$D$12)^('Expected flows'!X$8-'Expected flows'!$C$8)</f>
        <v>429.79809480525239</v>
      </c>
      <c r="Y50" s="22">
        <f>(Y44-Y45)/(1+Parameters_Results!$D$12)^('Expected flows'!Y$8-'Expected flows'!$C$8)</f>
        <v>433.81609381948294</v>
      </c>
      <c r="Z50" s="22">
        <f>(Z44-Z45)/(1+Parameters_Results!$D$12)^('Expected flows'!Z$8-'Expected flows'!$C$8)</f>
        <v>457.54698757453514</v>
      </c>
      <c r="AA50" s="22">
        <f>(AA44-AA45)/(1+Parameters_Results!$D$12)^('Expected flows'!AA$8-'Expected flows'!$C$8)</f>
        <v>486.57130587448518</v>
      </c>
    </row>
    <row r="51" spans="1:27">
      <c r="A51" s="21"/>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22"/>
    </row>
    <row r="52" spans="1:27">
      <c r="A52" s="140" t="s">
        <v>96</v>
      </c>
      <c r="B52" s="55"/>
      <c r="C52" s="138">
        <f>SUM(C50:XW50)-SUM(C49:XW49)</f>
        <v>4362.510555892798</v>
      </c>
      <c r="D52" s="22"/>
      <c r="E52" s="17" t="s">
        <v>26</v>
      </c>
      <c r="F52" s="22"/>
      <c r="G52" s="22">
        <f>SUM(C49:XW49)</f>
        <v>6373.7266439030109</v>
      </c>
      <c r="H52" s="22"/>
      <c r="I52" s="22"/>
      <c r="J52" s="22"/>
      <c r="K52" s="22"/>
      <c r="L52" s="22"/>
      <c r="M52" s="22"/>
      <c r="N52" s="22"/>
      <c r="O52" s="22"/>
      <c r="P52" s="22"/>
      <c r="Q52" s="22"/>
      <c r="R52" s="22"/>
      <c r="S52" s="22"/>
      <c r="T52" s="22"/>
      <c r="U52" s="22"/>
      <c r="V52" s="22"/>
      <c r="W52" s="22"/>
      <c r="X52" s="22"/>
      <c r="Y52" s="22"/>
      <c r="Z52" s="22"/>
      <c r="AA52" s="22"/>
    </row>
    <row r="53" spans="1:27" ht="15" thickBot="1">
      <c r="A53" s="141" t="s">
        <v>97</v>
      </c>
      <c r="B53" s="72"/>
      <c r="C53" s="139">
        <f>SUM(C50:XW50)/SUM(C49:XW49)</f>
        <v>1.6844520952378614</v>
      </c>
      <c r="D53" s="34"/>
      <c r="E53" s="34" t="s">
        <v>27</v>
      </c>
      <c r="F53" s="34"/>
      <c r="G53" s="34">
        <f>SUM(C50:XW50)</f>
        <v>10736.237199795809</v>
      </c>
      <c r="H53" s="34"/>
      <c r="I53" s="34"/>
      <c r="J53" s="34"/>
      <c r="K53" s="34"/>
      <c r="L53" s="34"/>
      <c r="M53" s="34"/>
      <c r="N53" s="34"/>
      <c r="O53" s="34"/>
      <c r="P53" s="34"/>
      <c r="Q53" s="34"/>
      <c r="R53" s="34"/>
      <c r="S53" s="34"/>
      <c r="T53" s="34"/>
      <c r="U53" s="34"/>
      <c r="V53" s="34"/>
      <c r="W53" s="34"/>
      <c r="X53" s="34"/>
      <c r="Y53" s="34"/>
      <c r="Z53" s="34"/>
      <c r="AA53" s="34"/>
    </row>
    <row r="54" spans="1:27">
      <c r="K54" t="s">
        <v>122</v>
      </c>
    </row>
  </sheetData>
  <mergeCells count="6">
    <mergeCell ref="A44:A46"/>
    <mergeCell ref="A9:A11"/>
    <mergeCell ref="A12:A14"/>
    <mergeCell ref="A25:A27"/>
    <mergeCell ref="A28:A30"/>
    <mergeCell ref="A41:A43"/>
  </mergeCell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8"/>
  <sheetViews>
    <sheetView workbookViewId="0">
      <selection activeCell="R10" sqref="R10"/>
    </sheetView>
  </sheetViews>
  <sheetFormatPr defaultColWidth="8.81640625" defaultRowHeight="14.5"/>
  <sheetData>
    <row r="1" spans="1:13">
      <c r="A1" s="13" t="s">
        <v>89</v>
      </c>
      <c r="C1" s="367" t="s">
        <v>30</v>
      </c>
      <c r="D1" s="367"/>
      <c r="E1" s="367"/>
      <c r="F1" s="367"/>
      <c r="G1" s="367"/>
      <c r="H1" s="367"/>
      <c r="I1" s="367"/>
      <c r="J1" s="367"/>
      <c r="K1" s="367"/>
      <c r="L1" s="367"/>
      <c r="M1" s="367"/>
    </row>
    <row r="2" spans="1:13">
      <c r="C2" s="1">
        <v>0</v>
      </c>
      <c r="D2" s="1">
        <v>0.1</v>
      </c>
      <c r="E2" s="1">
        <v>0.2</v>
      </c>
      <c r="F2" s="1">
        <v>0.3</v>
      </c>
      <c r="G2" s="1">
        <v>0.4</v>
      </c>
      <c r="H2" s="1">
        <v>0.5</v>
      </c>
      <c r="I2" s="1">
        <v>0.6</v>
      </c>
      <c r="J2" s="1">
        <v>0.7</v>
      </c>
      <c r="K2" s="1">
        <v>0.8</v>
      </c>
      <c r="L2" s="1">
        <v>0.9</v>
      </c>
      <c r="M2" s="1">
        <v>1</v>
      </c>
    </row>
    <row r="3" spans="1:13">
      <c r="A3" s="368" t="s">
        <v>29</v>
      </c>
      <c r="B3" s="1">
        <v>0</v>
      </c>
      <c r="C3" s="15">
        <f>Parameters_Results!D130</f>
        <v>3.2442745871027845</v>
      </c>
      <c r="D3" s="15">
        <f>Parameters_Results!E130</f>
        <v>3.2046713399781863</v>
      </c>
      <c r="E3" s="15">
        <f>Parameters_Results!F130</f>
        <v>3.1660233154666013</v>
      </c>
      <c r="F3" s="15">
        <f>Parameters_Results!G130</f>
        <v>3.1282963657125626</v>
      </c>
      <c r="G3" s="15">
        <f>Parameters_Results!H130</f>
        <v>3.0914579513435663</v>
      </c>
      <c r="H3" s="15">
        <f>Parameters_Results!I130</f>
        <v>3.055477047865899</v>
      </c>
      <c r="I3" s="15">
        <f>Parameters_Results!J130</f>
        <v>3.0203240585219153</v>
      </c>
      <c r="J3" s="15">
        <f>Parameters_Results!K130</f>
        <v>2.9859707330943124</v>
      </c>
      <c r="K3" s="15">
        <f>Parameters_Results!L130</f>
        <v>2.952390092189229</v>
      </c>
      <c r="L3" s="15">
        <f>Parameters_Results!M130</f>
        <v>2.91955635657167</v>
      </c>
      <c r="M3" s="15">
        <f>Parameters_Results!N130</f>
        <v>2.8874448811642579</v>
      </c>
    </row>
    <row r="4" spans="1:13">
      <c r="A4" s="368"/>
      <c r="B4" s="1">
        <v>0.1</v>
      </c>
      <c r="C4" s="15">
        <f>Parameters_Results!D131</f>
        <v>3.120728610470425</v>
      </c>
      <c r="D4" s="15">
        <f>Parameters_Results!E131</f>
        <v>3.0836658909878283</v>
      </c>
      <c r="E4" s="15">
        <f>Parameters_Results!F131</f>
        <v>3.0474731752717341</v>
      </c>
      <c r="F4" s="15">
        <f>Parameters_Results!G131</f>
        <v>3.0121201852201915</v>
      </c>
      <c r="G4" s="15">
        <f>Parameters_Results!H131</f>
        <v>2.9775780316145308</v>
      </c>
      <c r="H4" s="15">
        <f>Parameters_Results!I131</f>
        <v>2.9438191353856493</v>
      </c>
      <c r="I4" s="15">
        <f>Parameters_Results!J131</f>
        <v>2.9108171541761738</v>
      </c>
      <c r="J4" s="15">
        <f>Parameters_Results!K131</f>
        <v>2.878546913787591</v>
      </c>
      <c r="K4" s="15">
        <f>Parameters_Results!L131</f>
        <v>2.8469843441373341</v>
      </c>
      <c r="L4" s="15">
        <f>Parameters_Results!M131</f>
        <v>2.8161064193834968</v>
      </c>
      <c r="M4" s="15">
        <f>Parameters_Results!N131</f>
        <v>2.7858911019041002</v>
      </c>
    </row>
    <row r="5" spans="1:13">
      <c r="A5" s="368"/>
      <c r="B5" s="1">
        <v>0.2</v>
      </c>
      <c r="C5" s="15">
        <f>Parameters_Results!D132</f>
        <v>2.9949142720974384</v>
      </c>
      <c r="D5" s="15">
        <f>Parameters_Results!E132</f>
        <v>2.9603565058474683</v>
      </c>
      <c r="E5" s="15">
        <f>Parameters_Results!F132</f>
        <v>2.9265871536796015</v>
      </c>
      <c r="F5" s="15">
        <f>Parameters_Results!G132</f>
        <v>2.8935795391272627</v>
      </c>
      <c r="G5" s="15">
        <f>Parameters_Results!H132</f>
        <v>2.8613081757875083</v>
      </c>
      <c r="H5" s="15">
        <f>Parameters_Results!I132</f>
        <v>2.8297487016905927</v>
      </c>
      <c r="I5" s="15">
        <f>Parameters_Results!J132</f>
        <v>2.7988778179654576</v>
      </c>
      <c r="J5" s="15">
        <f>Parameters_Results!K132</f>
        <v>2.7686732314766482</v>
      </c>
      <c r="K5" s="15">
        <f>Parameters_Results!L132</f>
        <v>2.7391136011358279</v>
      </c>
      <c r="L5" s="15">
        <f>Parameters_Results!M132</f>
        <v>2.710178487616183</v>
      </c>
      <c r="M5" s="15">
        <f>Parameters_Results!N132</f>
        <v>2.6818483062207186</v>
      </c>
    </row>
    <row r="6" spans="1:13">
      <c r="A6" s="368"/>
      <c r="B6" s="1">
        <v>0.3</v>
      </c>
      <c r="C6" s="15">
        <f>Parameters_Results!D133</f>
        <v>2.8663267745759207</v>
      </c>
      <c r="D6" s="15">
        <f>Parameters_Results!E133</f>
        <v>2.8342432302028153</v>
      </c>
      <c r="E6" s="15">
        <f>Parameters_Results!F133</f>
        <v>2.8028699743715442</v>
      </c>
      <c r="F6" s="15">
        <f>Parameters_Results!G133</f>
        <v>2.7721836780034459</v>
      </c>
      <c r="G6" s="15">
        <f>Parameters_Results!H133</f>
        <v>2.7421620225987309</v>
      </c>
      <c r="H6" s="15">
        <f>Parameters_Results!I133</f>
        <v>2.7127836461018768</v>
      </c>
      <c r="I6" s="15">
        <f>Parameters_Results!J133</f>
        <v>2.6840280922100064</v>
      </c>
      <c r="J6" s="15">
        <f>Parameters_Results!K133</f>
        <v>2.65587576287143</v>
      </c>
      <c r="K6" s="15">
        <f>Parameters_Results!L133</f>
        <v>2.6283078737425773</v>
      </c>
      <c r="L6" s="15">
        <f>Parameters_Results!M133</f>
        <v>2.6013064123905507</v>
      </c>
      <c r="M6" s="15">
        <f>Parameters_Results!N133</f>
        <v>2.5748540990458837</v>
      </c>
    </row>
    <row r="7" spans="1:13">
      <c r="A7" s="368"/>
      <c r="B7" s="1">
        <v>0.4</v>
      </c>
      <c r="C7" s="15">
        <f>Parameters_Results!D134</f>
        <v>2.7343917540630529</v>
      </c>
      <c r="D7" s="15">
        <f>Parameters_Results!E134</f>
        <v>2.7047562978277946</v>
      </c>
      <c r="E7" s="15">
        <f>Parameters_Results!F134</f>
        <v>2.675756334805484</v>
      </c>
      <c r="F7" s="15">
        <f>Parameters_Results!G134</f>
        <v>2.6473716408672079</v>
      </c>
      <c r="G7" s="15">
        <f>Parameters_Results!H134</f>
        <v>2.6195828410346067</v>
      </c>
      <c r="H7" s="15">
        <f>Parameters_Results!I134</f>
        <v>2.5923713653762022</v>
      </c>
      <c r="I7" s="15">
        <f>Parameters_Results!J134</f>
        <v>2.5657194076242988</v>
      </c>
      <c r="J7" s="15">
        <f>Parameters_Results!K134</f>
        <v>2.5396098863186363</v>
      </c>
      <c r="K7" s="15">
        <f>Parameters_Results!L134</f>
        <v>2.5140264082986259</v>
      </c>
      <c r="L7" s="15">
        <f>Parameters_Results!M134</f>
        <v>2.4889532343802081</v>
      </c>
      <c r="M7" s="15">
        <f>Parameters_Results!N134</f>
        <v>2.464375247066322</v>
      </c>
    </row>
    <row r="8" spans="1:13">
      <c r="A8" s="368"/>
      <c r="B8" s="1">
        <v>0.5</v>
      </c>
      <c r="C8" s="15">
        <f>Parameters_Results!D135</f>
        <v>2.5984501177100712</v>
      </c>
      <c r="D8" s="15">
        <f>Parameters_Results!E135</f>
        <v>2.5712408907306994</v>
      </c>
      <c r="E8" s="15">
        <f>Parameters_Results!F135</f>
        <v>2.544595592224618</v>
      </c>
      <c r="F8" s="15">
        <f>Parameters_Results!G135</f>
        <v>2.5184968703433461</v>
      </c>
      <c r="G8" s="15">
        <f>Parameters_Results!H135</f>
        <v>2.4929280778901663</v>
      </c>
      <c r="H8" s="15">
        <f>Parameters_Results!I135</f>
        <v>2.4678732369100751</v>
      </c>
      <c r="I8" s="15">
        <f>Parameters_Results!J135</f>
        <v>2.4433170053937996</v>
      </c>
      <c r="J8" s="15">
        <f>Parameters_Results!K135</f>
        <v>2.4192446459500698</v>
      </c>
      <c r="K8" s="15">
        <f>Parameters_Results!L135</f>
        <v>2.395641996311729</v>
      </c>
      <c r="L8" s="15">
        <f>Parameters_Results!M135</f>
        <v>2.3724954415516528</v>
      </c>
      <c r="M8" s="15">
        <f>Parameters_Results!N135</f>
        <v>2.3497918878939452</v>
      </c>
    </row>
    <row r="9" spans="1:13">
      <c r="A9" s="368"/>
      <c r="B9" s="1">
        <v>0.6</v>
      </c>
      <c r="C9" s="15">
        <f>Parameters_Results!D136</f>
        <v>2.4577389650275672</v>
      </c>
      <c r="D9" s="15">
        <f>Parameters_Results!E136</f>
        <v>2.4329379385835375</v>
      </c>
      <c r="E9" s="15">
        <f>Parameters_Results!F136</f>
        <v>2.4086324456775716</v>
      </c>
      <c r="F9" s="15">
        <f>Parameters_Results!G136</f>
        <v>2.3848077817996365</v>
      </c>
      <c r="G9" s="15">
        <f>Parameters_Results!H136</f>
        <v>2.3614498185320993</v>
      </c>
      <c r="H9" s="15">
        <f>Parameters_Results!I136</f>
        <v>2.3385449756107222</v>
      </c>
      <c r="I9" s="15">
        <f>Parameters_Results!J136</f>
        <v>2.3160801945960183</v>
      </c>
      <c r="J9" s="15">
        <f>Parameters_Results!K136</f>
        <v>2.2940429140476915</v>
      </c>
      <c r="K9" s="15">
        <f>Parameters_Results!L136</f>
        <v>2.2724210461029903</v>
      </c>
      <c r="L9" s="15">
        <f>Parameters_Results!M136</f>
        <v>2.2512029543672232</v>
      </c>
      <c r="M9" s="15">
        <f>Parameters_Results!N136</f>
        <v>2.2303774330314643</v>
      </c>
    </row>
    <row r="10" spans="1:13">
      <c r="A10" s="368"/>
      <c r="B10" s="1">
        <v>0.7</v>
      </c>
      <c r="C10" s="15">
        <f>Parameters_Results!D137</f>
        <v>2.311367341909174</v>
      </c>
      <c r="D10" s="15">
        <f>Parameters_Results!E137</f>
        <v>2.288959685490533</v>
      </c>
      <c r="E10" s="15">
        <f>Parameters_Results!F137</f>
        <v>2.2669823216806799</v>
      </c>
      <c r="F10" s="15">
        <f>Parameters_Results!G137</f>
        <v>2.2454229740345957</v>
      </c>
      <c r="G10" s="15">
        <f>Parameters_Results!H137</f>
        <v>2.2242698287112876</v>
      </c>
      <c r="H10" s="15">
        <f>Parameters_Results!I137</f>
        <v>2.2035115128871943</v>
      </c>
      <c r="I10" s="15">
        <f>Parameters_Results!J137</f>
        <v>2.1831370743671794</v>
      </c>
      <c r="J10" s="15">
        <f>Parameters_Results!K137</f>
        <v>2.1631359623163058</v>
      </c>
      <c r="K10" s="15">
        <f>Parameters_Results!L137</f>
        <v>2.1434980090411626</v>
      </c>
      <c r="L10" s="15">
        <f>Parameters_Results!M137</f>
        <v>2.1242134127546484</v>
      </c>
      <c r="M10" s="15">
        <f>Parameters_Results!N137</f>
        <v>2.1052727212628355</v>
      </c>
    </row>
    <row r="11" spans="1:13">
      <c r="A11" s="368"/>
      <c r="B11" s="1">
        <v>0.8</v>
      </c>
      <c r="C11" s="15">
        <f>Parameters_Results!D138</f>
        <v>2.1582850989852558</v>
      </c>
      <c r="D11" s="15">
        <f>Parameters_Results!E138</f>
        <v>2.1382582643704318</v>
      </c>
      <c r="E11" s="15">
        <f>Parameters_Results!F138</f>
        <v>2.1185996727960124</v>
      </c>
      <c r="F11" s="15">
        <f>Parameters_Results!G138</f>
        <v>2.0992992601955658</v>
      </c>
      <c r="G11" s="15">
        <f>Parameters_Results!H138</f>
        <v>2.0803473259258807</v>
      </c>
      <c r="H11" s="15">
        <f>Parameters_Results!I138</f>
        <v>2.0617345165092837</v>
      </c>
      <c r="I11" s="15">
        <f>Parameters_Results!J138</f>
        <v>2.0434518102409505</v>
      </c>
      <c r="J11" s="15">
        <f>Parameters_Results!K138</f>
        <v>2.0254905026080068</v>
      </c>
      <c r="K11" s="15">
        <f>Parameters_Results!L138</f>
        <v>2.0078421924708953</v>
      </c>
      <c r="L11" s="15">
        <f>Parameters_Results!M138</f>
        <v>1.9904987689609219</v>
      </c>
      <c r="M11" s="15">
        <f>Parameters_Results!N138</f>
        <v>1.9734523990510453</v>
      </c>
    </row>
    <row r="12" spans="1:13">
      <c r="A12" s="368"/>
      <c r="B12" s="1">
        <v>0.9</v>
      </c>
      <c r="C12" s="15">
        <f>Parameters_Results!D139</f>
        <v>1.9972424338967456</v>
      </c>
      <c r="D12" s="15">
        <f>Parameters_Results!E139</f>
        <v>1.9795848103293814</v>
      </c>
      <c r="E12" s="15">
        <f>Parameters_Results!F139</f>
        <v>1.9622366727525427</v>
      </c>
      <c r="F12" s="15">
        <f>Parameters_Results!G139</f>
        <v>1.9451899552886842</v>
      </c>
      <c r="G12" s="15">
        <f>Parameters_Results!H139</f>
        <v>1.9284368699320105</v>
      </c>
      <c r="H12" s="15">
        <f>Parameters_Results!I139</f>
        <v>1.9119698946847059</v>
      </c>
      <c r="I12" s="15">
        <f>Parameters_Results!J139</f>
        <v>1.8957817622958468</v>
      </c>
      <c r="J12" s="15">
        <f>Parameters_Results!K139</f>
        <v>1.8798654495675746</v>
      </c>
      <c r="K12" s="15">
        <f>Parameters_Results!L139</f>
        <v>1.8642141671954811</v>
      </c>
      <c r="L12" s="15">
        <f>Parameters_Results!M139</f>
        <v>1.8488213501123121</v>
      </c>
      <c r="M12" s="15">
        <f>Parameters_Results!N139</f>
        <v>1.833680648306153</v>
      </c>
    </row>
    <row r="13" spans="1:13">
      <c r="A13" s="368"/>
      <c r="B13" s="1">
        <v>1</v>
      </c>
      <c r="C13" s="15">
        <f>Parameters_Results!D140</f>
        <v>1.8267366766149209</v>
      </c>
      <c r="D13" s="15">
        <f>Parameters_Results!E140</f>
        <v>1.8114355970327842</v>
      </c>
      <c r="E13" s="15">
        <f>Parameters_Results!F140</f>
        <v>1.7963887174914355</v>
      </c>
      <c r="F13" s="15">
        <f>Parameters_Results!G140</f>
        <v>1.781589755558753</v>
      </c>
      <c r="G13" s="15">
        <f>Parameters_Results!H140</f>
        <v>1.7670326341341227</v>
      </c>
      <c r="H13" s="15">
        <f>Parameters_Results!I140</f>
        <v>1.7527114731277489</v>
      </c>
      <c r="I13" s="15">
        <f>Parameters_Results!J140</f>
        <v>1.7386205815413303</v>
      </c>
      <c r="J13" s="15">
        <f>Parameters_Results!K140</f>
        <v>1.724754449927691</v>
      </c>
      <c r="K13" s="15">
        <f>Parameters_Results!L140</f>
        <v>1.7111077432083843</v>
      </c>
      <c r="L13" s="15">
        <f>Parameters_Results!M140</f>
        <v>1.6976752938295898</v>
      </c>
      <c r="M13" s="15">
        <f>Parameters_Results!N140</f>
        <v>1.6844520952378614</v>
      </c>
    </row>
    <row r="16" spans="1:13">
      <c r="A16" s="13" t="s">
        <v>7</v>
      </c>
      <c r="C16" s="367" t="s">
        <v>30</v>
      </c>
      <c r="D16" s="367"/>
      <c r="E16" s="367"/>
      <c r="F16" s="367"/>
      <c r="G16" s="367"/>
      <c r="H16" s="367"/>
      <c r="I16" s="367"/>
      <c r="J16" s="367"/>
      <c r="K16" s="367"/>
      <c r="L16" s="367"/>
      <c r="M16" s="367"/>
    </row>
    <row r="17" spans="1:13">
      <c r="C17" s="1">
        <v>0</v>
      </c>
      <c r="D17" s="1">
        <v>0.1</v>
      </c>
      <c r="E17" s="1">
        <v>0.2</v>
      </c>
      <c r="F17" s="1">
        <v>0.3</v>
      </c>
      <c r="G17" s="1">
        <v>0.4</v>
      </c>
      <c r="H17" s="1">
        <v>0.5</v>
      </c>
      <c r="I17" s="1">
        <v>0.6</v>
      </c>
      <c r="J17" s="1">
        <v>0.7</v>
      </c>
      <c r="K17" s="1">
        <v>0.8</v>
      </c>
      <c r="L17" s="1">
        <v>0.9</v>
      </c>
      <c r="M17" s="1">
        <v>1</v>
      </c>
    </row>
    <row r="18" spans="1:13">
      <c r="A18" s="368" t="s">
        <v>29</v>
      </c>
      <c r="B18" s="1">
        <v>0</v>
      </c>
      <c r="C18" s="16">
        <f>Parameters_Results!D115</f>
        <v>9015.7947858271473</v>
      </c>
      <c r="D18" s="16">
        <f>Parameters_Results!E115</f>
        <v>8966.1498074923347</v>
      </c>
      <c r="E18" s="16">
        <f>Parameters_Results!F115</f>
        <v>8916.5048291575258</v>
      </c>
      <c r="F18" s="16">
        <f>Parameters_Results!G115</f>
        <v>8866.8598508227115</v>
      </c>
      <c r="G18" s="16">
        <f>Parameters_Results!H115</f>
        <v>8817.2148724879007</v>
      </c>
      <c r="H18" s="16">
        <f>Parameters_Results!I115</f>
        <v>8767.5698941530864</v>
      </c>
      <c r="I18" s="16">
        <f>Parameters_Results!J115</f>
        <v>8717.9249158182756</v>
      </c>
      <c r="J18" s="16">
        <f>Parameters_Results!K115</f>
        <v>8668.2799374834631</v>
      </c>
      <c r="K18" s="16">
        <f>Parameters_Results!L115</f>
        <v>8618.6349591486505</v>
      </c>
      <c r="L18" s="16">
        <f>Parameters_Results!M115</f>
        <v>8568.9899808138398</v>
      </c>
      <c r="M18" s="16">
        <f>Parameters_Results!N115</f>
        <v>8519.3450024790254</v>
      </c>
    </row>
    <row r="19" spans="1:13">
      <c r="A19" s="368"/>
      <c r="B19" s="1">
        <v>0.1</v>
      </c>
      <c r="C19" s="16">
        <f>Parameters_Results!D116</f>
        <v>8759.7246585594894</v>
      </c>
      <c r="D19" s="16">
        <f>Parameters_Results!E116</f>
        <v>8710.079680224675</v>
      </c>
      <c r="E19" s="16">
        <f>Parameters_Results!F116</f>
        <v>8660.4347018898588</v>
      </c>
      <c r="F19" s="16">
        <f>Parameters_Results!G116</f>
        <v>8610.7897235550481</v>
      </c>
      <c r="G19" s="16">
        <f>Parameters_Results!H116</f>
        <v>8561.1447452202374</v>
      </c>
      <c r="H19" s="16">
        <f>Parameters_Results!I116</f>
        <v>8511.4997668854267</v>
      </c>
      <c r="I19" s="16">
        <f>Parameters_Results!J116</f>
        <v>8461.8547885506123</v>
      </c>
      <c r="J19" s="16">
        <f>Parameters_Results!K116</f>
        <v>8412.2098102158016</v>
      </c>
      <c r="K19" s="16">
        <f>Parameters_Results!L116</f>
        <v>8362.5648318809854</v>
      </c>
      <c r="L19" s="16">
        <f>Parameters_Results!M116</f>
        <v>8312.9198535461765</v>
      </c>
      <c r="M19" s="16">
        <f>Parameters_Results!N116</f>
        <v>8263.2748752113639</v>
      </c>
    </row>
    <row r="20" spans="1:13">
      <c r="A20" s="368"/>
      <c r="B20" s="1">
        <v>0.2</v>
      </c>
      <c r="C20" s="16">
        <f>Parameters_Results!D117</f>
        <v>8483.9463795210868</v>
      </c>
      <c r="D20" s="16">
        <f>Parameters_Results!E117</f>
        <v>8434.3014011862779</v>
      </c>
      <c r="E20" s="16">
        <f>Parameters_Results!F117</f>
        <v>8384.6564228514653</v>
      </c>
      <c r="F20" s="16">
        <f>Parameters_Results!G117</f>
        <v>8335.011444516651</v>
      </c>
      <c r="G20" s="16">
        <f>Parameters_Results!H117</f>
        <v>8285.3664661818384</v>
      </c>
      <c r="H20" s="16">
        <f>Parameters_Results!I117</f>
        <v>8235.7214878470259</v>
      </c>
      <c r="I20" s="16">
        <f>Parameters_Results!J117</f>
        <v>8186.0765095122142</v>
      </c>
      <c r="J20" s="16">
        <f>Parameters_Results!K117</f>
        <v>8136.4315311774017</v>
      </c>
      <c r="K20" s="16">
        <f>Parameters_Results!L117</f>
        <v>8086.7865528425891</v>
      </c>
      <c r="L20" s="16">
        <f>Parameters_Results!M117</f>
        <v>8037.1415745077766</v>
      </c>
      <c r="M20" s="16">
        <f>Parameters_Results!N117</f>
        <v>7987.4965961729649</v>
      </c>
    </row>
    <row r="21" spans="1:13">
      <c r="A21" s="368"/>
      <c r="B21" s="1">
        <v>0.3</v>
      </c>
      <c r="C21" s="16">
        <f>Parameters_Results!D118</f>
        <v>8184.9831529069143</v>
      </c>
      <c r="D21" s="16">
        <f>Parameters_Results!E118</f>
        <v>8135.3381745721035</v>
      </c>
      <c r="E21" s="16">
        <f>Parameters_Results!F118</f>
        <v>8085.6931962372919</v>
      </c>
      <c r="F21" s="16">
        <f>Parameters_Results!G118</f>
        <v>8036.0482179024775</v>
      </c>
      <c r="G21" s="16">
        <f>Parameters_Results!H118</f>
        <v>7986.4032395676659</v>
      </c>
      <c r="H21" s="16">
        <f>Parameters_Results!I118</f>
        <v>7936.7582612328533</v>
      </c>
      <c r="I21" s="16">
        <f>Parameters_Results!J118</f>
        <v>7887.1132828980408</v>
      </c>
      <c r="J21" s="16">
        <f>Parameters_Results!K118</f>
        <v>7837.4683045632273</v>
      </c>
      <c r="K21" s="16">
        <f>Parameters_Results!L118</f>
        <v>7787.8233262284157</v>
      </c>
      <c r="L21" s="16">
        <f>Parameters_Results!M118</f>
        <v>7738.1783478936031</v>
      </c>
      <c r="M21" s="16">
        <f>Parameters_Results!N118</f>
        <v>7688.5333695587906</v>
      </c>
    </row>
    <row r="22" spans="1:13">
      <c r="A22" s="368"/>
      <c r="B22" s="1">
        <v>0.4</v>
      </c>
      <c r="C22" s="16">
        <f>Parameters_Results!D119</f>
        <v>7858.4889839606822</v>
      </c>
      <c r="D22" s="16">
        <f>Parameters_Results!E119</f>
        <v>7808.8440056258669</v>
      </c>
      <c r="E22" s="16">
        <f>Parameters_Results!F119</f>
        <v>7759.1990272910607</v>
      </c>
      <c r="F22" s="16">
        <f>Parameters_Results!G119</f>
        <v>7709.5540489562445</v>
      </c>
      <c r="G22" s="16">
        <f>Parameters_Results!H119</f>
        <v>7659.9090706214338</v>
      </c>
      <c r="H22" s="16">
        <f>Parameters_Results!I119</f>
        <v>7610.2640922866212</v>
      </c>
      <c r="I22" s="16">
        <f>Parameters_Results!J119</f>
        <v>7560.6191139518078</v>
      </c>
      <c r="J22" s="16">
        <f>Parameters_Results!K119</f>
        <v>7510.9741356169952</v>
      </c>
      <c r="K22" s="16">
        <f>Parameters_Results!L119</f>
        <v>7461.3291572821836</v>
      </c>
      <c r="L22" s="16">
        <f>Parameters_Results!M119</f>
        <v>7411.684178947371</v>
      </c>
      <c r="M22" s="16">
        <f>Parameters_Results!N119</f>
        <v>7362.0392006125585</v>
      </c>
    </row>
    <row r="23" spans="1:13">
      <c r="A23" s="368"/>
      <c r="B23" s="1">
        <v>0.5</v>
      </c>
      <c r="C23" s="16">
        <f>Parameters_Results!D120</f>
        <v>7498.9589459910894</v>
      </c>
      <c r="D23" s="16">
        <f>Parameters_Results!E120</f>
        <v>7449.313967656276</v>
      </c>
      <c r="E23" s="16">
        <f>Parameters_Results!F120</f>
        <v>7399.6689893214671</v>
      </c>
      <c r="F23" s="16">
        <f>Parameters_Results!G120</f>
        <v>7350.0240109866518</v>
      </c>
      <c r="G23" s="16">
        <f>Parameters_Results!H120</f>
        <v>7300.3790326518401</v>
      </c>
      <c r="H23" s="16">
        <f>Parameters_Results!I120</f>
        <v>7250.7340543170285</v>
      </c>
      <c r="I23" s="16">
        <f>Parameters_Results!J120</f>
        <v>7201.0890759822159</v>
      </c>
      <c r="J23" s="16">
        <f>Parameters_Results!K120</f>
        <v>7151.4440976474034</v>
      </c>
      <c r="K23" s="16">
        <f>Parameters_Results!L120</f>
        <v>7101.7991193125918</v>
      </c>
      <c r="L23" s="16">
        <f>Parameters_Results!M120</f>
        <v>7052.1541409777792</v>
      </c>
      <c r="M23" s="16">
        <f>Parameters_Results!N120</f>
        <v>7002.5091626429667</v>
      </c>
    </row>
    <row r="24" spans="1:13">
      <c r="A24" s="368"/>
      <c r="B24" s="1">
        <v>0.6</v>
      </c>
      <c r="C24" s="16">
        <f>Parameters_Results!D121</f>
        <v>7099.3152761093279</v>
      </c>
      <c r="D24" s="16">
        <f>Parameters_Results!E121</f>
        <v>7049.6702977745135</v>
      </c>
      <c r="E24" s="16">
        <f>Parameters_Results!F121</f>
        <v>7000.0253194397064</v>
      </c>
      <c r="F24" s="16">
        <f>Parameters_Results!G121</f>
        <v>6950.3803411048875</v>
      </c>
      <c r="G24" s="16">
        <f>Parameters_Results!H121</f>
        <v>6900.7353627700759</v>
      </c>
      <c r="H24" s="16">
        <f>Parameters_Results!I121</f>
        <v>6851.0903844352652</v>
      </c>
      <c r="I24" s="16">
        <f>Parameters_Results!J121</f>
        <v>6801.4454061004508</v>
      </c>
      <c r="J24" s="16">
        <f>Parameters_Results!K121</f>
        <v>6751.8004277656391</v>
      </c>
      <c r="K24" s="16">
        <f>Parameters_Results!L121</f>
        <v>6702.1554494308284</v>
      </c>
      <c r="L24" s="16">
        <f>Parameters_Results!M121</f>
        <v>6652.5104710960159</v>
      </c>
      <c r="M24" s="16">
        <f>Parameters_Results!N121</f>
        <v>6602.8654927612042</v>
      </c>
    </row>
    <row r="25" spans="1:13">
      <c r="A25" s="368"/>
      <c r="B25" s="1">
        <v>0.7</v>
      </c>
      <c r="C25" s="16">
        <f>Parameters_Results!D122</f>
        <v>6650.3024382300209</v>
      </c>
      <c r="D25" s="16">
        <f>Parameters_Results!E122</f>
        <v>6600.6574598952047</v>
      </c>
      <c r="E25" s="16">
        <f>Parameters_Results!F122</f>
        <v>6551.0124815603958</v>
      </c>
      <c r="F25" s="16">
        <f>Parameters_Results!G122</f>
        <v>6501.3675032255805</v>
      </c>
      <c r="G25" s="16">
        <f>Parameters_Results!H122</f>
        <v>6451.7225248907707</v>
      </c>
      <c r="H25" s="16">
        <f>Parameters_Results!I122</f>
        <v>6402.0775465559591</v>
      </c>
      <c r="I25" s="16">
        <f>Parameters_Results!J122</f>
        <v>6352.4325682211465</v>
      </c>
      <c r="J25" s="16">
        <f>Parameters_Results!K122</f>
        <v>6302.787589886334</v>
      </c>
      <c r="K25" s="16">
        <f>Parameters_Results!L122</f>
        <v>6253.1426115515233</v>
      </c>
      <c r="L25" s="16">
        <f>Parameters_Results!M122</f>
        <v>6203.4976332167089</v>
      </c>
      <c r="M25" s="16">
        <f>Parameters_Results!N122</f>
        <v>6153.8526548818973</v>
      </c>
    </row>
    <row r="26" spans="1:13">
      <c r="A26" s="368"/>
      <c r="B26" s="1">
        <v>0.8</v>
      </c>
      <c r="C26" s="16">
        <f>Parameters_Results!D123</f>
        <v>6139.5797175726766</v>
      </c>
      <c r="D26" s="16">
        <f>Parameters_Results!E123</f>
        <v>6089.9347392378631</v>
      </c>
      <c r="E26" s="16">
        <f>Parameters_Results!F123</f>
        <v>6040.2897609030506</v>
      </c>
      <c r="F26" s="16">
        <f>Parameters_Results!G123</f>
        <v>5990.644782568239</v>
      </c>
      <c r="G26" s="16">
        <f>Parameters_Results!H123</f>
        <v>5940.9998042334255</v>
      </c>
      <c r="H26" s="16">
        <f>Parameters_Results!I123</f>
        <v>5891.3548258986139</v>
      </c>
      <c r="I26" s="16">
        <f>Parameters_Results!J123</f>
        <v>5841.7098475638022</v>
      </c>
      <c r="J26" s="16">
        <f>Parameters_Results!K123</f>
        <v>5792.0648692289897</v>
      </c>
      <c r="K26" s="16">
        <f>Parameters_Results!L123</f>
        <v>5742.4198908941753</v>
      </c>
      <c r="L26" s="16">
        <f>Parameters_Results!M123</f>
        <v>5692.7749125593655</v>
      </c>
      <c r="M26" s="16">
        <f>Parameters_Results!N123</f>
        <v>5643.129934224552</v>
      </c>
    </row>
    <row r="27" spans="1:13">
      <c r="A27" s="368"/>
      <c r="B27" s="1">
        <v>0.9</v>
      </c>
      <c r="C27" s="16">
        <f>Parameters_Results!D124</f>
        <v>5550.3188667093555</v>
      </c>
      <c r="D27" s="16">
        <f>Parameters_Results!E124</f>
        <v>5500.6738883745411</v>
      </c>
      <c r="E27" s="16">
        <f>Parameters_Results!F124</f>
        <v>5451.0289100397249</v>
      </c>
      <c r="F27" s="16">
        <f>Parameters_Results!G124</f>
        <v>5401.3839317049151</v>
      </c>
      <c r="G27" s="16">
        <f>Parameters_Results!H124</f>
        <v>5351.7389533701034</v>
      </c>
      <c r="H27" s="16">
        <f>Parameters_Results!I124</f>
        <v>5302.0939750352918</v>
      </c>
      <c r="I27" s="16">
        <f>Parameters_Results!J124</f>
        <v>5252.4489967004793</v>
      </c>
      <c r="J27" s="16">
        <f>Parameters_Results!K124</f>
        <v>5202.8040183656658</v>
      </c>
      <c r="K27" s="16">
        <f>Parameters_Results!L124</f>
        <v>5153.1590400308551</v>
      </c>
      <c r="L27" s="16">
        <f>Parameters_Results!M124</f>
        <v>5103.5140616960434</v>
      </c>
      <c r="M27" s="16">
        <f>Parameters_Results!N124</f>
        <v>5053.8690833612309</v>
      </c>
    </row>
    <row r="28" spans="1:13">
      <c r="A28" s="368"/>
      <c r="B28" s="1">
        <v>1</v>
      </c>
      <c r="C28" s="16">
        <f>Parameters_Results!D125</f>
        <v>4858.9603392409226</v>
      </c>
      <c r="D28" s="16">
        <f>Parameters_Results!E125</f>
        <v>4809.3153609061101</v>
      </c>
      <c r="E28" s="16">
        <f>Parameters_Results!F125</f>
        <v>4759.6703825712993</v>
      </c>
      <c r="F28" s="16">
        <f>Parameters_Results!G125</f>
        <v>4710.025404236485</v>
      </c>
      <c r="G28" s="16">
        <f>Parameters_Results!H125</f>
        <v>4660.3804259016724</v>
      </c>
      <c r="H28" s="16">
        <f>Parameters_Results!I125</f>
        <v>4610.7354475668599</v>
      </c>
      <c r="I28" s="16">
        <f>Parameters_Results!J125</f>
        <v>4561.0904692320491</v>
      </c>
      <c r="J28" s="16">
        <f>Parameters_Results!K125</f>
        <v>4511.4454908972366</v>
      </c>
      <c r="K28" s="16">
        <f>Parameters_Results!L125</f>
        <v>4461.800512562424</v>
      </c>
      <c r="L28" s="16">
        <f>Parameters_Results!M125</f>
        <v>4412.1555342276133</v>
      </c>
      <c r="M28" s="16">
        <f>Parameters_Results!N125</f>
        <v>4362.510555892798</v>
      </c>
    </row>
  </sheetData>
  <mergeCells count="4">
    <mergeCell ref="C1:M1"/>
    <mergeCell ref="C16:M16"/>
    <mergeCell ref="A3:A13"/>
    <mergeCell ref="A18:A28"/>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FE57C3C88B5014FB9ED7A2E04F0DDD4" ma:contentTypeVersion="13" ma:contentTypeDescription="Create a new document." ma:contentTypeScope="" ma:versionID="654c76ee8910ee678e19d2c6119502a7">
  <xsd:schema xmlns:xsd="http://www.w3.org/2001/XMLSchema" xmlns:xs="http://www.w3.org/2001/XMLSchema" xmlns:p="http://schemas.microsoft.com/office/2006/metadata/properties" xmlns:ns3="768f38ab-9611-47f9-9dd0-9451a4ba5396" xmlns:ns4="05d66776-b651-4a84-9a2a-4c76ee441a7b" targetNamespace="http://schemas.microsoft.com/office/2006/metadata/properties" ma:root="true" ma:fieldsID="2133b40a9cbfa39163efdc34f4af0cd3" ns3:_="" ns4:_="">
    <xsd:import namespace="768f38ab-9611-47f9-9dd0-9451a4ba5396"/>
    <xsd:import namespace="05d66776-b651-4a84-9a2a-4c76ee441a7b"/>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GenerationTime" minOccurs="0"/>
                <xsd:element ref="ns3:MediaServiceEventHashCode" minOccurs="0"/>
                <xsd:element ref="ns3:MediaServiceOCR" minOccurs="0"/>
                <xsd:element ref="ns3:MediaServiceDateTaken" minOccurs="0"/>
                <xsd:element ref="ns4:SharedWithUsers" minOccurs="0"/>
                <xsd:element ref="ns4:SharedWithDetails" minOccurs="0"/>
                <xsd:element ref="ns4:SharingHintHash"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68f38ab-9611-47f9-9dd0-9451a4ba539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5d66776-b651-4a84-9a2a-4c76ee441a7b"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SharingHintHash" ma:index="19"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D2214B9-CBB9-469C-9DED-49D2DC5C9816}">
  <ds:schemaRefs>
    <ds:schemaRef ds:uri="http://schemas.openxmlformats.org/package/2006/metadata/core-properties"/>
    <ds:schemaRef ds:uri="http://schemas.microsoft.com/office/2006/documentManagement/types"/>
    <ds:schemaRef ds:uri="http://purl.org/dc/terms/"/>
    <ds:schemaRef ds:uri="http://www.w3.org/XML/1998/namespace"/>
    <ds:schemaRef ds:uri="http://schemas.microsoft.com/office/2006/metadata/properties"/>
    <ds:schemaRef ds:uri="http://schemas.microsoft.com/office/infopath/2007/PartnerControls"/>
    <ds:schemaRef ds:uri="http://purl.org/dc/elements/1.1/"/>
    <ds:schemaRef ds:uri="05d66776-b651-4a84-9a2a-4c76ee441a7b"/>
    <ds:schemaRef ds:uri="768f38ab-9611-47f9-9dd0-9451a4ba5396"/>
    <ds:schemaRef ds:uri="http://purl.org/dc/dcmitype/"/>
  </ds:schemaRefs>
</ds:datastoreItem>
</file>

<file path=customXml/itemProps2.xml><?xml version="1.0" encoding="utf-8"?>
<ds:datastoreItem xmlns:ds="http://schemas.openxmlformats.org/officeDocument/2006/customXml" ds:itemID="{FDCF7EBA-492A-44E1-9E25-AEF2BEC93D7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68f38ab-9611-47f9-9dd0-9451a4ba5396"/>
    <ds:schemaRef ds:uri="05d66776-b651-4a84-9a2a-4c76ee441a7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3D88DE1-B14A-4B99-989A-75530FE6178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vt:i4>
      </vt:variant>
    </vt:vector>
  </HeadingPairs>
  <TitlesOfParts>
    <vt:vector size="14" baseType="lpstr">
      <vt:lpstr>OVERVIEW</vt:lpstr>
      <vt:lpstr>Excel Sheet Navigation</vt:lpstr>
      <vt:lpstr>Calculations &gt;&gt;</vt:lpstr>
      <vt:lpstr>Net Benefit Calculations</vt:lpstr>
      <vt:lpstr>Floods and Landslides </vt:lpstr>
      <vt:lpstr>Input &gt;&gt;</vt:lpstr>
      <vt:lpstr>Parameters_Results</vt:lpstr>
      <vt:lpstr>Baseline scenario</vt:lpstr>
      <vt:lpstr>Climate impacts</vt:lpstr>
      <vt:lpstr>Extrapolation disasters</vt:lpstr>
      <vt:lpstr>Extrapolation average con.</vt:lpstr>
      <vt:lpstr>Expected flows</vt:lpstr>
      <vt:lpstr>Tables</vt:lpstr>
      <vt:lpstr>OVERVIEW!_ftnref1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Stephane Hallegatte</dc:creator>
  <cp:lastModifiedBy>Donna L. Barne</cp:lastModifiedBy>
  <dcterms:created xsi:type="dcterms:W3CDTF">2019-11-13T16:49:21Z</dcterms:created>
  <dcterms:modified xsi:type="dcterms:W3CDTF">2021-06-30T22:38:15Z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0x0101008FE57C3C88B5014FB9ED7A2E04F0DDD4</vt:lpwstr>
  </property>
</Properties>
</file>
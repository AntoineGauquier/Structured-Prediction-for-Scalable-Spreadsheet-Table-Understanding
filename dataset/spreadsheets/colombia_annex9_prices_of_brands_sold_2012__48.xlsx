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ate1904="1" showInkAnnotation="0" autoCompressPictures="0"/>
  <bookViews>
    <workbookView xWindow="456" yWindow="516" windowWidth="16608" windowHeight="9372" tabRatio="500"/>
  </bookViews>
  <sheets>
    <sheet name="marcas informe COP" sheetId="1" r:id="rId1"/>
  </sheets>
  <calcPr calcId="145621"/>
  <extLst>
    <ext xmlns:mx="http://schemas.microsoft.com/office/mac/excel/2008/main" uri="http://schemas.microsoft.com/office/mac/excel/2008/main">
      <mx:ArchID Flags="2"/>
    </ext>
  </extLst>
</workbook>
</file>

<file path=xl/calcChain.xml><?xml version="1.0" encoding="utf-8"?>
<calcChain xmlns="http://schemas.openxmlformats.org/spreadsheetml/2006/main">
  <c r="D5" i="1" l="1"/>
  <c r="G5" i="1" s="1"/>
  <c r="H5" i="1" s="1"/>
  <c r="I5" i="1" s="1"/>
  <c r="F5" i="1"/>
  <c r="D4" i="1"/>
  <c r="G4" i="1"/>
  <c r="F4" i="1"/>
  <c r="H4" i="1"/>
  <c r="I4" i="1" s="1"/>
  <c r="D3" i="1"/>
  <c r="G3" i="1"/>
  <c r="H3" i="1" s="1"/>
  <c r="I3" i="1" s="1"/>
  <c r="F3" i="1"/>
</calcChain>
</file>

<file path=xl/sharedStrings.xml><?xml version="1.0" encoding="utf-8"?>
<sst xmlns="http://schemas.openxmlformats.org/spreadsheetml/2006/main" count="13" uniqueCount="13">
  <si>
    <t>Precio indicativo 2012</t>
    <phoneticPr fontId="1" type="noConversion"/>
  </si>
  <si>
    <t>Precio base IVA (teórico)</t>
    <phoneticPr fontId="1" type="noConversion"/>
  </si>
  <si>
    <t>Específico</t>
    <phoneticPr fontId="1" type="noConversion"/>
  </si>
  <si>
    <t>Sobretasa</t>
    <phoneticPr fontId="1" type="noConversion"/>
  </si>
  <si>
    <t>IVA</t>
    <phoneticPr fontId="1" type="noConversion"/>
  </si>
  <si>
    <t>total impuestos</t>
    <phoneticPr fontId="1" type="noConversion"/>
  </si>
  <si>
    <t>Boston</t>
    <phoneticPr fontId="1" type="noConversion"/>
  </si>
  <si>
    <t>Kool</t>
    <phoneticPr fontId="1" type="noConversion"/>
  </si>
  <si>
    <t>Belmont</t>
    <phoneticPr fontId="1" type="noConversion"/>
  </si>
  <si>
    <t>Precios tomados de la certificación 004 de diciembre de 2011 de Minhacienda</t>
  </si>
  <si>
    <t>Nota: información tomada de Llorente, B. (2012) Documento Técnico sobre estructura de los impuestos al cigarrillo en Colombia, Proyecto de Fortalecimiento de la Ley de control de tabaco en Colombia, Universidad Sergio Arboleda</t>
  </si>
  <si>
    <t>Carga impositiva (Impuesto/precio indicativo)</t>
  </si>
  <si>
    <t>Base gravable</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</si>
</sst>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0"/>
      <name val="Verdana"/>
    </font>
    <font>
      <sz val="8"/>
      <name val="Verdana"/>
    </font>
    <font>
      <b/>
      <sz val="10"/>
      <color theme="0"/>
      <name val="Verdana"/>
      <family val="2"/>
    </font>
  </fonts>
  <fills count="3">
    <fill>
      <patternFill patternType="none"/>
    </fill>
    <fill>
      <patternFill patternType="gray125"/>
    </fill>
    <fill>
      <patternFill patternType="solid">
        <fgColor theme="1"/>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3" fontId="0" fillId="0" borderId="0" xfId="0" applyNumberFormat="1"/>
    <xf numFmtId="10" fontId="0" fillId="0" borderId="0" xfId="0" applyNumberFormat="1"/>
    <xf numFmtId="0" fontId="0" fillId="0" borderId="0" xfId="0" applyAlignment="1">
      <alignment vertical="center" wrapText="1"/>
    </xf>
    <xf numFmtId="0" fontId="2" fillId="2" borderId="0" xfId="0" applyFont="1" applyFill="1" applyAlignment="1">
      <alignment horizontal="center" vertical="center" wrapText="1"/>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J8"/>
  <sheetViews>
    <sheetView tabSelected="1" workbookViewId="0">
      <selection activeCell="D14" sqref="D14"/>
    </sheetView>
  </sheetViews>
  <sheetFormatPr baseColWidth="10" defaultRowHeight="12.6" x14ac:dyDescent="0.2"/>
  <sheetData>
    <row r="2" spans="1:10" s="1" customFormat="1" ht="63" x14ac:dyDescent="0.2">
      <c r="A2" s="4"/>
      <c r="B2" s="5" t="s">
        <v>12</v>
      </c>
      <c r="C2" s="5" t="s">
        <v>0</v>
      </c>
      <c r="D2" s="5" t="s">
        <v>1</v>
      </c>
      <c r="E2" s="5" t="s">
        <v>2</v>
      </c>
      <c r="F2" s="5" t="s">
        <v>3</v>
      </c>
      <c r="G2" s="5" t="s">
        <v>4</v>
      </c>
      <c r="H2" s="5" t="s">
        <v>5</v>
      </c>
      <c r="I2" s="5" t="s">
        <v>11</v>
      </c>
      <c r="J2" s="4"/>
    </row>
    <row r="3" spans="1:10" x14ac:dyDescent="0.2">
      <c r="A3" t="s">
        <v>6</v>
      </c>
      <c r="B3">
        <v>2014</v>
      </c>
      <c r="C3">
        <v>2205</v>
      </c>
      <c r="D3" s="2">
        <f>0.86*C3</f>
        <v>1896.3</v>
      </c>
      <c r="E3">
        <v>607.91</v>
      </c>
      <c r="F3">
        <f>0.1*B3</f>
        <v>201.4</v>
      </c>
      <c r="G3" s="2">
        <f>0.16*D3</f>
        <v>303.40800000000002</v>
      </c>
      <c r="H3" s="2">
        <f>G3+F3+E3</f>
        <v>1112.7179999999998</v>
      </c>
      <c r="I3" s="3">
        <f>H3/C3</f>
        <v>0.50463401360544213</v>
      </c>
    </row>
    <row r="4" spans="1:10" x14ac:dyDescent="0.2">
      <c r="A4" t="s">
        <v>7</v>
      </c>
      <c r="B4">
        <v>3430</v>
      </c>
      <c r="C4">
        <v>3732</v>
      </c>
      <c r="D4" s="2">
        <f>0.86*C4</f>
        <v>3209.52</v>
      </c>
      <c r="E4">
        <v>607.91</v>
      </c>
      <c r="F4">
        <f>0.1*B4</f>
        <v>343</v>
      </c>
      <c r="G4" s="2">
        <f>0.16*D4</f>
        <v>513.52319999999997</v>
      </c>
      <c r="H4" s="2">
        <f>G4+F4+E4</f>
        <v>1464.4331999999999</v>
      </c>
      <c r="I4" s="3">
        <f t="shared" ref="I4:I5" si="0">H4/C4</f>
        <v>0.39239903536977488</v>
      </c>
    </row>
    <row r="5" spans="1:10" x14ac:dyDescent="0.2">
      <c r="A5" t="s">
        <v>8</v>
      </c>
      <c r="B5">
        <v>2134</v>
      </c>
      <c r="C5">
        <v>2344</v>
      </c>
      <c r="D5" s="2">
        <f>0.86*C5</f>
        <v>2015.84</v>
      </c>
      <c r="E5">
        <v>607.91</v>
      </c>
      <c r="F5">
        <f>0.1*B5</f>
        <v>213.4</v>
      </c>
      <c r="G5" s="2">
        <f>0.16*D5</f>
        <v>322.53440000000001</v>
      </c>
      <c r="H5" s="2">
        <f>G5+F5+E5</f>
        <v>1143.8444</v>
      </c>
      <c r="I5" s="3">
        <f t="shared" si="0"/>
        <v>0.48798822525597269</v>
      </c>
    </row>
    <row r="7" spans="1:10" x14ac:dyDescent="0.2">
      <c r="A7" t="s">
        <v>9</v>
      </c>
    </row>
    <row r="8" spans="1:10" x14ac:dyDescent="0.2">
      <c r="A8" t="s">
        <v>10</v>
      </c>
    </row>
  </sheetData>
  <phoneticPr fontId="1" type="noConversion"/>
  <pageMargins left="0.75" right="0.75" top="1" bottom="1" header="0.5" footer="0.5"/>
  <pageSetup orientation="portrait" horizontalDpi="4294967292" verticalDpi="4294967292" r:id="rId1"/>
  <extLst>
    <ext xmlns:mx="http://schemas.microsoft.com/office/mac/excel/2008/main" uri="http://schemas.microsoft.com/office/mac/excel/2008/main">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marcas informe COP</vt:lpstr>
    </vt:vector>
  </TitlesOfParts>
  <Company>USA</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Blanca Llorente</dc:creator>
  <cp:lastModifiedBy>Andrea Lara</cp:lastModifiedBy>
  <dcterms:created xsi:type="dcterms:W3CDTF">2012-04-27T22:02:01Z</dcterms:created>
  <dcterms:modified xsi:type="dcterms:W3CDTF">2012-04-30T13:51:21Z</dcterms:modified>
</cp:coreProperties>
</file>